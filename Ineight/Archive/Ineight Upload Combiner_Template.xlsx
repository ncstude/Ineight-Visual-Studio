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rtal.kiewit.com/teams/bw20044721/constopr/General/Material Management/InEight/FDC Log_CM/FDC Archieve/FDCs addressed in batches/WO 7310724/MIT downloads - Batch 3.10.26/"/>
    </mc:Choice>
  </mc:AlternateContent>
  <xr:revisionPtr revIDLastSave="0" documentId="8_{FF780596-2DFE-47B1-84C9-55900467A4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 Setup" sheetId="7" r:id="rId1"/>
    <sheet name="Combined Output" sheetId="8" r:id="rId2"/>
    <sheet name="FDC-488" sheetId="1" r:id="rId3"/>
    <sheet name="FDC-653" sheetId="2" r:id="rId4"/>
    <sheet name="FDC-655" sheetId="10" r:id="rId5"/>
    <sheet name="FDC-688" sheetId="11" r:id="rId6"/>
    <sheet name="FDC-565" sheetId="12" r:id="rId7"/>
    <sheet name="FDC-687" sheetId="13" r:id="rId8"/>
    <sheet name="Material List" sheetId="9" r:id="rId9"/>
  </sheets>
  <definedNames>
    <definedName name="_xlnm._FilterDatabase" localSheetId="2" hidden="1">'FDC-488'!$A$1:$D$1</definedName>
    <definedName name="FDC_Slot_1">"'Template Setup'!$B$4"</definedName>
    <definedName name="FDC_Slot_10">"'Template Setup'!$B$13"</definedName>
    <definedName name="FDC_Slot_2">"'Template Setup'!$B$5"</definedName>
    <definedName name="FDC_Slot_3">"'Template Setup'!$B$6"</definedName>
    <definedName name="FDC_Slot_4">"'Template Setup'!$B$7"</definedName>
    <definedName name="FDC_Slot_5">"'Template Setup'!$B$8"</definedName>
    <definedName name="FDC_Slot_6">"'Template Setup'!$B$9"</definedName>
    <definedName name="FDC_Slot_7">"'Template Setup'!$B$10"</definedName>
    <definedName name="FDC_Slot_8">"'Template Setup'!$B$11"</definedName>
    <definedName name="FDC_Slot_9">"'Template Setup'!$B$12"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7" i="8" l="1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U516" i="8"/>
  <c r="U517" i="8"/>
  <c r="U518" i="8"/>
  <c r="U519" i="8"/>
  <c r="U520" i="8"/>
  <c r="U521" i="8"/>
  <c r="U522" i="8"/>
  <c r="U523" i="8"/>
  <c r="U524" i="8"/>
  <c r="U525" i="8"/>
  <c r="U526" i="8"/>
  <c r="U527" i="8"/>
  <c r="U528" i="8"/>
  <c r="U529" i="8"/>
  <c r="U530" i="8"/>
  <c r="U531" i="8"/>
  <c r="U532" i="8"/>
  <c r="U533" i="8"/>
  <c r="U534" i="8"/>
  <c r="U535" i="8"/>
  <c r="U536" i="8"/>
  <c r="U537" i="8"/>
  <c r="U538" i="8"/>
  <c r="U539" i="8"/>
  <c r="U540" i="8"/>
  <c r="U541" i="8"/>
  <c r="U542" i="8"/>
  <c r="U543" i="8"/>
  <c r="U544" i="8"/>
  <c r="U545" i="8"/>
  <c r="U546" i="8"/>
  <c r="U547" i="8"/>
  <c r="U548" i="8"/>
  <c r="U549" i="8"/>
  <c r="U550" i="8"/>
  <c r="U551" i="8"/>
  <c r="U552" i="8"/>
  <c r="U553" i="8"/>
  <c r="U554" i="8"/>
  <c r="U555" i="8"/>
  <c r="U556" i="8"/>
  <c r="U557" i="8"/>
  <c r="U558" i="8"/>
  <c r="U559" i="8"/>
  <c r="U560" i="8"/>
  <c r="U561" i="8"/>
  <c r="U562" i="8"/>
  <c r="U563" i="8"/>
  <c r="U564" i="8"/>
  <c r="U565" i="8"/>
  <c r="U566" i="8"/>
  <c r="U567" i="8"/>
  <c r="U568" i="8"/>
  <c r="U569" i="8"/>
  <c r="U570" i="8"/>
  <c r="U571" i="8"/>
  <c r="U572" i="8"/>
  <c r="U573" i="8"/>
  <c r="U574" i="8"/>
  <c r="U575" i="8"/>
  <c r="U576" i="8"/>
  <c r="U577" i="8"/>
  <c r="U578" i="8"/>
  <c r="U579" i="8"/>
  <c r="U580" i="8"/>
  <c r="U581" i="8"/>
  <c r="U582" i="8"/>
  <c r="U583" i="8"/>
  <c r="U584" i="8"/>
  <c r="U585" i="8"/>
  <c r="U586" i="8"/>
  <c r="U587" i="8"/>
  <c r="U588" i="8"/>
  <c r="U589" i="8"/>
  <c r="U590" i="8"/>
  <c r="U591" i="8"/>
  <c r="U592" i="8"/>
  <c r="U593" i="8"/>
  <c r="U594" i="8"/>
  <c r="U595" i="8"/>
  <c r="U596" i="8"/>
  <c r="U597" i="8"/>
  <c r="U598" i="8"/>
  <c r="U599" i="8"/>
  <c r="U600" i="8"/>
  <c r="U601" i="8"/>
  <c r="U602" i="8"/>
  <c r="U603" i="8"/>
  <c r="U604" i="8"/>
  <c r="U605" i="8"/>
  <c r="U606" i="8"/>
  <c r="U607" i="8"/>
  <c r="U608" i="8"/>
  <c r="U609" i="8"/>
  <c r="U610" i="8"/>
  <c r="U611" i="8"/>
  <c r="U612" i="8"/>
  <c r="U613" i="8"/>
  <c r="U614" i="8"/>
  <c r="U615" i="8"/>
  <c r="U616" i="8"/>
  <c r="U617" i="8"/>
  <c r="U618" i="8"/>
  <c r="U619" i="8"/>
  <c r="U620" i="8"/>
  <c r="U621" i="8"/>
  <c r="U622" i="8"/>
  <c r="U623" i="8"/>
  <c r="U624" i="8"/>
  <c r="U625" i="8"/>
  <c r="U626" i="8"/>
  <c r="U627" i="8"/>
  <c r="U628" i="8"/>
  <c r="U629" i="8"/>
  <c r="U630" i="8"/>
  <c r="U631" i="8"/>
  <c r="U632" i="8"/>
  <c r="U633" i="8"/>
  <c r="U634" i="8"/>
  <c r="U635" i="8"/>
  <c r="U636" i="8"/>
  <c r="U637" i="8"/>
  <c r="U638" i="8"/>
  <c r="U639" i="8"/>
  <c r="U640" i="8"/>
  <c r="U641" i="8"/>
  <c r="U642" i="8"/>
  <c r="U643" i="8"/>
  <c r="U644" i="8"/>
  <c r="U645" i="8"/>
  <c r="U646" i="8"/>
  <c r="U647" i="8"/>
  <c r="U648" i="8"/>
  <c r="U649" i="8"/>
  <c r="U650" i="8"/>
  <c r="U651" i="8"/>
  <c r="U652" i="8"/>
  <c r="U653" i="8"/>
  <c r="U654" i="8"/>
  <c r="U655" i="8"/>
  <c r="U656" i="8"/>
  <c r="U657" i="8"/>
  <c r="U658" i="8"/>
  <c r="U659" i="8"/>
  <c r="U660" i="8"/>
  <c r="U661" i="8"/>
  <c r="U662" i="8"/>
  <c r="U663" i="8"/>
  <c r="U664" i="8"/>
  <c r="U665" i="8"/>
  <c r="U666" i="8"/>
  <c r="U667" i="8"/>
  <c r="U668" i="8"/>
  <c r="U669" i="8"/>
  <c r="U670" i="8"/>
  <c r="U671" i="8"/>
  <c r="U672" i="8"/>
  <c r="U673" i="8"/>
  <c r="U674" i="8"/>
  <c r="U675" i="8"/>
  <c r="U676" i="8"/>
  <c r="U677" i="8"/>
  <c r="U678" i="8"/>
  <c r="U679" i="8"/>
  <c r="U680" i="8"/>
  <c r="U681" i="8"/>
  <c r="U682" i="8"/>
  <c r="U683" i="8"/>
  <c r="U684" i="8"/>
  <c r="U685" i="8"/>
  <c r="U686" i="8"/>
  <c r="U687" i="8"/>
  <c r="U688" i="8"/>
  <c r="U689" i="8"/>
  <c r="U690" i="8"/>
  <c r="U691" i="8"/>
  <c r="U692" i="8"/>
  <c r="U693" i="8"/>
  <c r="U694" i="8"/>
  <c r="U695" i="8"/>
  <c r="U696" i="8"/>
  <c r="U697" i="8"/>
  <c r="U698" i="8"/>
  <c r="U699" i="8"/>
  <c r="U700" i="8"/>
  <c r="U701" i="8"/>
  <c r="U702" i="8"/>
  <c r="U703" i="8"/>
  <c r="U704" i="8"/>
  <c r="U705" i="8"/>
  <c r="U706" i="8"/>
  <c r="U707" i="8"/>
  <c r="U708" i="8"/>
  <c r="U709" i="8"/>
  <c r="U710" i="8"/>
  <c r="U711" i="8"/>
  <c r="U712" i="8"/>
  <c r="U713" i="8"/>
  <c r="U714" i="8"/>
  <c r="U715" i="8"/>
  <c r="U716" i="8"/>
  <c r="U717" i="8"/>
  <c r="U718" i="8"/>
  <c r="U719" i="8"/>
  <c r="U720" i="8"/>
  <c r="U721" i="8"/>
  <c r="U722" i="8"/>
  <c r="U723" i="8"/>
  <c r="U724" i="8"/>
  <c r="U725" i="8"/>
  <c r="U726" i="8"/>
  <c r="U727" i="8"/>
  <c r="U728" i="8"/>
  <c r="U729" i="8"/>
  <c r="U730" i="8"/>
  <c r="U731" i="8"/>
  <c r="U732" i="8"/>
  <c r="U733" i="8"/>
  <c r="U734" i="8"/>
  <c r="U735" i="8"/>
  <c r="U736" i="8"/>
  <c r="U737" i="8"/>
  <c r="U738" i="8"/>
  <c r="U739" i="8"/>
  <c r="U740" i="8"/>
  <c r="U741" i="8"/>
  <c r="U742" i="8"/>
  <c r="U743" i="8"/>
  <c r="U744" i="8"/>
  <c r="U745" i="8"/>
  <c r="U746" i="8"/>
  <c r="U747" i="8"/>
  <c r="U748" i="8"/>
  <c r="U749" i="8"/>
  <c r="U750" i="8"/>
  <c r="U751" i="8"/>
  <c r="U752" i="8"/>
  <c r="U753" i="8"/>
  <c r="U754" i="8"/>
  <c r="U755" i="8"/>
  <c r="U756" i="8"/>
  <c r="U757" i="8"/>
  <c r="U758" i="8"/>
  <c r="U759" i="8"/>
  <c r="U760" i="8"/>
  <c r="U761" i="8"/>
  <c r="U762" i="8"/>
  <c r="U763" i="8"/>
  <c r="U764" i="8"/>
  <c r="U765" i="8"/>
  <c r="U766" i="8"/>
  <c r="U767" i="8"/>
  <c r="U768" i="8"/>
  <c r="U769" i="8"/>
  <c r="U770" i="8"/>
  <c r="U771" i="8"/>
  <c r="U772" i="8"/>
  <c r="U773" i="8"/>
  <c r="U774" i="8"/>
  <c r="U775" i="8"/>
  <c r="U776" i="8"/>
  <c r="U777" i="8"/>
  <c r="U778" i="8"/>
  <c r="U779" i="8"/>
  <c r="U780" i="8"/>
  <c r="U781" i="8"/>
  <c r="U782" i="8"/>
  <c r="U783" i="8"/>
  <c r="U784" i="8"/>
  <c r="U785" i="8"/>
  <c r="U786" i="8"/>
  <c r="U787" i="8"/>
  <c r="U788" i="8"/>
  <c r="U789" i="8"/>
  <c r="U790" i="8"/>
  <c r="U791" i="8"/>
  <c r="U792" i="8"/>
  <c r="U793" i="8"/>
  <c r="U794" i="8"/>
  <c r="U795" i="8"/>
  <c r="U796" i="8"/>
  <c r="U797" i="8"/>
  <c r="U798" i="8"/>
  <c r="U799" i="8"/>
  <c r="U800" i="8"/>
  <c r="U801" i="8"/>
  <c r="U802" i="8"/>
  <c r="U803" i="8"/>
  <c r="U804" i="8"/>
  <c r="U805" i="8"/>
  <c r="U806" i="8"/>
  <c r="U807" i="8"/>
  <c r="U808" i="8"/>
  <c r="U809" i="8"/>
  <c r="U810" i="8"/>
  <c r="U811" i="8"/>
  <c r="U812" i="8"/>
  <c r="U813" i="8"/>
  <c r="U814" i="8"/>
  <c r="U815" i="8"/>
  <c r="U816" i="8"/>
  <c r="U817" i="8"/>
  <c r="U818" i="8"/>
  <c r="U819" i="8"/>
  <c r="U820" i="8"/>
  <c r="U821" i="8"/>
  <c r="U822" i="8"/>
  <c r="U823" i="8"/>
  <c r="U824" i="8"/>
  <c r="U825" i="8"/>
  <c r="U826" i="8"/>
  <c r="U827" i="8"/>
  <c r="U828" i="8"/>
  <c r="U829" i="8"/>
  <c r="U830" i="8"/>
  <c r="U831" i="8"/>
  <c r="U832" i="8"/>
  <c r="U833" i="8"/>
  <c r="U834" i="8"/>
  <c r="U835" i="8"/>
  <c r="U836" i="8"/>
  <c r="U837" i="8"/>
  <c r="U838" i="8"/>
  <c r="U839" i="8"/>
  <c r="U840" i="8"/>
  <c r="U841" i="8"/>
  <c r="U842" i="8"/>
  <c r="U843" i="8"/>
  <c r="U844" i="8"/>
  <c r="U845" i="8"/>
  <c r="U846" i="8"/>
  <c r="U847" i="8"/>
  <c r="U848" i="8"/>
  <c r="U849" i="8"/>
  <c r="U850" i="8"/>
  <c r="U851" i="8"/>
  <c r="U852" i="8"/>
  <c r="U853" i="8"/>
  <c r="U854" i="8"/>
  <c r="U855" i="8"/>
  <c r="U856" i="8"/>
  <c r="U857" i="8"/>
  <c r="U858" i="8"/>
  <c r="U859" i="8"/>
  <c r="U860" i="8"/>
  <c r="U861" i="8"/>
  <c r="U862" i="8"/>
  <c r="U863" i="8"/>
  <c r="U864" i="8"/>
  <c r="U865" i="8"/>
  <c r="U866" i="8"/>
  <c r="U867" i="8"/>
  <c r="U868" i="8"/>
  <c r="U869" i="8"/>
  <c r="U870" i="8"/>
  <c r="U871" i="8"/>
  <c r="U872" i="8"/>
  <c r="U873" i="8"/>
  <c r="U874" i="8"/>
  <c r="U875" i="8"/>
  <c r="U876" i="8"/>
  <c r="U877" i="8"/>
  <c r="U878" i="8"/>
  <c r="U879" i="8"/>
  <c r="U880" i="8"/>
  <c r="U881" i="8"/>
  <c r="U882" i="8"/>
  <c r="U883" i="8"/>
  <c r="U884" i="8"/>
  <c r="U885" i="8"/>
  <c r="U886" i="8"/>
  <c r="U887" i="8"/>
  <c r="U888" i="8"/>
  <c r="U889" i="8"/>
  <c r="U890" i="8"/>
  <c r="U891" i="8"/>
  <c r="U892" i="8"/>
  <c r="U893" i="8"/>
  <c r="U894" i="8"/>
  <c r="U895" i="8"/>
  <c r="U896" i="8"/>
  <c r="U897" i="8"/>
  <c r="U898" i="8"/>
  <c r="U899" i="8"/>
  <c r="U900" i="8"/>
  <c r="U901" i="8"/>
  <c r="U902" i="8"/>
  <c r="U903" i="8"/>
  <c r="U904" i="8"/>
  <c r="U905" i="8"/>
  <c r="U906" i="8"/>
  <c r="U907" i="8"/>
  <c r="U908" i="8"/>
  <c r="U909" i="8"/>
  <c r="U910" i="8"/>
  <c r="U911" i="8"/>
  <c r="U912" i="8"/>
  <c r="U913" i="8"/>
  <c r="U914" i="8"/>
  <c r="U915" i="8"/>
  <c r="U916" i="8"/>
  <c r="U917" i="8"/>
  <c r="U918" i="8"/>
  <c r="U919" i="8"/>
  <c r="U920" i="8"/>
  <c r="U921" i="8"/>
  <c r="U922" i="8"/>
  <c r="U923" i="8"/>
  <c r="U924" i="8"/>
  <c r="U925" i="8"/>
  <c r="U926" i="8"/>
  <c r="U927" i="8"/>
  <c r="U928" i="8"/>
  <c r="U929" i="8"/>
  <c r="U930" i="8"/>
  <c r="U931" i="8"/>
  <c r="U932" i="8"/>
  <c r="U933" i="8"/>
  <c r="U934" i="8"/>
  <c r="U935" i="8"/>
  <c r="U936" i="8"/>
  <c r="U937" i="8"/>
  <c r="U938" i="8"/>
  <c r="U939" i="8"/>
  <c r="U940" i="8"/>
  <c r="U941" i="8"/>
  <c r="U942" i="8"/>
  <c r="U943" i="8"/>
  <c r="U944" i="8"/>
  <c r="U945" i="8"/>
  <c r="U946" i="8"/>
  <c r="U947" i="8"/>
  <c r="U948" i="8"/>
  <c r="U949" i="8"/>
  <c r="U950" i="8"/>
  <c r="U951" i="8"/>
  <c r="U952" i="8"/>
  <c r="U953" i="8"/>
  <c r="U954" i="8"/>
  <c r="U955" i="8"/>
  <c r="U956" i="8"/>
  <c r="U957" i="8"/>
  <c r="U958" i="8"/>
  <c r="U959" i="8"/>
  <c r="U960" i="8"/>
  <c r="U961" i="8"/>
  <c r="U962" i="8"/>
  <c r="U963" i="8"/>
  <c r="U964" i="8"/>
  <c r="U965" i="8"/>
  <c r="U966" i="8"/>
  <c r="U967" i="8"/>
  <c r="U968" i="8"/>
  <c r="U969" i="8"/>
  <c r="U970" i="8"/>
  <c r="U971" i="8"/>
  <c r="U972" i="8"/>
  <c r="U973" i="8"/>
  <c r="U974" i="8"/>
  <c r="U975" i="8"/>
  <c r="U976" i="8"/>
  <c r="U977" i="8"/>
  <c r="U978" i="8"/>
  <c r="U979" i="8"/>
  <c r="U980" i="8"/>
  <c r="U981" i="8"/>
  <c r="U982" i="8"/>
  <c r="U983" i="8"/>
  <c r="U984" i="8"/>
  <c r="U985" i="8"/>
  <c r="U986" i="8"/>
  <c r="U987" i="8"/>
  <c r="U988" i="8"/>
  <c r="U989" i="8"/>
  <c r="U990" i="8"/>
  <c r="U991" i="8"/>
  <c r="U992" i="8"/>
  <c r="U993" i="8"/>
  <c r="U994" i="8"/>
  <c r="U995" i="8"/>
  <c r="U996" i="8"/>
  <c r="U997" i="8"/>
  <c r="U998" i="8"/>
  <c r="U999" i="8"/>
  <c r="U1000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2" i="8"/>
  <c r="R613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R668" i="8"/>
  <c r="R669" i="8"/>
  <c r="R670" i="8"/>
  <c r="R671" i="8"/>
  <c r="R672" i="8"/>
  <c r="R673" i="8"/>
  <c r="R674" i="8"/>
  <c r="R675" i="8"/>
  <c r="R676" i="8"/>
  <c r="R677" i="8"/>
  <c r="R678" i="8"/>
  <c r="R679" i="8"/>
  <c r="R680" i="8"/>
  <c r="R681" i="8"/>
  <c r="R682" i="8"/>
  <c r="R683" i="8"/>
  <c r="R684" i="8"/>
  <c r="R685" i="8"/>
  <c r="R686" i="8"/>
  <c r="R687" i="8"/>
  <c r="R688" i="8"/>
  <c r="R689" i="8"/>
  <c r="R690" i="8"/>
  <c r="R691" i="8"/>
  <c r="R692" i="8"/>
  <c r="R693" i="8"/>
  <c r="R694" i="8"/>
  <c r="R695" i="8"/>
  <c r="R696" i="8"/>
  <c r="R697" i="8"/>
  <c r="R698" i="8"/>
  <c r="R699" i="8"/>
  <c r="R700" i="8"/>
  <c r="R701" i="8"/>
  <c r="R702" i="8"/>
  <c r="R703" i="8"/>
  <c r="R704" i="8"/>
  <c r="R705" i="8"/>
  <c r="R706" i="8"/>
  <c r="R707" i="8"/>
  <c r="R708" i="8"/>
  <c r="R709" i="8"/>
  <c r="R710" i="8"/>
  <c r="R711" i="8"/>
  <c r="R712" i="8"/>
  <c r="R713" i="8"/>
  <c r="R714" i="8"/>
  <c r="R715" i="8"/>
  <c r="R716" i="8"/>
  <c r="R717" i="8"/>
  <c r="R718" i="8"/>
  <c r="R719" i="8"/>
  <c r="R720" i="8"/>
  <c r="R721" i="8"/>
  <c r="R722" i="8"/>
  <c r="R723" i="8"/>
  <c r="R724" i="8"/>
  <c r="R725" i="8"/>
  <c r="R726" i="8"/>
  <c r="R727" i="8"/>
  <c r="R728" i="8"/>
  <c r="R729" i="8"/>
  <c r="R730" i="8"/>
  <c r="R731" i="8"/>
  <c r="R732" i="8"/>
  <c r="R733" i="8"/>
  <c r="R734" i="8"/>
  <c r="R735" i="8"/>
  <c r="R736" i="8"/>
  <c r="R737" i="8"/>
  <c r="R738" i="8"/>
  <c r="R739" i="8"/>
  <c r="R740" i="8"/>
  <c r="R741" i="8"/>
  <c r="R742" i="8"/>
  <c r="R743" i="8"/>
  <c r="R744" i="8"/>
  <c r="R745" i="8"/>
  <c r="R746" i="8"/>
  <c r="R747" i="8"/>
  <c r="R748" i="8"/>
  <c r="R749" i="8"/>
  <c r="R750" i="8"/>
  <c r="R751" i="8"/>
  <c r="R752" i="8"/>
  <c r="R753" i="8"/>
  <c r="R754" i="8"/>
  <c r="R755" i="8"/>
  <c r="R756" i="8"/>
  <c r="R757" i="8"/>
  <c r="R758" i="8"/>
  <c r="R759" i="8"/>
  <c r="R760" i="8"/>
  <c r="R761" i="8"/>
  <c r="R762" i="8"/>
  <c r="R763" i="8"/>
  <c r="R764" i="8"/>
  <c r="R765" i="8"/>
  <c r="R766" i="8"/>
  <c r="R767" i="8"/>
  <c r="R768" i="8"/>
  <c r="R769" i="8"/>
  <c r="R770" i="8"/>
  <c r="R771" i="8"/>
  <c r="R772" i="8"/>
  <c r="R773" i="8"/>
  <c r="R774" i="8"/>
  <c r="R775" i="8"/>
  <c r="R776" i="8"/>
  <c r="R777" i="8"/>
  <c r="R778" i="8"/>
  <c r="R779" i="8"/>
  <c r="R780" i="8"/>
  <c r="R781" i="8"/>
  <c r="R782" i="8"/>
  <c r="R783" i="8"/>
  <c r="R784" i="8"/>
  <c r="R785" i="8"/>
  <c r="R786" i="8"/>
  <c r="R787" i="8"/>
  <c r="R788" i="8"/>
  <c r="R789" i="8"/>
  <c r="R790" i="8"/>
  <c r="R791" i="8"/>
  <c r="R792" i="8"/>
  <c r="R793" i="8"/>
  <c r="R794" i="8"/>
  <c r="R795" i="8"/>
  <c r="R796" i="8"/>
  <c r="R797" i="8"/>
  <c r="R798" i="8"/>
  <c r="R799" i="8"/>
  <c r="R800" i="8"/>
  <c r="R801" i="8"/>
  <c r="R802" i="8"/>
  <c r="R803" i="8"/>
  <c r="R804" i="8"/>
  <c r="R805" i="8"/>
  <c r="R806" i="8"/>
  <c r="R807" i="8"/>
  <c r="R808" i="8"/>
  <c r="R809" i="8"/>
  <c r="R810" i="8"/>
  <c r="R811" i="8"/>
  <c r="R812" i="8"/>
  <c r="R813" i="8"/>
  <c r="R814" i="8"/>
  <c r="R815" i="8"/>
  <c r="R816" i="8"/>
  <c r="R817" i="8"/>
  <c r="R818" i="8"/>
  <c r="R819" i="8"/>
  <c r="R820" i="8"/>
  <c r="R821" i="8"/>
  <c r="R822" i="8"/>
  <c r="R823" i="8"/>
  <c r="R824" i="8"/>
  <c r="R825" i="8"/>
  <c r="R826" i="8"/>
  <c r="R827" i="8"/>
  <c r="R828" i="8"/>
  <c r="R829" i="8"/>
  <c r="R830" i="8"/>
  <c r="R831" i="8"/>
  <c r="R832" i="8"/>
  <c r="R833" i="8"/>
  <c r="R834" i="8"/>
  <c r="R835" i="8"/>
  <c r="R836" i="8"/>
  <c r="R837" i="8"/>
  <c r="R838" i="8"/>
  <c r="R839" i="8"/>
  <c r="R840" i="8"/>
  <c r="R841" i="8"/>
  <c r="R842" i="8"/>
  <c r="R843" i="8"/>
  <c r="R844" i="8"/>
  <c r="R845" i="8"/>
  <c r="R846" i="8"/>
  <c r="R847" i="8"/>
  <c r="R848" i="8"/>
  <c r="R849" i="8"/>
  <c r="R850" i="8"/>
  <c r="R851" i="8"/>
  <c r="R852" i="8"/>
  <c r="R853" i="8"/>
  <c r="R854" i="8"/>
  <c r="R855" i="8"/>
  <c r="R856" i="8"/>
  <c r="R857" i="8"/>
  <c r="R858" i="8"/>
  <c r="R859" i="8"/>
  <c r="R860" i="8"/>
  <c r="R861" i="8"/>
  <c r="R862" i="8"/>
  <c r="R863" i="8"/>
  <c r="R864" i="8"/>
  <c r="R865" i="8"/>
  <c r="R866" i="8"/>
  <c r="R867" i="8"/>
  <c r="R868" i="8"/>
  <c r="R869" i="8"/>
  <c r="R870" i="8"/>
  <c r="R871" i="8"/>
  <c r="R872" i="8"/>
  <c r="R873" i="8"/>
  <c r="R874" i="8"/>
  <c r="R875" i="8"/>
  <c r="R876" i="8"/>
  <c r="R877" i="8"/>
  <c r="R878" i="8"/>
  <c r="R879" i="8"/>
  <c r="R880" i="8"/>
  <c r="R881" i="8"/>
  <c r="R882" i="8"/>
  <c r="R883" i="8"/>
  <c r="R884" i="8"/>
  <c r="R885" i="8"/>
  <c r="R886" i="8"/>
  <c r="R887" i="8"/>
  <c r="R888" i="8"/>
  <c r="R889" i="8"/>
  <c r="R890" i="8"/>
  <c r="R891" i="8"/>
  <c r="R892" i="8"/>
  <c r="R893" i="8"/>
  <c r="R894" i="8"/>
  <c r="R895" i="8"/>
  <c r="R896" i="8"/>
  <c r="R897" i="8"/>
  <c r="R898" i="8"/>
  <c r="R899" i="8"/>
  <c r="R900" i="8"/>
  <c r="R901" i="8"/>
  <c r="R902" i="8"/>
  <c r="R903" i="8"/>
  <c r="R904" i="8"/>
  <c r="R905" i="8"/>
  <c r="R906" i="8"/>
  <c r="R907" i="8"/>
  <c r="R908" i="8"/>
  <c r="R909" i="8"/>
  <c r="R910" i="8"/>
  <c r="R911" i="8"/>
  <c r="R912" i="8"/>
  <c r="R913" i="8"/>
  <c r="R914" i="8"/>
  <c r="R915" i="8"/>
  <c r="R916" i="8"/>
  <c r="R917" i="8"/>
  <c r="R918" i="8"/>
  <c r="R919" i="8"/>
  <c r="R920" i="8"/>
  <c r="R921" i="8"/>
  <c r="R922" i="8"/>
  <c r="R923" i="8"/>
  <c r="R924" i="8"/>
  <c r="R925" i="8"/>
  <c r="R926" i="8"/>
  <c r="R927" i="8"/>
  <c r="R928" i="8"/>
  <c r="R929" i="8"/>
  <c r="R930" i="8"/>
  <c r="R931" i="8"/>
  <c r="R932" i="8"/>
  <c r="R933" i="8"/>
  <c r="R934" i="8"/>
  <c r="R935" i="8"/>
  <c r="R936" i="8"/>
  <c r="R937" i="8"/>
  <c r="R938" i="8"/>
  <c r="R939" i="8"/>
  <c r="R940" i="8"/>
  <c r="R941" i="8"/>
  <c r="R942" i="8"/>
  <c r="R943" i="8"/>
  <c r="R944" i="8"/>
  <c r="R945" i="8"/>
  <c r="R946" i="8"/>
  <c r="R947" i="8"/>
  <c r="R948" i="8"/>
  <c r="R949" i="8"/>
  <c r="R950" i="8"/>
  <c r="R951" i="8"/>
  <c r="R952" i="8"/>
  <c r="R953" i="8"/>
  <c r="R954" i="8"/>
  <c r="R955" i="8"/>
  <c r="R956" i="8"/>
  <c r="R957" i="8"/>
  <c r="R958" i="8"/>
  <c r="R959" i="8"/>
  <c r="R960" i="8"/>
  <c r="R961" i="8"/>
  <c r="R962" i="8"/>
  <c r="R963" i="8"/>
  <c r="R964" i="8"/>
  <c r="R965" i="8"/>
  <c r="R966" i="8"/>
  <c r="R967" i="8"/>
  <c r="R968" i="8"/>
  <c r="R969" i="8"/>
  <c r="R970" i="8"/>
  <c r="R971" i="8"/>
  <c r="R972" i="8"/>
  <c r="R973" i="8"/>
  <c r="R974" i="8"/>
  <c r="R975" i="8"/>
  <c r="R976" i="8"/>
  <c r="R977" i="8"/>
  <c r="R978" i="8"/>
  <c r="R979" i="8"/>
  <c r="R980" i="8"/>
  <c r="R981" i="8"/>
  <c r="R982" i="8"/>
  <c r="R983" i="8"/>
  <c r="R984" i="8"/>
  <c r="R985" i="8"/>
  <c r="R986" i="8"/>
  <c r="R987" i="8"/>
  <c r="R988" i="8"/>
  <c r="R989" i="8"/>
  <c r="R990" i="8"/>
  <c r="R991" i="8"/>
  <c r="R992" i="8"/>
  <c r="R993" i="8"/>
  <c r="R994" i="8"/>
  <c r="R995" i="8"/>
  <c r="R996" i="8"/>
  <c r="R997" i="8"/>
  <c r="R998" i="8"/>
  <c r="R999" i="8"/>
  <c r="R1000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5" i="8"/>
  <c r="T776" i="8"/>
  <c r="T777" i="8"/>
  <c r="T778" i="8"/>
  <c r="T779" i="8"/>
  <c r="T780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T894" i="8"/>
  <c r="T895" i="8"/>
  <c r="T896" i="8"/>
  <c r="T897" i="8"/>
  <c r="T898" i="8"/>
  <c r="T899" i="8"/>
  <c r="T900" i="8"/>
  <c r="T901" i="8"/>
  <c r="T902" i="8"/>
  <c r="T903" i="8"/>
  <c r="T904" i="8"/>
  <c r="T905" i="8"/>
  <c r="T906" i="8"/>
  <c r="T907" i="8"/>
  <c r="T908" i="8"/>
  <c r="T909" i="8"/>
  <c r="T910" i="8"/>
  <c r="T911" i="8"/>
  <c r="T912" i="8"/>
  <c r="T913" i="8"/>
  <c r="T914" i="8"/>
  <c r="T915" i="8"/>
  <c r="T916" i="8"/>
  <c r="T917" i="8"/>
  <c r="T918" i="8"/>
  <c r="T919" i="8"/>
  <c r="T920" i="8"/>
  <c r="T921" i="8"/>
  <c r="T922" i="8"/>
  <c r="T923" i="8"/>
  <c r="T924" i="8"/>
  <c r="T925" i="8"/>
  <c r="T926" i="8"/>
  <c r="T927" i="8"/>
  <c r="T928" i="8"/>
  <c r="T929" i="8"/>
  <c r="T930" i="8"/>
  <c r="T931" i="8"/>
  <c r="T932" i="8"/>
  <c r="T933" i="8"/>
  <c r="T934" i="8"/>
  <c r="T935" i="8"/>
  <c r="T936" i="8"/>
  <c r="T937" i="8"/>
  <c r="T938" i="8"/>
  <c r="T939" i="8"/>
  <c r="T940" i="8"/>
  <c r="T941" i="8"/>
  <c r="T942" i="8"/>
  <c r="T943" i="8"/>
  <c r="T944" i="8"/>
  <c r="T945" i="8"/>
  <c r="T946" i="8"/>
  <c r="T947" i="8"/>
  <c r="T948" i="8"/>
  <c r="T949" i="8"/>
  <c r="T950" i="8"/>
  <c r="T951" i="8"/>
  <c r="T952" i="8"/>
  <c r="T953" i="8"/>
  <c r="T954" i="8"/>
  <c r="T955" i="8"/>
  <c r="T956" i="8"/>
  <c r="T957" i="8"/>
  <c r="T958" i="8"/>
  <c r="T959" i="8"/>
  <c r="T960" i="8"/>
  <c r="T961" i="8"/>
  <c r="T962" i="8"/>
  <c r="T963" i="8"/>
  <c r="T964" i="8"/>
  <c r="T965" i="8"/>
  <c r="T966" i="8"/>
  <c r="T967" i="8"/>
  <c r="T968" i="8"/>
  <c r="T969" i="8"/>
  <c r="T970" i="8"/>
  <c r="T971" i="8"/>
  <c r="T972" i="8"/>
  <c r="T973" i="8"/>
  <c r="T974" i="8"/>
  <c r="T975" i="8"/>
  <c r="T976" i="8"/>
  <c r="T977" i="8"/>
  <c r="T978" i="8"/>
  <c r="T979" i="8"/>
  <c r="T980" i="8"/>
  <c r="T981" i="8"/>
  <c r="T982" i="8"/>
  <c r="T983" i="8"/>
  <c r="T984" i="8"/>
  <c r="T985" i="8"/>
  <c r="T986" i="8"/>
  <c r="T987" i="8"/>
  <c r="T988" i="8"/>
  <c r="T989" i="8"/>
  <c r="T990" i="8"/>
  <c r="T991" i="8"/>
  <c r="T992" i="8"/>
  <c r="T993" i="8"/>
  <c r="T994" i="8"/>
  <c r="T995" i="8"/>
  <c r="T996" i="8"/>
  <c r="T997" i="8"/>
  <c r="T998" i="8"/>
  <c r="T999" i="8"/>
  <c r="T1000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L902" i="8"/>
  <c r="M902" i="8"/>
  <c r="N902" i="8"/>
  <c r="O902" i="8"/>
  <c r="P902" i="8"/>
  <c r="L903" i="8"/>
  <c r="M903" i="8"/>
  <c r="N903" i="8"/>
  <c r="O903" i="8"/>
  <c r="P903" i="8"/>
  <c r="L904" i="8"/>
  <c r="M904" i="8"/>
  <c r="N904" i="8"/>
  <c r="O904" i="8"/>
  <c r="P904" i="8"/>
  <c r="L905" i="8"/>
  <c r="M905" i="8"/>
  <c r="N905" i="8"/>
  <c r="O905" i="8"/>
  <c r="P905" i="8"/>
  <c r="L906" i="8"/>
  <c r="M906" i="8"/>
  <c r="N906" i="8"/>
  <c r="O906" i="8"/>
  <c r="P906" i="8"/>
  <c r="L907" i="8"/>
  <c r="M907" i="8"/>
  <c r="N907" i="8"/>
  <c r="O907" i="8"/>
  <c r="P907" i="8"/>
  <c r="L908" i="8"/>
  <c r="M908" i="8"/>
  <c r="N908" i="8"/>
  <c r="O908" i="8"/>
  <c r="P908" i="8"/>
  <c r="L909" i="8"/>
  <c r="M909" i="8"/>
  <c r="N909" i="8"/>
  <c r="O909" i="8"/>
  <c r="P909" i="8"/>
  <c r="L910" i="8"/>
  <c r="M910" i="8"/>
  <c r="N910" i="8"/>
  <c r="O910" i="8"/>
  <c r="P910" i="8"/>
  <c r="L911" i="8"/>
  <c r="M911" i="8"/>
  <c r="N911" i="8"/>
  <c r="O911" i="8"/>
  <c r="P911" i="8"/>
  <c r="L912" i="8"/>
  <c r="M912" i="8"/>
  <c r="N912" i="8"/>
  <c r="O912" i="8"/>
  <c r="P912" i="8"/>
  <c r="L913" i="8"/>
  <c r="M913" i="8"/>
  <c r="N913" i="8"/>
  <c r="O913" i="8"/>
  <c r="P913" i="8"/>
  <c r="L914" i="8"/>
  <c r="M914" i="8"/>
  <c r="N914" i="8"/>
  <c r="O914" i="8"/>
  <c r="P914" i="8"/>
  <c r="L915" i="8"/>
  <c r="M915" i="8"/>
  <c r="N915" i="8"/>
  <c r="O915" i="8"/>
  <c r="P915" i="8"/>
  <c r="L916" i="8"/>
  <c r="M916" i="8"/>
  <c r="N916" i="8"/>
  <c r="O916" i="8"/>
  <c r="P916" i="8"/>
  <c r="L917" i="8"/>
  <c r="M917" i="8"/>
  <c r="N917" i="8"/>
  <c r="O917" i="8"/>
  <c r="P917" i="8"/>
  <c r="L918" i="8"/>
  <c r="M918" i="8"/>
  <c r="N918" i="8"/>
  <c r="O918" i="8"/>
  <c r="P918" i="8"/>
  <c r="L919" i="8"/>
  <c r="M919" i="8"/>
  <c r="N919" i="8"/>
  <c r="O919" i="8"/>
  <c r="P919" i="8"/>
  <c r="L920" i="8"/>
  <c r="M920" i="8"/>
  <c r="N920" i="8"/>
  <c r="O920" i="8"/>
  <c r="P920" i="8"/>
  <c r="L921" i="8"/>
  <c r="M921" i="8"/>
  <c r="N921" i="8"/>
  <c r="O921" i="8"/>
  <c r="P921" i="8"/>
  <c r="L922" i="8"/>
  <c r="M922" i="8"/>
  <c r="N922" i="8"/>
  <c r="O922" i="8"/>
  <c r="P922" i="8"/>
  <c r="L923" i="8"/>
  <c r="M923" i="8"/>
  <c r="N923" i="8"/>
  <c r="O923" i="8"/>
  <c r="P923" i="8"/>
  <c r="L924" i="8"/>
  <c r="M924" i="8"/>
  <c r="N924" i="8"/>
  <c r="O924" i="8"/>
  <c r="P924" i="8"/>
  <c r="L925" i="8"/>
  <c r="M925" i="8"/>
  <c r="N925" i="8"/>
  <c r="O925" i="8"/>
  <c r="P925" i="8"/>
  <c r="L926" i="8"/>
  <c r="M926" i="8"/>
  <c r="N926" i="8"/>
  <c r="O926" i="8"/>
  <c r="P926" i="8"/>
  <c r="L927" i="8"/>
  <c r="M927" i="8"/>
  <c r="N927" i="8"/>
  <c r="O927" i="8"/>
  <c r="P927" i="8"/>
  <c r="L928" i="8"/>
  <c r="M928" i="8"/>
  <c r="N928" i="8"/>
  <c r="O928" i="8"/>
  <c r="P928" i="8"/>
  <c r="L929" i="8"/>
  <c r="M929" i="8"/>
  <c r="N929" i="8"/>
  <c r="O929" i="8"/>
  <c r="P929" i="8"/>
  <c r="L930" i="8"/>
  <c r="M930" i="8"/>
  <c r="N930" i="8"/>
  <c r="O930" i="8"/>
  <c r="P930" i="8"/>
  <c r="L931" i="8"/>
  <c r="M931" i="8"/>
  <c r="N931" i="8"/>
  <c r="O931" i="8"/>
  <c r="P931" i="8"/>
  <c r="L932" i="8"/>
  <c r="M932" i="8"/>
  <c r="N932" i="8"/>
  <c r="O932" i="8"/>
  <c r="P932" i="8"/>
  <c r="L933" i="8"/>
  <c r="M933" i="8"/>
  <c r="N933" i="8"/>
  <c r="O933" i="8"/>
  <c r="P933" i="8"/>
  <c r="L934" i="8"/>
  <c r="M934" i="8"/>
  <c r="N934" i="8"/>
  <c r="O934" i="8"/>
  <c r="P934" i="8"/>
  <c r="L935" i="8"/>
  <c r="M935" i="8"/>
  <c r="N935" i="8"/>
  <c r="O935" i="8"/>
  <c r="P935" i="8"/>
  <c r="L936" i="8"/>
  <c r="M936" i="8"/>
  <c r="N936" i="8"/>
  <c r="O936" i="8"/>
  <c r="P936" i="8"/>
  <c r="L937" i="8"/>
  <c r="M937" i="8"/>
  <c r="N937" i="8"/>
  <c r="O937" i="8"/>
  <c r="P937" i="8"/>
  <c r="L938" i="8"/>
  <c r="M938" i="8"/>
  <c r="N938" i="8"/>
  <c r="O938" i="8"/>
  <c r="P938" i="8"/>
  <c r="L939" i="8"/>
  <c r="M939" i="8"/>
  <c r="N939" i="8"/>
  <c r="O939" i="8"/>
  <c r="P939" i="8"/>
  <c r="L940" i="8"/>
  <c r="M940" i="8"/>
  <c r="N940" i="8"/>
  <c r="O940" i="8"/>
  <c r="P940" i="8"/>
  <c r="L941" i="8"/>
  <c r="M941" i="8"/>
  <c r="N941" i="8"/>
  <c r="O941" i="8"/>
  <c r="P941" i="8"/>
  <c r="L942" i="8"/>
  <c r="M942" i="8"/>
  <c r="N942" i="8"/>
  <c r="O942" i="8"/>
  <c r="P942" i="8"/>
  <c r="L943" i="8"/>
  <c r="M943" i="8"/>
  <c r="N943" i="8"/>
  <c r="O943" i="8"/>
  <c r="P943" i="8"/>
  <c r="L944" i="8"/>
  <c r="M944" i="8"/>
  <c r="N944" i="8"/>
  <c r="O944" i="8"/>
  <c r="P944" i="8"/>
  <c r="L945" i="8"/>
  <c r="M945" i="8"/>
  <c r="N945" i="8"/>
  <c r="O945" i="8"/>
  <c r="P945" i="8"/>
  <c r="L946" i="8"/>
  <c r="M946" i="8"/>
  <c r="N946" i="8"/>
  <c r="O946" i="8"/>
  <c r="P946" i="8"/>
  <c r="L947" i="8"/>
  <c r="M947" i="8"/>
  <c r="N947" i="8"/>
  <c r="O947" i="8"/>
  <c r="P947" i="8"/>
  <c r="L948" i="8"/>
  <c r="M948" i="8"/>
  <c r="N948" i="8"/>
  <c r="O948" i="8"/>
  <c r="P948" i="8"/>
  <c r="L949" i="8"/>
  <c r="M949" i="8"/>
  <c r="N949" i="8"/>
  <c r="O949" i="8"/>
  <c r="P949" i="8"/>
  <c r="L950" i="8"/>
  <c r="M950" i="8"/>
  <c r="N950" i="8"/>
  <c r="O950" i="8"/>
  <c r="P950" i="8"/>
  <c r="L951" i="8"/>
  <c r="M951" i="8"/>
  <c r="N951" i="8"/>
  <c r="O951" i="8"/>
  <c r="P951" i="8"/>
  <c r="L952" i="8"/>
  <c r="M952" i="8"/>
  <c r="N952" i="8"/>
  <c r="O952" i="8"/>
  <c r="P952" i="8"/>
  <c r="L953" i="8"/>
  <c r="M953" i="8"/>
  <c r="N953" i="8"/>
  <c r="O953" i="8"/>
  <c r="P953" i="8"/>
  <c r="L954" i="8"/>
  <c r="M954" i="8"/>
  <c r="N954" i="8"/>
  <c r="O954" i="8"/>
  <c r="P954" i="8"/>
  <c r="L955" i="8"/>
  <c r="M955" i="8"/>
  <c r="N955" i="8"/>
  <c r="O955" i="8"/>
  <c r="P955" i="8"/>
  <c r="L956" i="8"/>
  <c r="M956" i="8"/>
  <c r="N956" i="8"/>
  <c r="O956" i="8"/>
  <c r="P956" i="8"/>
  <c r="L957" i="8"/>
  <c r="M957" i="8"/>
  <c r="N957" i="8"/>
  <c r="O957" i="8"/>
  <c r="P957" i="8"/>
  <c r="L958" i="8"/>
  <c r="M958" i="8"/>
  <c r="N958" i="8"/>
  <c r="O958" i="8"/>
  <c r="P958" i="8"/>
  <c r="L959" i="8"/>
  <c r="M959" i="8"/>
  <c r="N959" i="8"/>
  <c r="O959" i="8"/>
  <c r="P959" i="8"/>
  <c r="L960" i="8"/>
  <c r="M960" i="8"/>
  <c r="N960" i="8"/>
  <c r="O960" i="8"/>
  <c r="P960" i="8"/>
  <c r="L961" i="8"/>
  <c r="M961" i="8"/>
  <c r="N961" i="8"/>
  <c r="O961" i="8"/>
  <c r="P961" i="8"/>
  <c r="L962" i="8"/>
  <c r="M962" i="8"/>
  <c r="N962" i="8"/>
  <c r="O962" i="8"/>
  <c r="P962" i="8"/>
  <c r="L963" i="8"/>
  <c r="M963" i="8"/>
  <c r="N963" i="8"/>
  <c r="O963" i="8"/>
  <c r="P963" i="8"/>
  <c r="L964" i="8"/>
  <c r="M964" i="8"/>
  <c r="N964" i="8"/>
  <c r="O964" i="8"/>
  <c r="P964" i="8"/>
  <c r="L965" i="8"/>
  <c r="M965" i="8"/>
  <c r="N965" i="8"/>
  <c r="O965" i="8"/>
  <c r="P965" i="8"/>
  <c r="L966" i="8"/>
  <c r="M966" i="8"/>
  <c r="N966" i="8"/>
  <c r="O966" i="8"/>
  <c r="P966" i="8"/>
  <c r="L967" i="8"/>
  <c r="M967" i="8"/>
  <c r="N967" i="8"/>
  <c r="O967" i="8"/>
  <c r="P967" i="8"/>
  <c r="L968" i="8"/>
  <c r="M968" i="8"/>
  <c r="N968" i="8"/>
  <c r="O968" i="8"/>
  <c r="P968" i="8"/>
  <c r="L969" i="8"/>
  <c r="M969" i="8"/>
  <c r="N969" i="8"/>
  <c r="O969" i="8"/>
  <c r="P969" i="8"/>
  <c r="L970" i="8"/>
  <c r="M970" i="8"/>
  <c r="N970" i="8"/>
  <c r="O970" i="8"/>
  <c r="P970" i="8"/>
  <c r="L971" i="8"/>
  <c r="M971" i="8"/>
  <c r="N971" i="8"/>
  <c r="O971" i="8"/>
  <c r="P971" i="8"/>
  <c r="L972" i="8"/>
  <c r="M972" i="8"/>
  <c r="N972" i="8"/>
  <c r="O972" i="8"/>
  <c r="P972" i="8"/>
  <c r="L973" i="8"/>
  <c r="M973" i="8"/>
  <c r="N973" i="8"/>
  <c r="O973" i="8"/>
  <c r="P973" i="8"/>
  <c r="L974" i="8"/>
  <c r="M974" i="8"/>
  <c r="N974" i="8"/>
  <c r="O974" i="8"/>
  <c r="P974" i="8"/>
  <c r="L975" i="8"/>
  <c r="M975" i="8"/>
  <c r="N975" i="8"/>
  <c r="O975" i="8"/>
  <c r="P975" i="8"/>
  <c r="L976" i="8"/>
  <c r="M976" i="8"/>
  <c r="N976" i="8"/>
  <c r="O976" i="8"/>
  <c r="P976" i="8"/>
  <c r="L977" i="8"/>
  <c r="M977" i="8"/>
  <c r="N977" i="8"/>
  <c r="O977" i="8"/>
  <c r="P977" i="8"/>
  <c r="L978" i="8"/>
  <c r="M978" i="8"/>
  <c r="N978" i="8"/>
  <c r="O978" i="8"/>
  <c r="P978" i="8"/>
  <c r="L979" i="8"/>
  <c r="M979" i="8"/>
  <c r="N979" i="8"/>
  <c r="O979" i="8"/>
  <c r="P979" i="8"/>
  <c r="L980" i="8"/>
  <c r="M980" i="8"/>
  <c r="N980" i="8"/>
  <c r="O980" i="8"/>
  <c r="P980" i="8"/>
  <c r="L981" i="8"/>
  <c r="M981" i="8"/>
  <c r="N981" i="8"/>
  <c r="O981" i="8"/>
  <c r="P981" i="8"/>
  <c r="L982" i="8"/>
  <c r="M982" i="8"/>
  <c r="N982" i="8"/>
  <c r="O982" i="8"/>
  <c r="P982" i="8"/>
  <c r="L983" i="8"/>
  <c r="M983" i="8"/>
  <c r="N983" i="8"/>
  <c r="O983" i="8"/>
  <c r="P983" i="8"/>
  <c r="L984" i="8"/>
  <c r="M984" i="8"/>
  <c r="N984" i="8"/>
  <c r="O984" i="8"/>
  <c r="P984" i="8"/>
  <c r="L985" i="8"/>
  <c r="M985" i="8"/>
  <c r="N985" i="8"/>
  <c r="O985" i="8"/>
  <c r="P985" i="8"/>
  <c r="L986" i="8"/>
  <c r="M986" i="8"/>
  <c r="N986" i="8"/>
  <c r="O986" i="8"/>
  <c r="P986" i="8"/>
  <c r="L987" i="8"/>
  <c r="M987" i="8"/>
  <c r="N987" i="8"/>
  <c r="O987" i="8"/>
  <c r="P987" i="8"/>
  <c r="L988" i="8"/>
  <c r="M988" i="8"/>
  <c r="N988" i="8"/>
  <c r="O988" i="8"/>
  <c r="P988" i="8"/>
  <c r="L989" i="8"/>
  <c r="M989" i="8"/>
  <c r="N989" i="8"/>
  <c r="O989" i="8"/>
  <c r="P989" i="8"/>
  <c r="L990" i="8"/>
  <c r="M990" i="8"/>
  <c r="N990" i="8"/>
  <c r="O990" i="8"/>
  <c r="P990" i="8"/>
  <c r="L991" i="8"/>
  <c r="M991" i="8"/>
  <c r="N991" i="8"/>
  <c r="O991" i="8"/>
  <c r="P991" i="8"/>
  <c r="L992" i="8"/>
  <c r="M992" i="8"/>
  <c r="N992" i="8"/>
  <c r="O992" i="8"/>
  <c r="P992" i="8"/>
  <c r="L993" i="8"/>
  <c r="M993" i="8"/>
  <c r="N993" i="8"/>
  <c r="O993" i="8"/>
  <c r="P993" i="8"/>
  <c r="L994" i="8"/>
  <c r="M994" i="8"/>
  <c r="N994" i="8"/>
  <c r="O994" i="8"/>
  <c r="P994" i="8"/>
  <c r="L995" i="8"/>
  <c r="M995" i="8"/>
  <c r="N995" i="8"/>
  <c r="O995" i="8"/>
  <c r="P995" i="8"/>
  <c r="L996" i="8"/>
  <c r="M996" i="8"/>
  <c r="N996" i="8"/>
  <c r="O996" i="8"/>
  <c r="P996" i="8"/>
  <c r="L997" i="8"/>
  <c r="M997" i="8"/>
  <c r="N997" i="8"/>
  <c r="O997" i="8"/>
  <c r="P997" i="8"/>
  <c r="L998" i="8"/>
  <c r="M998" i="8"/>
  <c r="N998" i="8"/>
  <c r="O998" i="8"/>
  <c r="P998" i="8"/>
  <c r="L999" i="8"/>
  <c r="M999" i="8"/>
  <c r="N999" i="8"/>
  <c r="O999" i="8"/>
  <c r="P999" i="8"/>
  <c r="L1000" i="8"/>
  <c r="M1000" i="8"/>
  <c r="N1000" i="8"/>
  <c r="O1000" i="8"/>
  <c r="P1000" i="8"/>
  <c r="L602" i="8"/>
  <c r="M602" i="8"/>
  <c r="N602" i="8"/>
  <c r="O602" i="8"/>
  <c r="P602" i="8"/>
  <c r="L603" i="8"/>
  <c r="M603" i="8"/>
  <c r="N603" i="8"/>
  <c r="O603" i="8"/>
  <c r="P603" i="8"/>
  <c r="L604" i="8"/>
  <c r="M604" i="8"/>
  <c r="N604" i="8"/>
  <c r="O604" i="8"/>
  <c r="P604" i="8"/>
  <c r="L605" i="8"/>
  <c r="M605" i="8"/>
  <c r="N605" i="8"/>
  <c r="O605" i="8"/>
  <c r="P605" i="8"/>
  <c r="L606" i="8"/>
  <c r="M606" i="8"/>
  <c r="N606" i="8"/>
  <c r="O606" i="8"/>
  <c r="P606" i="8"/>
  <c r="L607" i="8"/>
  <c r="M607" i="8"/>
  <c r="N607" i="8"/>
  <c r="O607" i="8"/>
  <c r="P607" i="8"/>
  <c r="L608" i="8"/>
  <c r="M608" i="8"/>
  <c r="N608" i="8"/>
  <c r="O608" i="8"/>
  <c r="P608" i="8"/>
  <c r="L609" i="8"/>
  <c r="M609" i="8"/>
  <c r="N609" i="8"/>
  <c r="O609" i="8"/>
  <c r="P609" i="8"/>
  <c r="L610" i="8"/>
  <c r="M610" i="8"/>
  <c r="N610" i="8"/>
  <c r="O610" i="8"/>
  <c r="P610" i="8"/>
  <c r="L611" i="8"/>
  <c r="M611" i="8"/>
  <c r="N611" i="8"/>
  <c r="O611" i="8"/>
  <c r="P611" i="8"/>
  <c r="L612" i="8"/>
  <c r="M612" i="8"/>
  <c r="N612" i="8"/>
  <c r="O612" i="8"/>
  <c r="P612" i="8"/>
  <c r="L613" i="8"/>
  <c r="M613" i="8"/>
  <c r="N613" i="8"/>
  <c r="O613" i="8"/>
  <c r="P613" i="8"/>
  <c r="L614" i="8"/>
  <c r="M614" i="8"/>
  <c r="N614" i="8"/>
  <c r="O614" i="8"/>
  <c r="P614" i="8"/>
  <c r="L615" i="8"/>
  <c r="M615" i="8"/>
  <c r="N615" i="8"/>
  <c r="O615" i="8"/>
  <c r="P615" i="8"/>
  <c r="L616" i="8"/>
  <c r="M616" i="8"/>
  <c r="N616" i="8"/>
  <c r="O616" i="8"/>
  <c r="P616" i="8"/>
  <c r="L617" i="8"/>
  <c r="M617" i="8"/>
  <c r="N617" i="8"/>
  <c r="O617" i="8"/>
  <c r="P617" i="8"/>
  <c r="L618" i="8"/>
  <c r="M618" i="8"/>
  <c r="N618" i="8"/>
  <c r="O618" i="8"/>
  <c r="P618" i="8"/>
  <c r="L619" i="8"/>
  <c r="M619" i="8"/>
  <c r="N619" i="8"/>
  <c r="O619" i="8"/>
  <c r="P619" i="8"/>
  <c r="L620" i="8"/>
  <c r="M620" i="8"/>
  <c r="N620" i="8"/>
  <c r="O620" i="8"/>
  <c r="P620" i="8"/>
  <c r="L621" i="8"/>
  <c r="M621" i="8"/>
  <c r="N621" i="8"/>
  <c r="O621" i="8"/>
  <c r="P621" i="8"/>
  <c r="L622" i="8"/>
  <c r="M622" i="8"/>
  <c r="N622" i="8"/>
  <c r="O622" i="8"/>
  <c r="P622" i="8"/>
  <c r="L623" i="8"/>
  <c r="M623" i="8"/>
  <c r="N623" i="8"/>
  <c r="O623" i="8"/>
  <c r="P623" i="8"/>
  <c r="L624" i="8"/>
  <c r="M624" i="8"/>
  <c r="N624" i="8"/>
  <c r="O624" i="8"/>
  <c r="P624" i="8"/>
  <c r="L625" i="8"/>
  <c r="M625" i="8"/>
  <c r="N625" i="8"/>
  <c r="O625" i="8"/>
  <c r="P625" i="8"/>
  <c r="L626" i="8"/>
  <c r="M626" i="8"/>
  <c r="N626" i="8"/>
  <c r="O626" i="8"/>
  <c r="P626" i="8"/>
  <c r="L627" i="8"/>
  <c r="M627" i="8"/>
  <c r="N627" i="8"/>
  <c r="O627" i="8"/>
  <c r="P627" i="8"/>
  <c r="L628" i="8"/>
  <c r="M628" i="8"/>
  <c r="N628" i="8"/>
  <c r="O628" i="8"/>
  <c r="P628" i="8"/>
  <c r="L629" i="8"/>
  <c r="M629" i="8"/>
  <c r="N629" i="8"/>
  <c r="O629" i="8"/>
  <c r="P629" i="8"/>
  <c r="L630" i="8"/>
  <c r="M630" i="8"/>
  <c r="N630" i="8"/>
  <c r="O630" i="8"/>
  <c r="P630" i="8"/>
  <c r="L631" i="8"/>
  <c r="M631" i="8"/>
  <c r="N631" i="8"/>
  <c r="O631" i="8"/>
  <c r="P631" i="8"/>
  <c r="L632" i="8"/>
  <c r="M632" i="8"/>
  <c r="N632" i="8"/>
  <c r="O632" i="8"/>
  <c r="P632" i="8"/>
  <c r="L633" i="8"/>
  <c r="M633" i="8"/>
  <c r="N633" i="8"/>
  <c r="O633" i="8"/>
  <c r="P633" i="8"/>
  <c r="L634" i="8"/>
  <c r="M634" i="8"/>
  <c r="N634" i="8"/>
  <c r="O634" i="8"/>
  <c r="P634" i="8"/>
  <c r="L635" i="8"/>
  <c r="M635" i="8"/>
  <c r="N635" i="8"/>
  <c r="O635" i="8"/>
  <c r="P635" i="8"/>
  <c r="L636" i="8"/>
  <c r="M636" i="8"/>
  <c r="N636" i="8"/>
  <c r="O636" i="8"/>
  <c r="P636" i="8"/>
  <c r="L637" i="8"/>
  <c r="M637" i="8"/>
  <c r="N637" i="8"/>
  <c r="O637" i="8"/>
  <c r="P637" i="8"/>
  <c r="L638" i="8"/>
  <c r="M638" i="8"/>
  <c r="N638" i="8"/>
  <c r="O638" i="8"/>
  <c r="P638" i="8"/>
  <c r="L639" i="8"/>
  <c r="M639" i="8"/>
  <c r="N639" i="8"/>
  <c r="O639" i="8"/>
  <c r="P639" i="8"/>
  <c r="L640" i="8"/>
  <c r="M640" i="8"/>
  <c r="N640" i="8"/>
  <c r="O640" i="8"/>
  <c r="P640" i="8"/>
  <c r="L641" i="8"/>
  <c r="M641" i="8"/>
  <c r="N641" i="8"/>
  <c r="O641" i="8"/>
  <c r="P641" i="8"/>
  <c r="L642" i="8"/>
  <c r="M642" i="8"/>
  <c r="N642" i="8"/>
  <c r="O642" i="8"/>
  <c r="P642" i="8"/>
  <c r="L643" i="8"/>
  <c r="M643" i="8"/>
  <c r="N643" i="8"/>
  <c r="O643" i="8"/>
  <c r="P643" i="8"/>
  <c r="L644" i="8"/>
  <c r="M644" i="8"/>
  <c r="N644" i="8"/>
  <c r="O644" i="8"/>
  <c r="P644" i="8"/>
  <c r="L645" i="8"/>
  <c r="M645" i="8"/>
  <c r="N645" i="8"/>
  <c r="O645" i="8"/>
  <c r="P645" i="8"/>
  <c r="L646" i="8"/>
  <c r="M646" i="8"/>
  <c r="N646" i="8"/>
  <c r="O646" i="8"/>
  <c r="P646" i="8"/>
  <c r="L647" i="8"/>
  <c r="M647" i="8"/>
  <c r="N647" i="8"/>
  <c r="O647" i="8"/>
  <c r="P647" i="8"/>
  <c r="L648" i="8"/>
  <c r="M648" i="8"/>
  <c r="N648" i="8"/>
  <c r="O648" i="8"/>
  <c r="P648" i="8"/>
  <c r="L649" i="8"/>
  <c r="M649" i="8"/>
  <c r="N649" i="8"/>
  <c r="O649" i="8"/>
  <c r="P649" i="8"/>
  <c r="L650" i="8"/>
  <c r="M650" i="8"/>
  <c r="N650" i="8"/>
  <c r="O650" i="8"/>
  <c r="P650" i="8"/>
  <c r="L651" i="8"/>
  <c r="M651" i="8"/>
  <c r="N651" i="8"/>
  <c r="O651" i="8"/>
  <c r="P651" i="8"/>
  <c r="L652" i="8"/>
  <c r="M652" i="8"/>
  <c r="N652" i="8"/>
  <c r="O652" i="8"/>
  <c r="P652" i="8"/>
  <c r="L653" i="8"/>
  <c r="M653" i="8"/>
  <c r="N653" i="8"/>
  <c r="O653" i="8"/>
  <c r="P653" i="8"/>
  <c r="L654" i="8"/>
  <c r="M654" i="8"/>
  <c r="N654" i="8"/>
  <c r="O654" i="8"/>
  <c r="P654" i="8"/>
  <c r="L655" i="8"/>
  <c r="M655" i="8"/>
  <c r="N655" i="8"/>
  <c r="O655" i="8"/>
  <c r="P655" i="8"/>
  <c r="L656" i="8"/>
  <c r="M656" i="8"/>
  <c r="N656" i="8"/>
  <c r="O656" i="8"/>
  <c r="P656" i="8"/>
  <c r="L657" i="8"/>
  <c r="M657" i="8"/>
  <c r="N657" i="8"/>
  <c r="O657" i="8"/>
  <c r="P657" i="8"/>
  <c r="L658" i="8"/>
  <c r="M658" i="8"/>
  <c r="N658" i="8"/>
  <c r="O658" i="8"/>
  <c r="P658" i="8"/>
  <c r="L659" i="8"/>
  <c r="M659" i="8"/>
  <c r="N659" i="8"/>
  <c r="O659" i="8"/>
  <c r="P659" i="8"/>
  <c r="L660" i="8"/>
  <c r="M660" i="8"/>
  <c r="N660" i="8"/>
  <c r="O660" i="8"/>
  <c r="P660" i="8"/>
  <c r="L661" i="8"/>
  <c r="M661" i="8"/>
  <c r="N661" i="8"/>
  <c r="O661" i="8"/>
  <c r="P661" i="8"/>
  <c r="L662" i="8"/>
  <c r="M662" i="8"/>
  <c r="N662" i="8"/>
  <c r="O662" i="8"/>
  <c r="P662" i="8"/>
  <c r="L663" i="8"/>
  <c r="M663" i="8"/>
  <c r="N663" i="8"/>
  <c r="O663" i="8"/>
  <c r="P663" i="8"/>
  <c r="L664" i="8"/>
  <c r="M664" i="8"/>
  <c r="N664" i="8"/>
  <c r="O664" i="8"/>
  <c r="P664" i="8"/>
  <c r="L665" i="8"/>
  <c r="M665" i="8"/>
  <c r="N665" i="8"/>
  <c r="O665" i="8"/>
  <c r="P665" i="8"/>
  <c r="L666" i="8"/>
  <c r="M666" i="8"/>
  <c r="N666" i="8"/>
  <c r="O666" i="8"/>
  <c r="P666" i="8"/>
  <c r="L667" i="8"/>
  <c r="M667" i="8"/>
  <c r="N667" i="8"/>
  <c r="O667" i="8"/>
  <c r="P667" i="8"/>
  <c r="L668" i="8"/>
  <c r="M668" i="8"/>
  <c r="N668" i="8"/>
  <c r="O668" i="8"/>
  <c r="P668" i="8"/>
  <c r="L669" i="8"/>
  <c r="M669" i="8"/>
  <c r="N669" i="8"/>
  <c r="O669" i="8"/>
  <c r="P669" i="8"/>
  <c r="L670" i="8"/>
  <c r="M670" i="8"/>
  <c r="N670" i="8"/>
  <c r="O670" i="8"/>
  <c r="P670" i="8"/>
  <c r="L671" i="8"/>
  <c r="M671" i="8"/>
  <c r="N671" i="8"/>
  <c r="O671" i="8"/>
  <c r="P671" i="8"/>
  <c r="L672" i="8"/>
  <c r="M672" i="8"/>
  <c r="N672" i="8"/>
  <c r="O672" i="8"/>
  <c r="P672" i="8"/>
  <c r="L673" i="8"/>
  <c r="M673" i="8"/>
  <c r="N673" i="8"/>
  <c r="O673" i="8"/>
  <c r="P673" i="8"/>
  <c r="L674" i="8"/>
  <c r="M674" i="8"/>
  <c r="N674" i="8"/>
  <c r="O674" i="8"/>
  <c r="P674" i="8"/>
  <c r="L675" i="8"/>
  <c r="M675" i="8"/>
  <c r="N675" i="8"/>
  <c r="O675" i="8"/>
  <c r="P675" i="8"/>
  <c r="L676" i="8"/>
  <c r="M676" i="8"/>
  <c r="N676" i="8"/>
  <c r="O676" i="8"/>
  <c r="P676" i="8"/>
  <c r="L677" i="8"/>
  <c r="M677" i="8"/>
  <c r="N677" i="8"/>
  <c r="O677" i="8"/>
  <c r="P677" i="8"/>
  <c r="L678" i="8"/>
  <c r="M678" i="8"/>
  <c r="N678" i="8"/>
  <c r="O678" i="8"/>
  <c r="P678" i="8"/>
  <c r="L679" i="8"/>
  <c r="M679" i="8"/>
  <c r="N679" i="8"/>
  <c r="O679" i="8"/>
  <c r="P679" i="8"/>
  <c r="L680" i="8"/>
  <c r="M680" i="8"/>
  <c r="N680" i="8"/>
  <c r="O680" i="8"/>
  <c r="P680" i="8"/>
  <c r="L681" i="8"/>
  <c r="M681" i="8"/>
  <c r="N681" i="8"/>
  <c r="O681" i="8"/>
  <c r="P681" i="8"/>
  <c r="L682" i="8"/>
  <c r="M682" i="8"/>
  <c r="N682" i="8"/>
  <c r="O682" i="8"/>
  <c r="P682" i="8"/>
  <c r="L683" i="8"/>
  <c r="M683" i="8"/>
  <c r="N683" i="8"/>
  <c r="O683" i="8"/>
  <c r="P683" i="8"/>
  <c r="L684" i="8"/>
  <c r="M684" i="8"/>
  <c r="N684" i="8"/>
  <c r="O684" i="8"/>
  <c r="P684" i="8"/>
  <c r="L685" i="8"/>
  <c r="M685" i="8"/>
  <c r="N685" i="8"/>
  <c r="O685" i="8"/>
  <c r="P685" i="8"/>
  <c r="L686" i="8"/>
  <c r="M686" i="8"/>
  <c r="N686" i="8"/>
  <c r="O686" i="8"/>
  <c r="P686" i="8"/>
  <c r="L687" i="8"/>
  <c r="M687" i="8"/>
  <c r="N687" i="8"/>
  <c r="O687" i="8"/>
  <c r="P687" i="8"/>
  <c r="L688" i="8"/>
  <c r="M688" i="8"/>
  <c r="N688" i="8"/>
  <c r="O688" i="8"/>
  <c r="P688" i="8"/>
  <c r="L689" i="8"/>
  <c r="M689" i="8"/>
  <c r="N689" i="8"/>
  <c r="O689" i="8"/>
  <c r="P689" i="8"/>
  <c r="L690" i="8"/>
  <c r="M690" i="8"/>
  <c r="N690" i="8"/>
  <c r="O690" i="8"/>
  <c r="P690" i="8"/>
  <c r="L691" i="8"/>
  <c r="M691" i="8"/>
  <c r="N691" i="8"/>
  <c r="O691" i="8"/>
  <c r="P691" i="8"/>
  <c r="L692" i="8"/>
  <c r="M692" i="8"/>
  <c r="N692" i="8"/>
  <c r="O692" i="8"/>
  <c r="P692" i="8"/>
  <c r="L693" i="8"/>
  <c r="M693" i="8"/>
  <c r="N693" i="8"/>
  <c r="O693" i="8"/>
  <c r="P693" i="8"/>
  <c r="L694" i="8"/>
  <c r="M694" i="8"/>
  <c r="N694" i="8"/>
  <c r="O694" i="8"/>
  <c r="P694" i="8"/>
  <c r="L695" i="8"/>
  <c r="M695" i="8"/>
  <c r="N695" i="8"/>
  <c r="O695" i="8"/>
  <c r="P695" i="8"/>
  <c r="L696" i="8"/>
  <c r="M696" i="8"/>
  <c r="N696" i="8"/>
  <c r="O696" i="8"/>
  <c r="P696" i="8"/>
  <c r="L697" i="8"/>
  <c r="M697" i="8"/>
  <c r="N697" i="8"/>
  <c r="O697" i="8"/>
  <c r="P697" i="8"/>
  <c r="L698" i="8"/>
  <c r="M698" i="8"/>
  <c r="N698" i="8"/>
  <c r="O698" i="8"/>
  <c r="P698" i="8"/>
  <c r="L699" i="8"/>
  <c r="M699" i="8"/>
  <c r="N699" i="8"/>
  <c r="O699" i="8"/>
  <c r="P699" i="8"/>
  <c r="L700" i="8"/>
  <c r="M700" i="8"/>
  <c r="N700" i="8"/>
  <c r="O700" i="8"/>
  <c r="P700" i="8"/>
  <c r="L701" i="8"/>
  <c r="M701" i="8"/>
  <c r="N701" i="8"/>
  <c r="O701" i="8"/>
  <c r="P701" i="8"/>
  <c r="L702" i="8"/>
  <c r="M702" i="8"/>
  <c r="N702" i="8"/>
  <c r="O702" i="8"/>
  <c r="P702" i="8"/>
  <c r="L703" i="8"/>
  <c r="M703" i="8"/>
  <c r="N703" i="8"/>
  <c r="O703" i="8"/>
  <c r="P703" i="8"/>
  <c r="L704" i="8"/>
  <c r="M704" i="8"/>
  <c r="N704" i="8"/>
  <c r="O704" i="8"/>
  <c r="P704" i="8"/>
  <c r="L705" i="8"/>
  <c r="M705" i="8"/>
  <c r="N705" i="8"/>
  <c r="O705" i="8"/>
  <c r="P705" i="8"/>
  <c r="L706" i="8"/>
  <c r="M706" i="8"/>
  <c r="N706" i="8"/>
  <c r="O706" i="8"/>
  <c r="P706" i="8"/>
  <c r="L707" i="8"/>
  <c r="M707" i="8"/>
  <c r="N707" i="8"/>
  <c r="O707" i="8"/>
  <c r="P707" i="8"/>
  <c r="L708" i="8"/>
  <c r="M708" i="8"/>
  <c r="N708" i="8"/>
  <c r="O708" i="8"/>
  <c r="P708" i="8"/>
  <c r="L709" i="8"/>
  <c r="M709" i="8"/>
  <c r="N709" i="8"/>
  <c r="O709" i="8"/>
  <c r="P709" i="8"/>
  <c r="L710" i="8"/>
  <c r="M710" i="8"/>
  <c r="N710" i="8"/>
  <c r="O710" i="8"/>
  <c r="P710" i="8"/>
  <c r="L711" i="8"/>
  <c r="M711" i="8"/>
  <c r="N711" i="8"/>
  <c r="O711" i="8"/>
  <c r="P711" i="8"/>
  <c r="L712" i="8"/>
  <c r="M712" i="8"/>
  <c r="N712" i="8"/>
  <c r="O712" i="8"/>
  <c r="P712" i="8"/>
  <c r="L713" i="8"/>
  <c r="M713" i="8"/>
  <c r="N713" i="8"/>
  <c r="O713" i="8"/>
  <c r="P713" i="8"/>
  <c r="L714" i="8"/>
  <c r="M714" i="8"/>
  <c r="N714" i="8"/>
  <c r="O714" i="8"/>
  <c r="P714" i="8"/>
  <c r="L715" i="8"/>
  <c r="M715" i="8"/>
  <c r="N715" i="8"/>
  <c r="O715" i="8"/>
  <c r="P715" i="8"/>
  <c r="L716" i="8"/>
  <c r="M716" i="8"/>
  <c r="N716" i="8"/>
  <c r="O716" i="8"/>
  <c r="P716" i="8"/>
  <c r="L717" i="8"/>
  <c r="M717" i="8"/>
  <c r="N717" i="8"/>
  <c r="O717" i="8"/>
  <c r="P717" i="8"/>
  <c r="L718" i="8"/>
  <c r="M718" i="8"/>
  <c r="N718" i="8"/>
  <c r="O718" i="8"/>
  <c r="P718" i="8"/>
  <c r="L719" i="8"/>
  <c r="M719" i="8"/>
  <c r="N719" i="8"/>
  <c r="O719" i="8"/>
  <c r="P719" i="8"/>
  <c r="L720" i="8"/>
  <c r="M720" i="8"/>
  <c r="N720" i="8"/>
  <c r="O720" i="8"/>
  <c r="P720" i="8"/>
  <c r="L721" i="8"/>
  <c r="M721" i="8"/>
  <c r="N721" i="8"/>
  <c r="O721" i="8"/>
  <c r="P721" i="8"/>
  <c r="L722" i="8"/>
  <c r="M722" i="8"/>
  <c r="N722" i="8"/>
  <c r="O722" i="8"/>
  <c r="P722" i="8"/>
  <c r="L723" i="8"/>
  <c r="M723" i="8"/>
  <c r="N723" i="8"/>
  <c r="O723" i="8"/>
  <c r="P723" i="8"/>
  <c r="L724" i="8"/>
  <c r="M724" i="8"/>
  <c r="N724" i="8"/>
  <c r="O724" i="8"/>
  <c r="P724" i="8"/>
  <c r="L725" i="8"/>
  <c r="M725" i="8"/>
  <c r="N725" i="8"/>
  <c r="O725" i="8"/>
  <c r="P725" i="8"/>
  <c r="L726" i="8"/>
  <c r="M726" i="8"/>
  <c r="N726" i="8"/>
  <c r="O726" i="8"/>
  <c r="P726" i="8"/>
  <c r="L727" i="8"/>
  <c r="M727" i="8"/>
  <c r="N727" i="8"/>
  <c r="O727" i="8"/>
  <c r="P727" i="8"/>
  <c r="L728" i="8"/>
  <c r="M728" i="8"/>
  <c r="N728" i="8"/>
  <c r="O728" i="8"/>
  <c r="P728" i="8"/>
  <c r="L729" i="8"/>
  <c r="M729" i="8"/>
  <c r="N729" i="8"/>
  <c r="O729" i="8"/>
  <c r="P729" i="8"/>
  <c r="L730" i="8"/>
  <c r="M730" i="8"/>
  <c r="N730" i="8"/>
  <c r="O730" i="8"/>
  <c r="P730" i="8"/>
  <c r="L731" i="8"/>
  <c r="M731" i="8"/>
  <c r="N731" i="8"/>
  <c r="O731" i="8"/>
  <c r="P731" i="8"/>
  <c r="L732" i="8"/>
  <c r="M732" i="8"/>
  <c r="N732" i="8"/>
  <c r="O732" i="8"/>
  <c r="P732" i="8"/>
  <c r="L733" i="8"/>
  <c r="M733" i="8"/>
  <c r="N733" i="8"/>
  <c r="O733" i="8"/>
  <c r="P733" i="8"/>
  <c r="L734" i="8"/>
  <c r="M734" i="8"/>
  <c r="N734" i="8"/>
  <c r="O734" i="8"/>
  <c r="P734" i="8"/>
  <c r="L735" i="8"/>
  <c r="M735" i="8"/>
  <c r="N735" i="8"/>
  <c r="O735" i="8"/>
  <c r="P735" i="8"/>
  <c r="L736" i="8"/>
  <c r="M736" i="8"/>
  <c r="N736" i="8"/>
  <c r="O736" i="8"/>
  <c r="P736" i="8"/>
  <c r="L737" i="8"/>
  <c r="M737" i="8"/>
  <c r="N737" i="8"/>
  <c r="O737" i="8"/>
  <c r="P737" i="8"/>
  <c r="L738" i="8"/>
  <c r="M738" i="8"/>
  <c r="N738" i="8"/>
  <c r="O738" i="8"/>
  <c r="P738" i="8"/>
  <c r="L739" i="8"/>
  <c r="M739" i="8"/>
  <c r="N739" i="8"/>
  <c r="O739" i="8"/>
  <c r="P739" i="8"/>
  <c r="L740" i="8"/>
  <c r="M740" i="8"/>
  <c r="N740" i="8"/>
  <c r="O740" i="8"/>
  <c r="P740" i="8"/>
  <c r="L741" i="8"/>
  <c r="M741" i="8"/>
  <c r="N741" i="8"/>
  <c r="O741" i="8"/>
  <c r="P741" i="8"/>
  <c r="L742" i="8"/>
  <c r="M742" i="8"/>
  <c r="N742" i="8"/>
  <c r="O742" i="8"/>
  <c r="P742" i="8"/>
  <c r="L743" i="8"/>
  <c r="M743" i="8"/>
  <c r="N743" i="8"/>
  <c r="O743" i="8"/>
  <c r="P743" i="8"/>
  <c r="L744" i="8"/>
  <c r="M744" i="8"/>
  <c r="N744" i="8"/>
  <c r="O744" i="8"/>
  <c r="P744" i="8"/>
  <c r="L745" i="8"/>
  <c r="M745" i="8"/>
  <c r="N745" i="8"/>
  <c r="O745" i="8"/>
  <c r="P745" i="8"/>
  <c r="L746" i="8"/>
  <c r="M746" i="8"/>
  <c r="N746" i="8"/>
  <c r="O746" i="8"/>
  <c r="P746" i="8"/>
  <c r="L747" i="8"/>
  <c r="M747" i="8"/>
  <c r="N747" i="8"/>
  <c r="O747" i="8"/>
  <c r="P747" i="8"/>
  <c r="L748" i="8"/>
  <c r="M748" i="8"/>
  <c r="N748" i="8"/>
  <c r="O748" i="8"/>
  <c r="P748" i="8"/>
  <c r="L749" i="8"/>
  <c r="M749" i="8"/>
  <c r="N749" i="8"/>
  <c r="O749" i="8"/>
  <c r="P749" i="8"/>
  <c r="L750" i="8"/>
  <c r="M750" i="8"/>
  <c r="N750" i="8"/>
  <c r="O750" i="8"/>
  <c r="P750" i="8"/>
  <c r="L751" i="8"/>
  <c r="M751" i="8"/>
  <c r="N751" i="8"/>
  <c r="O751" i="8"/>
  <c r="P751" i="8"/>
  <c r="L752" i="8"/>
  <c r="M752" i="8"/>
  <c r="N752" i="8"/>
  <c r="O752" i="8"/>
  <c r="P752" i="8"/>
  <c r="L753" i="8"/>
  <c r="M753" i="8"/>
  <c r="N753" i="8"/>
  <c r="O753" i="8"/>
  <c r="P753" i="8"/>
  <c r="L754" i="8"/>
  <c r="M754" i="8"/>
  <c r="N754" i="8"/>
  <c r="O754" i="8"/>
  <c r="P754" i="8"/>
  <c r="L755" i="8"/>
  <c r="M755" i="8"/>
  <c r="N755" i="8"/>
  <c r="O755" i="8"/>
  <c r="P755" i="8"/>
  <c r="L756" i="8"/>
  <c r="M756" i="8"/>
  <c r="N756" i="8"/>
  <c r="O756" i="8"/>
  <c r="P756" i="8"/>
  <c r="L757" i="8"/>
  <c r="M757" i="8"/>
  <c r="N757" i="8"/>
  <c r="O757" i="8"/>
  <c r="P757" i="8"/>
  <c r="L758" i="8"/>
  <c r="M758" i="8"/>
  <c r="N758" i="8"/>
  <c r="O758" i="8"/>
  <c r="P758" i="8"/>
  <c r="L759" i="8"/>
  <c r="M759" i="8"/>
  <c r="N759" i="8"/>
  <c r="O759" i="8"/>
  <c r="P759" i="8"/>
  <c r="L760" i="8"/>
  <c r="M760" i="8"/>
  <c r="N760" i="8"/>
  <c r="O760" i="8"/>
  <c r="P760" i="8"/>
  <c r="L761" i="8"/>
  <c r="M761" i="8"/>
  <c r="N761" i="8"/>
  <c r="O761" i="8"/>
  <c r="P761" i="8"/>
  <c r="L762" i="8"/>
  <c r="M762" i="8"/>
  <c r="N762" i="8"/>
  <c r="O762" i="8"/>
  <c r="P762" i="8"/>
  <c r="L763" i="8"/>
  <c r="M763" i="8"/>
  <c r="N763" i="8"/>
  <c r="O763" i="8"/>
  <c r="P763" i="8"/>
  <c r="L764" i="8"/>
  <c r="M764" i="8"/>
  <c r="N764" i="8"/>
  <c r="O764" i="8"/>
  <c r="P764" i="8"/>
  <c r="L765" i="8"/>
  <c r="M765" i="8"/>
  <c r="N765" i="8"/>
  <c r="O765" i="8"/>
  <c r="P765" i="8"/>
  <c r="L766" i="8"/>
  <c r="M766" i="8"/>
  <c r="N766" i="8"/>
  <c r="O766" i="8"/>
  <c r="P766" i="8"/>
  <c r="L767" i="8"/>
  <c r="M767" i="8"/>
  <c r="N767" i="8"/>
  <c r="O767" i="8"/>
  <c r="P767" i="8"/>
  <c r="L768" i="8"/>
  <c r="M768" i="8"/>
  <c r="N768" i="8"/>
  <c r="O768" i="8"/>
  <c r="P768" i="8"/>
  <c r="L769" i="8"/>
  <c r="M769" i="8"/>
  <c r="N769" i="8"/>
  <c r="O769" i="8"/>
  <c r="P769" i="8"/>
  <c r="L770" i="8"/>
  <c r="M770" i="8"/>
  <c r="N770" i="8"/>
  <c r="O770" i="8"/>
  <c r="P770" i="8"/>
  <c r="L771" i="8"/>
  <c r="M771" i="8"/>
  <c r="N771" i="8"/>
  <c r="O771" i="8"/>
  <c r="P771" i="8"/>
  <c r="L772" i="8"/>
  <c r="M772" i="8"/>
  <c r="N772" i="8"/>
  <c r="O772" i="8"/>
  <c r="P772" i="8"/>
  <c r="L773" i="8"/>
  <c r="M773" i="8"/>
  <c r="N773" i="8"/>
  <c r="O773" i="8"/>
  <c r="P773" i="8"/>
  <c r="L774" i="8"/>
  <c r="M774" i="8"/>
  <c r="N774" i="8"/>
  <c r="O774" i="8"/>
  <c r="P774" i="8"/>
  <c r="L775" i="8"/>
  <c r="M775" i="8"/>
  <c r="N775" i="8"/>
  <c r="O775" i="8"/>
  <c r="P775" i="8"/>
  <c r="L776" i="8"/>
  <c r="M776" i="8"/>
  <c r="N776" i="8"/>
  <c r="O776" i="8"/>
  <c r="P776" i="8"/>
  <c r="L777" i="8"/>
  <c r="M777" i="8"/>
  <c r="N777" i="8"/>
  <c r="O777" i="8"/>
  <c r="P777" i="8"/>
  <c r="L778" i="8"/>
  <c r="M778" i="8"/>
  <c r="N778" i="8"/>
  <c r="O778" i="8"/>
  <c r="P778" i="8"/>
  <c r="L779" i="8"/>
  <c r="M779" i="8"/>
  <c r="N779" i="8"/>
  <c r="O779" i="8"/>
  <c r="P779" i="8"/>
  <c r="L780" i="8"/>
  <c r="M780" i="8"/>
  <c r="N780" i="8"/>
  <c r="O780" i="8"/>
  <c r="P780" i="8"/>
  <c r="L781" i="8"/>
  <c r="M781" i="8"/>
  <c r="N781" i="8"/>
  <c r="O781" i="8"/>
  <c r="P781" i="8"/>
  <c r="L782" i="8"/>
  <c r="M782" i="8"/>
  <c r="N782" i="8"/>
  <c r="O782" i="8"/>
  <c r="P782" i="8"/>
  <c r="L783" i="8"/>
  <c r="M783" i="8"/>
  <c r="N783" i="8"/>
  <c r="O783" i="8"/>
  <c r="P783" i="8"/>
  <c r="L784" i="8"/>
  <c r="M784" i="8"/>
  <c r="N784" i="8"/>
  <c r="O784" i="8"/>
  <c r="P784" i="8"/>
  <c r="L785" i="8"/>
  <c r="M785" i="8"/>
  <c r="N785" i="8"/>
  <c r="O785" i="8"/>
  <c r="P785" i="8"/>
  <c r="L786" i="8"/>
  <c r="M786" i="8"/>
  <c r="N786" i="8"/>
  <c r="O786" i="8"/>
  <c r="P786" i="8"/>
  <c r="L787" i="8"/>
  <c r="M787" i="8"/>
  <c r="N787" i="8"/>
  <c r="O787" i="8"/>
  <c r="P787" i="8"/>
  <c r="L788" i="8"/>
  <c r="M788" i="8"/>
  <c r="N788" i="8"/>
  <c r="O788" i="8"/>
  <c r="P788" i="8"/>
  <c r="L789" i="8"/>
  <c r="M789" i="8"/>
  <c r="N789" i="8"/>
  <c r="O789" i="8"/>
  <c r="P789" i="8"/>
  <c r="L790" i="8"/>
  <c r="M790" i="8"/>
  <c r="N790" i="8"/>
  <c r="O790" i="8"/>
  <c r="P790" i="8"/>
  <c r="L791" i="8"/>
  <c r="M791" i="8"/>
  <c r="N791" i="8"/>
  <c r="O791" i="8"/>
  <c r="P791" i="8"/>
  <c r="L792" i="8"/>
  <c r="M792" i="8"/>
  <c r="N792" i="8"/>
  <c r="O792" i="8"/>
  <c r="P792" i="8"/>
  <c r="L793" i="8"/>
  <c r="M793" i="8"/>
  <c r="N793" i="8"/>
  <c r="O793" i="8"/>
  <c r="P793" i="8"/>
  <c r="L794" i="8"/>
  <c r="M794" i="8"/>
  <c r="N794" i="8"/>
  <c r="O794" i="8"/>
  <c r="P794" i="8"/>
  <c r="L795" i="8"/>
  <c r="M795" i="8"/>
  <c r="N795" i="8"/>
  <c r="O795" i="8"/>
  <c r="P795" i="8"/>
  <c r="L796" i="8"/>
  <c r="M796" i="8"/>
  <c r="N796" i="8"/>
  <c r="O796" i="8"/>
  <c r="P796" i="8"/>
  <c r="L797" i="8"/>
  <c r="M797" i="8"/>
  <c r="N797" i="8"/>
  <c r="O797" i="8"/>
  <c r="P797" i="8"/>
  <c r="L798" i="8"/>
  <c r="M798" i="8"/>
  <c r="N798" i="8"/>
  <c r="O798" i="8"/>
  <c r="P798" i="8"/>
  <c r="L799" i="8"/>
  <c r="M799" i="8"/>
  <c r="N799" i="8"/>
  <c r="O799" i="8"/>
  <c r="P799" i="8"/>
  <c r="L800" i="8"/>
  <c r="M800" i="8"/>
  <c r="N800" i="8"/>
  <c r="O800" i="8"/>
  <c r="P800" i="8"/>
  <c r="L801" i="8"/>
  <c r="M801" i="8"/>
  <c r="N801" i="8"/>
  <c r="O801" i="8"/>
  <c r="P801" i="8"/>
  <c r="L802" i="8"/>
  <c r="M802" i="8"/>
  <c r="N802" i="8"/>
  <c r="O802" i="8"/>
  <c r="P802" i="8"/>
  <c r="L803" i="8"/>
  <c r="M803" i="8"/>
  <c r="N803" i="8"/>
  <c r="O803" i="8"/>
  <c r="P803" i="8"/>
  <c r="L804" i="8"/>
  <c r="M804" i="8"/>
  <c r="N804" i="8"/>
  <c r="O804" i="8"/>
  <c r="P804" i="8"/>
  <c r="L805" i="8"/>
  <c r="M805" i="8"/>
  <c r="N805" i="8"/>
  <c r="O805" i="8"/>
  <c r="P805" i="8"/>
  <c r="L806" i="8"/>
  <c r="M806" i="8"/>
  <c r="N806" i="8"/>
  <c r="O806" i="8"/>
  <c r="P806" i="8"/>
  <c r="L807" i="8"/>
  <c r="M807" i="8"/>
  <c r="N807" i="8"/>
  <c r="O807" i="8"/>
  <c r="P807" i="8"/>
  <c r="L808" i="8"/>
  <c r="M808" i="8"/>
  <c r="N808" i="8"/>
  <c r="O808" i="8"/>
  <c r="P808" i="8"/>
  <c r="L809" i="8"/>
  <c r="M809" i="8"/>
  <c r="N809" i="8"/>
  <c r="O809" i="8"/>
  <c r="P809" i="8"/>
  <c r="L810" i="8"/>
  <c r="M810" i="8"/>
  <c r="N810" i="8"/>
  <c r="O810" i="8"/>
  <c r="P810" i="8"/>
  <c r="L811" i="8"/>
  <c r="M811" i="8"/>
  <c r="N811" i="8"/>
  <c r="O811" i="8"/>
  <c r="P811" i="8"/>
  <c r="L812" i="8"/>
  <c r="M812" i="8"/>
  <c r="N812" i="8"/>
  <c r="O812" i="8"/>
  <c r="P812" i="8"/>
  <c r="L813" i="8"/>
  <c r="M813" i="8"/>
  <c r="N813" i="8"/>
  <c r="O813" i="8"/>
  <c r="P813" i="8"/>
  <c r="L814" i="8"/>
  <c r="M814" i="8"/>
  <c r="N814" i="8"/>
  <c r="O814" i="8"/>
  <c r="P814" i="8"/>
  <c r="L815" i="8"/>
  <c r="M815" i="8"/>
  <c r="N815" i="8"/>
  <c r="O815" i="8"/>
  <c r="P815" i="8"/>
  <c r="L816" i="8"/>
  <c r="M816" i="8"/>
  <c r="N816" i="8"/>
  <c r="O816" i="8"/>
  <c r="P816" i="8"/>
  <c r="L817" i="8"/>
  <c r="M817" i="8"/>
  <c r="N817" i="8"/>
  <c r="O817" i="8"/>
  <c r="P817" i="8"/>
  <c r="L818" i="8"/>
  <c r="M818" i="8"/>
  <c r="N818" i="8"/>
  <c r="O818" i="8"/>
  <c r="P818" i="8"/>
  <c r="L819" i="8"/>
  <c r="M819" i="8"/>
  <c r="N819" i="8"/>
  <c r="O819" i="8"/>
  <c r="P819" i="8"/>
  <c r="L820" i="8"/>
  <c r="M820" i="8"/>
  <c r="N820" i="8"/>
  <c r="O820" i="8"/>
  <c r="P820" i="8"/>
  <c r="L821" i="8"/>
  <c r="M821" i="8"/>
  <c r="N821" i="8"/>
  <c r="O821" i="8"/>
  <c r="P821" i="8"/>
  <c r="L822" i="8"/>
  <c r="M822" i="8"/>
  <c r="N822" i="8"/>
  <c r="O822" i="8"/>
  <c r="P822" i="8"/>
  <c r="L823" i="8"/>
  <c r="M823" i="8"/>
  <c r="N823" i="8"/>
  <c r="O823" i="8"/>
  <c r="P823" i="8"/>
  <c r="L824" i="8"/>
  <c r="M824" i="8"/>
  <c r="N824" i="8"/>
  <c r="O824" i="8"/>
  <c r="P824" i="8"/>
  <c r="L825" i="8"/>
  <c r="M825" i="8"/>
  <c r="N825" i="8"/>
  <c r="O825" i="8"/>
  <c r="P825" i="8"/>
  <c r="L826" i="8"/>
  <c r="M826" i="8"/>
  <c r="N826" i="8"/>
  <c r="O826" i="8"/>
  <c r="P826" i="8"/>
  <c r="L827" i="8"/>
  <c r="M827" i="8"/>
  <c r="N827" i="8"/>
  <c r="O827" i="8"/>
  <c r="P827" i="8"/>
  <c r="L828" i="8"/>
  <c r="M828" i="8"/>
  <c r="N828" i="8"/>
  <c r="O828" i="8"/>
  <c r="P828" i="8"/>
  <c r="L829" i="8"/>
  <c r="M829" i="8"/>
  <c r="N829" i="8"/>
  <c r="O829" i="8"/>
  <c r="P829" i="8"/>
  <c r="L830" i="8"/>
  <c r="M830" i="8"/>
  <c r="N830" i="8"/>
  <c r="O830" i="8"/>
  <c r="P830" i="8"/>
  <c r="L831" i="8"/>
  <c r="M831" i="8"/>
  <c r="N831" i="8"/>
  <c r="O831" i="8"/>
  <c r="P831" i="8"/>
  <c r="L832" i="8"/>
  <c r="M832" i="8"/>
  <c r="N832" i="8"/>
  <c r="O832" i="8"/>
  <c r="P832" i="8"/>
  <c r="L833" i="8"/>
  <c r="M833" i="8"/>
  <c r="N833" i="8"/>
  <c r="O833" i="8"/>
  <c r="P833" i="8"/>
  <c r="L834" i="8"/>
  <c r="M834" i="8"/>
  <c r="N834" i="8"/>
  <c r="O834" i="8"/>
  <c r="P834" i="8"/>
  <c r="L835" i="8"/>
  <c r="M835" i="8"/>
  <c r="N835" i="8"/>
  <c r="O835" i="8"/>
  <c r="P835" i="8"/>
  <c r="L836" i="8"/>
  <c r="M836" i="8"/>
  <c r="N836" i="8"/>
  <c r="O836" i="8"/>
  <c r="P836" i="8"/>
  <c r="L837" i="8"/>
  <c r="M837" i="8"/>
  <c r="N837" i="8"/>
  <c r="O837" i="8"/>
  <c r="P837" i="8"/>
  <c r="L838" i="8"/>
  <c r="M838" i="8"/>
  <c r="N838" i="8"/>
  <c r="O838" i="8"/>
  <c r="P838" i="8"/>
  <c r="L839" i="8"/>
  <c r="M839" i="8"/>
  <c r="N839" i="8"/>
  <c r="O839" i="8"/>
  <c r="P839" i="8"/>
  <c r="L840" i="8"/>
  <c r="M840" i="8"/>
  <c r="N840" i="8"/>
  <c r="O840" i="8"/>
  <c r="P840" i="8"/>
  <c r="L841" i="8"/>
  <c r="M841" i="8"/>
  <c r="N841" i="8"/>
  <c r="O841" i="8"/>
  <c r="P841" i="8"/>
  <c r="L842" i="8"/>
  <c r="M842" i="8"/>
  <c r="N842" i="8"/>
  <c r="O842" i="8"/>
  <c r="P842" i="8"/>
  <c r="L843" i="8"/>
  <c r="M843" i="8"/>
  <c r="N843" i="8"/>
  <c r="O843" i="8"/>
  <c r="P843" i="8"/>
  <c r="L844" i="8"/>
  <c r="M844" i="8"/>
  <c r="N844" i="8"/>
  <c r="O844" i="8"/>
  <c r="P844" i="8"/>
  <c r="L845" i="8"/>
  <c r="M845" i="8"/>
  <c r="N845" i="8"/>
  <c r="O845" i="8"/>
  <c r="P845" i="8"/>
  <c r="L846" i="8"/>
  <c r="M846" i="8"/>
  <c r="N846" i="8"/>
  <c r="O846" i="8"/>
  <c r="P846" i="8"/>
  <c r="L847" i="8"/>
  <c r="M847" i="8"/>
  <c r="N847" i="8"/>
  <c r="O847" i="8"/>
  <c r="P847" i="8"/>
  <c r="L848" i="8"/>
  <c r="M848" i="8"/>
  <c r="N848" i="8"/>
  <c r="O848" i="8"/>
  <c r="P848" i="8"/>
  <c r="L849" i="8"/>
  <c r="M849" i="8"/>
  <c r="N849" i="8"/>
  <c r="O849" i="8"/>
  <c r="P849" i="8"/>
  <c r="L850" i="8"/>
  <c r="M850" i="8"/>
  <c r="N850" i="8"/>
  <c r="O850" i="8"/>
  <c r="P850" i="8"/>
  <c r="L851" i="8"/>
  <c r="M851" i="8"/>
  <c r="N851" i="8"/>
  <c r="O851" i="8"/>
  <c r="P851" i="8"/>
  <c r="L852" i="8"/>
  <c r="M852" i="8"/>
  <c r="N852" i="8"/>
  <c r="O852" i="8"/>
  <c r="P852" i="8"/>
  <c r="L853" i="8"/>
  <c r="M853" i="8"/>
  <c r="N853" i="8"/>
  <c r="O853" i="8"/>
  <c r="P853" i="8"/>
  <c r="L854" i="8"/>
  <c r="M854" i="8"/>
  <c r="N854" i="8"/>
  <c r="O854" i="8"/>
  <c r="P854" i="8"/>
  <c r="L855" i="8"/>
  <c r="M855" i="8"/>
  <c r="N855" i="8"/>
  <c r="O855" i="8"/>
  <c r="P855" i="8"/>
  <c r="L856" i="8"/>
  <c r="M856" i="8"/>
  <c r="N856" i="8"/>
  <c r="O856" i="8"/>
  <c r="P856" i="8"/>
  <c r="L857" i="8"/>
  <c r="M857" i="8"/>
  <c r="N857" i="8"/>
  <c r="O857" i="8"/>
  <c r="P857" i="8"/>
  <c r="L858" i="8"/>
  <c r="M858" i="8"/>
  <c r="N858" i="8"/>
  <c r="O858" i="8"/>
  <c r="P858" i="8"/>
  <c r="L859" i="8"/>
  <c r="M859" i="8"/>
  <c r="N859" i="8"/>
  <c r="O859" i="8"/>
  <c r="P859" i="8"/>
  <c r="L860" i="8"/>
  <c r="M860" i="8"/>
  <c r="N860" i="8"/>
  <c r="O860" i="8"/>
  <c r="P860" i="8"/>
  <c r="L861" i="8"/>
  <c r="M861" i="8"/>
  <c r="N861" i="8"/>
  <c r="O861" i="8"/>
  <c r="P861" i="8"/>
  <c r="L862" i="8"/>
  <c r="M862" i="8"/>
  <c r="N862" i="8"/>
  <c r="O862" i="8"/>
  <c r="P862" i="8"/>
  <c r="L863" i="8"/>
  <c r="M863" i="8"/>
  <c r="N863" i="8"/>
  <c r="O863" i="8"/>
  <c r="P863" i="8"/>
  <c r="L864" i="8"/>
  <c r="M864" i="8"/>
  <c r="N864" i="8"/>
  <c r="O864" i="8"/>
  <c r="P864" i="8"/>
  <c r="L865" i="8"/>
  <c r="M865" i="8"/>
  <c r="N865" i="8"/>
  <c r="O865" i="8"/>
  <c r="P865" i="8"/>
  <c r="L866" i="8"/>
  <c r="M866" i="8"/>
  <c r="N866" i="8"/>
  <c r="O866" i="8"/>
  <c r="P866" i="8"/>
  <c r="L867" i="8"/>
  <c r="M867" i="8"/>
  <c r="N867" i="8"/>
  <c r="O867" i="8"/>
  <c r="P867" i="8"/>
  <c r="L868" i="8"/>
  <c r="M868" i="8"/>
  <c r="N868" i="8"/>
  <c r="O868" i="8"/>
  <c r="P868" i="8"/>
  <c r="L869" i="8"/>
  <c r="M869" i="8"/>
  <c r="N869" i="8"/>
  <c r="O869" i="8"/>
  <c r="P869" i="8"/>
  <c r="L870" i="8"/>
  <c r="M870" i="8"/>
  <c r="N870" i="8"/>
  <c r="O870" i="8"/>
  <c r="P870" i="8"/>
  <c r="L871" i="8"/>
  <c r="M871" i="8"/>
  <c r="N871" i="8"/>
  <c r="O871" i="8"/>
  <c r="P871" i="8"/>
  <c r="L872" i="8"/>
  <c r="M872" i="8"/>
  <c r="N872" i="8"/>
  <c r="O872" i="8"/>
  <c r="P872" i="8"/>
  <c r="L873" i="8"/>
  <c r="M873" i="8"/>
  <c r="N873" i="8"/>
  <c r="O873" i="8"/>
  <c r="P873" i="8"/>
  <c r="L874" i="8"/>
  <c r="M874" i="8"/>
  <c r="N874" i="8"/>
  <c r="O874" i="8"/>
  <c r="P874" i="8"/>
  <c r="L875" i="8"/>
  <c r="M875" i="8"/>
  <c r="N875" i="8"/>
  <c r="O875" i="8"/>
  <c r="P875" i="8"/>
  <c r="L876" i="8"/>
  <c r="M876" i="8"/>
  <c r="N876" i="8"/>
  <c r="O876" i="8"/>
  <c r="P876" i="8"/>
  <c r="L877" i="8"/>
  <c r="M877" i="8"/>
  <c r="N877" i="8"/>
  <c r="O877" i="8"/>
  <c r="P877" i="8"/>
  <c r="L878" i="8"/>
  <c r="M878" i="8"/>
  <c r="N878" i="8"/>
  <c r="O878" i="8"/>
  <c r="P878" i="8"/>
  <c r="L879" i="8"/>
  <c r="M879" i="8"/>
  <c r="N879" i="8"/>
  <c r="O879" i="8"/>
  <c r="P879" i="8"/>
  <c r="L880" i="8"/>
  <c r="M880" i="8"/>
  <c r="N880" i="8"/>
  <c r="O880" i="8"/>
  <c r="P880" i="8"/>
  <c r="L881" i="8"/>
  <c r="M881" i="8"/>
  <c r="N881" i="8"/>
  <c r="O881" i="8"/>
  <c r="P881" i="8"/>
  <c r="L882" i="8"/>
  <c r="M882" i="8"/>
  <c r="N882" i="8"/>
  <c r="O882" i="8"/>
  <c r="P882" i="8"/>
  <c r="L883" i="8"/>
  <c r="M883" i="8"/>
  <c r="N883" i="8"/>
  <c r="O883" i="8"/>
  <c r="P883" i="8"/>
  <c r="L884" i="8"/>
  <c r="M884" i="8"/>
  <c r="N884" i="8"/>
  <c r="O884" i="8"/>
  <c r="P884" i="8"/>
  <c r="L885" i="8"/>
  <c r="M885" i="8"/>
  <c r="N885" i="8"/>
  <c r="O885" i="8"/>
  <c r="P885" i="8"/>
  <c r="L886" i="8"/>
  <c r="M886" i="8"/>
  <c r="N886" i="8"/>
  <c r="O886" i="8"/>
  <c r="P886" i="8"/>
  <c r="L887" i="8"/>
  <c r="M887" i="8"/>
  <c r="N887" i="8"/>
  <c r="O887" i="8"/>
  <c r="P887" i="8"/>
  <c r="L888" i="8"/>
  <c r="M888" i="8"/>
  <c r="N888" i="8"/>
  <c r="O888" i="8"/>
  <c r="P888" i="8"/>
  <c r="L889" i="8"/>
  <c r="M889" i="8"/>
  <c r="N889" i="8"/>
  <c r="O889" i="8"/>
  <c r="P889" i="8"/>
  <c r="L890" i="8"/>
  <c r="M890" i="8"/>
  <c r="N890" i="8"/>
  <c r="O890" i="8"/>
  <c r="P890" i="8"/>
  <c r="L891" i="8"/>
  <c r="M891" i="8"/>
  <c r="N891" i="8"/>
  <c r="O891" i="8"/>
  <c r="P891" i="8"/>
  <c r="L892" i="8"/>
  <c r="M892" i="8"/>
  <c r="N892" i="8"/>
  <c r="O892" i="8"/>
  <c r="P892" i="8"/>
  <c r="L893" i="8"/>
  <c r="M893" i="8"/>
  <c r="N893" i="8"/>
  <c r="O893" i="8"/>
  <c r="P893" i="8"/>
  <c r="L894" i="8"/>
  <c r="M894" i="8"/>
  <c r="N894" i="8"/>
  <c r="O894" i="8"/>
  <c r="P894" i="8"/>
  <c r="L895" i="8"/>
  <c r="M895" i="8"/>
  <c r="N895" i="8"/>
  <c r="O895" i="8"/>
  <c r="P895" i="8"/>
  <c r="L896" i="8"/>
  <c r="M896" i="8"/>
  <c r="N896" i="8"/>
  <c r="O896" i="8"/>
  <c r="P896" i="8"/>
  <c r="L897" i="8"/>
  <c r="M897" i="8"/>
  <c r="N897" i="8"/>
  <c r="O897" i="8"/>
  <c r="P897" i="8"/>
  <c r="L898" i="8"/>
  <c r="M898" i="8"/>
  <c r="N898" i="8"/>
  <c r="O898" i="8"/>
  <c r="P898" i="8"/>
  <c r="L899" i="8"/>
  <c r="M899" i="8"/>
  <c r="N899" i="8"/>
  <c r="O899" i="8"/>
  <c r="P899" i="8"/>
  <c r="L900" i="8"/>
  <c r="M900" i="8"/>
  <c r="N900" i="8"/>
  <c r="O900" i="8"/>
  <c r="P900" i="8"/>
  <c r="L901" i="8"/>
  <c r="M901" i="8"/>
  <c r="N901" i="8"/>
  <c r="O901" i="8"/>
  <c r="P901" i="8"/>
  <c r="L302" i="8"/>
  <c r="M302" i="8"/>
  <c r="N302" i="8"/>
  <c r="O302" i="8"/>
  <c r="P302" i="8"/>
  <c r="L303" i="8"/>
  <c r="M303" i="8"/>
  <c r="N303" i="8"/>
  <c r="O303" i="8"/>
  <c r="P303" i="8"/>
  <c r="L304" i="8"/>
  <c r="M304" i="8"/>
  <c r="N304" i="8"/>
  <c r="O304" i="8"/>
  <c r="P304" i="8"/>
  <c r="L305" i="8"/>
  <c r="M305" i="8"/>
  <c r="N305" i="8"/>
  <c r="O305" i="8"/>
  <c r="P305" i="8"/>
  <c r="L306" i="8"/>
  <c r="M306" i="8"/>
  <c r="N306" i="8"/>
  <c r="O306" i="8"/>
  <c r="P306" i="8"/>
  <c r="L307" i="8"/>
  <c r="M307" i="8"/>
  <c r="N307" i="8"/>
  <c r="O307" i="8"/>
  <c r="P307" i="8"/>
  <c r="L308" i="8"/>
  <c r="M308" i="8"/>
  <c r="N308" i="8"/>
  <c r="O308" i="8"/>
  <c r="P308" i="8"/>
  <c r="L309" i="8"/>
  <c r="M309" i="8"/>
  <c r="N309" i="8"/>
  <c r="O309" i="8"/>
  <c r="P309" i="8"/>
  <c r="L310" i="8"/>
  <c r="M310" i="8"/>
  <c r="N310" i="8"/>
  <c r="O310" i="8"/>
  <c r="P310" i="8"/>
  <c r="L311" i="8"/>
  <c r="M311" i="8"/>
  <c r="N311" i="8"/>
  <c r="O311" i="8"/>
  <c r="P311" i="8"/>
  <c r="L312" i="8"/>
  <c r="M312" i="8"/>
  <c r="N312" i="8"/>
  <c r="O312" i="8"/>
  <c r="P312" i="8"/>
  <c r="L313" i="8"/>
  <c r="M313" i="8"/>
  <c r="N313" i="8"/>
  <c r="O313" i="8"/>
  <c r="P313" i="8"/>
  <c r="L314" i="8"/>
  <c r="M314" i="8"/>
  <c r="N314" i="8"/>
  <c r="O314" i="8"/>
  <c r="P314" i="8"/>
  <c r="L315" i="8"/>
  <c r="M315" i="8"/>
  <c r="N315" i="8"/>
  <c r="O315" i="8"/>
  <c r="P315" i="8"/>
  <c r="L316" i="8"/>
  <c r="M316" i="8"/>
  <c r="N316" i="8"/>
  <c r="O316" i="8"/>
  <c r="P316" i="8"/>
  <c r="L317" i="8"/>
  <c r="M317" i="8"/>
  <c r="N317" i="8"/>
  <c r="O317" i="8"/>
  <c r="P317" i="8"/>
  <c r="L318" i="8"/>
  <c r="M318" i="8"/>
  <c r="N318" i="8"/>
  <c r="O318" i="8"/>
  <c r="P318" i="8"/>
  <c r="L319" i="8"/>
  <c r="M319" i="8"/>
  <c r="N319" i="8"/>
  <c r="O319" i="8"/>
  <c r="P319" i="8"/>
  <c r="L320" i="8"/>
  <c r="M320" i="8"/>
  <c r="N320" i="8"/>
  <c r="O320" i="8"/>
  <c r="P320" i="8"/>
  <c r="L321" i="8"/>
  <c r="M321" i="8"/>
  <c r="N321" i="8"/>
  <c r="O321" i="8"/>
  <c r="P321" i="8"/>
  <c r="L322" i="8"/>
  <c r="M322" i="8"/>
  <c r="N322" i="8"/>
  <c r="O322" i="8"/>
  <c r="P322" i="8"/>
  <c r="L323" i="8"/>
  <c r="M323" i="8"/>
  <c r="N323" i="8"/>
  <c r="O323" i="8"/>
  <c r="P323" i="8"/>
  <c r="L324" i="8"/>
  <c r="M324" i="8"/>
  <c r="N324" i="8"/>
  <c r="O324" i="8"/>
  <c r="P324" i="8"/>
  <c r="L325" i="8"/>
  <c r="M325" i="8"/>
  <c r="N325" i="8"/>
  <c r="O325" i="8"/>
  <c r="P325" i="8"/>
  <c r="L326" i="8"/>
  <c r="M326" i="8"/>
  <c r="N326" i="8"/>
  <c r="O326" i="8"/>
  <c r="P326" i="8"/>
  <c r="L327" i="8"/>
  <c r="M327" i="8"/>
  <c r="N327" i="8"/>
  <c r="O327" i="8"/>
  <c r="P327" i="8"/>
  <c r="L328" i="8"/>
  <c r="M328" i="8"/>
  <c r="N328" i="8"/>
  <c r="O328" i="8"/>
  <c r="P328" i="8"/>
  <c r="L329" i="8"/>
  <c r="M329" i="8"/>
  <c r="N329" i="8"/>
  <c r="O329" i="8"/>
  <c r="P329" i="8"/>
  <c r="L330" i="8"/>
  <c r="M330" i="8"/>
  <c r="N330" i="8"/>
  <c r="O330" i="8"/>
  <c r="P330" i="8"/>
  <c r="L331" i="8"/>
  <c r="M331" i="8"/>
  <c r="N331" i="8"/>
  <c r="O331" i="8"/>
  <c r="P331" i="8"/>
  <c r="L332" i="8"/>
  <c r="M332" i="8"/>
  <c r="N332" i="8"/>
  <c r="O332" i="8"/>
  <c r="P332" i="8"/>
  <c r="L333" i="8"/>
  <c r="M333" i="8"/>
  <c r="N333" i="8"/>
  <c r="O333" i="8"/>
  <c r="P333" i="8"/>
  <c r="L334" i="8"/>
  <c r="M334" i="8"/>
  <c r="N334" i="8"/>
  <c r="O334" i="8"/>
  <c r="P334" i="8"/>
  <c r="L335" i="8"/>
  <c r="M335" i="8"/>
  <c r="N335" i="8"/>
  <c r="O335" i="8"/>
  <c r="P335" i="8"/>
  <c r="L336" i="8"/>
  <c r="M336" i="8"/>
  <c r="N336" i="8"/>
  <c r="O336" i="8"/>
  <c r="P336" i="8"/>
  <c r="L337" i="8"/>
  <c r="M337" i="8"/>
  <c r="N337" i="8"/>
  <c r="O337" i="8"/>
  <c r="P337" i="8"/>
  <c r="L338" i="8"/>
  <c r="M338" i="8"/>
  <c r="N338" i="8"/>
  <c r="O338" i="8"/>
  <c r="P338" i="8"/>
  <c r="L339" i="8"/>
  <c r="M339" i="8"/>
  <c r="N339" i="8"/>
  <c r="O339" i="8"/>
  <c r="P339" i="8"/>
  <c r="L340" i="8"/>
  <c r="M340" i="8"/>
  <c r="N340" i="8"/>
  <c r="O340" i="8"/>
  <c r="P340" i="8"/>
  <c r="L341" i="8"/>
  <c r="M341" i="8"/>
  <c r="N341" i="8"/>
  <c r="O341" i="8"/>
  <c r="P341" i="8"/>
  <c r="L342" i="8"/>
  <c r="M342" i="8"/>
  <c r="N342" i="8"/>
  <c r="O342" i="8"/>
  <c r="P342" i="8"/>
  <c r="L343" i="8"/>
  <c r="M343" i="8"/>
  <c r="N343" i="8"/>
  <c r="O343" i="8"/>
  <c r="P343" i="8"/>
  <c r="L344" i="8"/>
  <c r="M344" i="8"/>
  <c r="N344" i="8"/>
  <c r="O344" i="8"/>
  <c r="P344" i="8"/>
  <c r="L345" i="8"/>
  <c r="M345" i="8"/>
  <c r="N345" i="8"/>
  <c r="O345" i="8"/>
  <c r="P345" i="8"/>
  <c r="L346" i="8"/>
  <c r="M346" i="8"/>
  <c r="N346" i="8"/>
  <c r="O346" i="8"/>
  <c r="P346" i="8"/>
  <c r="L347" i="8"/>
  <c r="M347" i="8"/>
  <c r="N347" i="8"/>
  <c r="O347" i="8"/>
  <c r="P347" i="8"/>
  <c r="L348" i="8"/>
  <c r="M348" i="8"/>
  <c r="N348" i="8"/>
  <c r="O348" i="8"/>
  <c r="P348" i="8"/>
  <c r="L349" i="8"/>
  <c r="M349" i="8"/>
  <c r="N349" i="8"/>
  <c r="O349" i="8"/>
  <c r="P349" i="8"/>
  <c r="L350" i="8"/>
  <c r="M350" i="8"/>
  <c r="N350" i="8"/>
  <c r="O350" i="8"/>
  <c r="P350" i="8"/>
  <c r="L351" i="8"/>
  <c r="M351" i="8"/>
  <c r="N351" i="8"/>
  <c r="O351" i="8"/>
  <c r="P351" i="8"/>
  <c r="L352" i="8"/>
  <c r="M352" i="8"/>
  <c r="N352" i="8"/>
  <c r="O352" i="8"/>
  <c r="P352" i="8"/>
  <c r="L353" i="8"/>
  <c r="M353" i="8"/>
  <c r="N353" i="8"/>
  <c r="O353" i="8"/>
  <c r="P353" i="8"/>
  <c r="L354" i="8"/>
  <c r="M354" i="8"/>
  <c r="N354" i="8"/>
  <c r="O354" i="8"/>
  <c r="P354" i="8"/>
  <c r="L355" i="8"/>
  <c r="M355" i="8"/>
  <c r="N355" i="8"/>
  <c r="O355" i="8"/>
  <c r="P355" i="8"/>
  <c r="L356" i="8"/>
  <c r="M356" i="8"/>
  <c r="N356" i="8"/>
  <c r="O356" i="8"/>
  <c r="P356" i="8"/>
  <c r="L357" i="8"/>
  <c r="M357" i="8"/>
  <c r="N357" i="8"/>
  <c r="O357" i="8"/>
  <c r="P357" i="8"/>
  <c r="L358" i="8"/>
  <c r="M358" i="8"/>
  <c r="N358" i="8"/>
  <c r="O358" i="8"/>
  <c r="P358" i="8"/>
  <c r="L359" i="8"/>
  <c r="M359" i="8"/>
  <c r="N359" i="8"/>
  <c r="O359" i="8"/>
  <c r="P359" i="8"/>
  <c r="L360" i="8"/>
  <c r="M360" i="8"/>
  <c r="N360" i="8"/>
  <c r="O360" i="8"/>
  <c r="P360" i="8"/>
  <c r="L361" i="8"/>
  <c r="M361" i="8"/>
  <c r="N361" i="8"/>
  <c r="O361" i="8"/>
  <c r="P361" i="8"/>
  <c r="L362" i="8"/>
  <c r="M362" i="8"/>
  <c r="N362" i="8"/>
  <c r="O362" i="8"/>
  <c r="P362" i="8"/>
  <c r="L363" i="8"/>
  <c r="M363" i="8"/>
  <c r="N363" i="8"/>
  <c r="O363" i="8"/>
  <c r="P363" i="8"/>
  <c r="L364" i="8"/>
  <c r="M364" i="8"/>
  <c r="N364" i="8"/>
  <c r="O364" i="8"/>
  <c r="P364" i="8"/>
  <c r="L365" i="8"/>
  <c r="M365" i="8"/>
  <c r="N365" i="8"/>
  <c r="O365" i="8"/>
  <c r="P365" i="8"/>
  <c r="L366" i="8"/>
  <c r="M366" i="8"/>
  <c r="N366" i="8"/>
  <c r="O366" i="8"/>
  <c r="P366" i="8"/>
  <c r="L367" i="8"/>
  <c r="M367" i="8"/>
  <c r="N367" i="8"/>
  <c r="O367" i="8"/>
  <c r="P367" i="8"/>
  <c r="L368" i="8"/>
  <c r="M368" i="8"/>
  <c r="N368" i="8"/>
  <c r="O368" i="8"/>
  <c r="P368" i="8"/>
  <c r="L369" i="8"/>
  <c r="M369" i="8"/>
  <c r="N369" i="8"/>
  <c r="O369" i="8"/>
  <c r="P369" i="8"/>
  <c r="L370" i="8"/>
  <c r="M370" i="8"/>
  <c r="N370" i="8"/>
  <c r="O370" i="8"/>
  <c r="P370" i="8"/>
  <c r="L371" i="8"/>
  <c r="M371" i="8"/>
  <c r="N371" i="8"/>
  <c r="O371" i="8"/>
  <c r="P371" i="8"/>
  <c r="L372" i="8"/>
  <c r="M372" i="8"/>
  <c r="N372" i="8"/>
  <c r="O372" i="8"/>
  <c r="P372" i="8"/>
  <c r="L373" i="8"/>
  <c r="M373" i="8"/>
  <c r="N373" i="8"/>
  <c r="O373" i="8"/>
  <c r="P373" i="8"/>
  <c r="L374" i="8"/>
  <c r="M374" i="8"/>
  <c r="N374" i="8"/>
  <c r="O374" i="8"/>
  <c r="P374" i="8"/>
  <c r="L375" i="8"/>
  <c r="M375" i="8"/>
  <c r="N375" i="8"/>
  <c r="O375" i="8"/>
  <c r="P375" i="8"/>
  <c r="L376" i="8"/>
  <c r="M376" i="8"/>
  <c r="N376" i="8"/>
  <c r="O376" i="8"/>
  <c r="P376" i="8"/>
  <c r="L377" i="8"/>
  <c r="M377" i="8"/>
  <c r="N377" i="8"/>
  <c r="O377" i="8"/>
  <c r="P377" i="8"/>
  <c r="L378" i="8"/>
  <c r="M378" i="8"/>
  <c r="N378" i="8"/>
  <c r="O378" i="8"/>
  <c r="P378" i="8"/>
  <c r="L379" i="8"/>
  <c r="M379" i="8"/>
  <c r="N379" i="8"/>
  <c r="O379" i="8"/>
  <c r="P379" i="8"/>
  <c r="L380" i="8"/>
  <c r="M380" i="8"/>
  <c r="N380" i="8"/>
  <c r="O380" i="8"/>
  <c r="P380" i="8"/>
  <c r="L381" i="8"/>
  <c r="M381" i="8"/>
  <c r="N381" i="8"/>
  <c r="O381" i="8"/>
  <c r="P381" i="8"/>
  <c r="L382" i="8"/>
  <c r="M382" i="8"/>
  <c r="N382" i="8"/>
  <c r="O382" i="8"/>
  <c r="P382" i="8"/>
  <c r="L383" i="8"/>
  <c r="M383" i="8"/>
  <c r="N383" i="8"/>
  <c r="O383" i="8"/>
  <c r="P383" i="8"/>
  <c r="L384" i="8"/>
  <c r="M384" i="8"/>
  <c r="N384" i="8"/>
  <c r="O384" i="8"/>
  <c r="P384" i="8"/>
  <c r="L385" i="8"/>
  <c r="M385" i="8"/>
  <c r="N385" i="8"/>
  <c r="O385" i="8"/>
  <c r="P385" i="8"/>
  <c r="L386" i="8"/>
  <c r="M386" i="8"/>
  <c r="N386" i="8"/>
  <c r="O386" i="8"/>
  <c r="P386" i="8"/>
  <c r="L387" i="8"/>
  <c r="M387" i="8"/>
  <c r="N387" i="8"/>
  <c r="O387" i="8"/>
  <c r="P387" i="8"/>
  <c r="L388" i="8"/>
  <c r="M388" i="8"/>
  <c r="N388" i="8"/>
  <c r="O388" i="8"/>
  <c r="P388" i="8"/>
  <c r="L389" i="8"/>
  <c r="M389" i="8"/>
  <c r="N389" i="8"/>
  <c r="O389" i="8"/>
  <c r="P389" i="8"/>
  <c r="L390" i="8"/>
  <c r="M390" i="8"/>
  <c r="N390" i="8"/>
  <c r="O390" i="8"/>
  <c r="P390" i="8"/>
  <c r="L391" i="8"/>
  <c r="M391" i="8"/>
  <c r="N391" i="8"/>
  <c r="O391" i="8"/>
  <c r="P391" i="8"/>
  <c r="L392" i="8"/>
  <c r="M392" i="8"/>
  <c r="N392" i="8"/>
  <c r="O392" i="8"/>
  <c r="P392" i="8"/>
  <c r="L393" i="8"/>
  <c r="M393" i="8"/>
  <c r="N393" i="8"/>
  <c r="O393" i="8"/>
  <c r="P393" i="8"/>
  <c r="L394" i="8"/>
  <c r="M394" i="8"/>
  <c r="N394" i="8"/>
  <c r="O394" i="8"/>
  <c r="P394" i="8"/>
  <c r="L395" i="8"/>
  <c r="M395" i="8"/>
  <c r="N395" i="8"/>
  <c r="O395" i="8"/>
  <c r="P395" i="8"/>
  <c r="L396" i="8"/>
  <c r="M396" i="8"/>
  <c r="N396" i="8"/>
  <c r="O396" i="8"/>
  <c r="P396" i="8"/>
  <c r="L397" i="8"/>
  <c r="M397" i="8"/>
  <c r="N397" i="8"/>
  <c r="O397" i="8"/>
  <c r="P397" i="8"/>
  <c r="L398" i="8"/>
  <c r="M398" i="8"/>
  <c r="N398" i="8"/>
  <c r="O398" i="8"/>
  <c r="P398" i="8"/>
  <c r="L399" i="8"/>
  <c r="M399" i="8"/>
  <c r="N399" i="8"/>
  <c r="O399" i="8"/>
  <c r="P399" i="8"/>
  <c r="L400" i="8"/>
  <c r="M400" i="8"/>
  <c r="N400" i="8"/>
  <c r="O400" i="8"/>
  <c r="P400" i="8"/>
  <c r="L401" i="8"/>
  <c r="M401" i="8"/>
  <c r="N401" i="8"/>
  <c r="O401" i="8"/>
  <c r="P401" i="8"/>
  <c r="L402" i="8"/>
  <c r="M402" i="8"/>
  <c r="N402" i="8"/>
  <c r="O402" i="8"/>
  <c r="P402" i="8"/>
  <c r="L403" i="8"/>
  <c r="M403" i="8"/>
  <c r="N403" i="8"/>
  <c r="O403" i="8"/>
  <c r="P403" i="8"/>
  <c r="L404" i="8"/>
  <c r="M404" i="8"/>
  <c r="N404" i="8"/>
  <c r="O404" i="8"/>
  <c r="P404" i="8"/>
  <c r="L405" i="8"/>
  <c r="M405" i="8"/>
  <c r="N405" i="8"/>
  <c r="O405" i="8"/>
  <c r="P405" i="8"/>
  <c r="L406" i="8"/>
  <c r="M406" i="8"/>
  <c r="N406" i="8"/>
  <c r="O406" i="8"/>
  <c r="P406" i="8"/>
  <c r="L407" i="8"/>
  <c r="M407" i="8"/>
  <c r="N407" i="8"/>
  <c r="O407" i="8"/>
  <c r="P407" i="8"/>
  <c r="L408" i="8"/>
  <c r="M408" i="8"/>
  <c r="N408" i="8"/>
  <c r="O408" i="8"/>
  <c r="P408" i="8"/>
  <c r="L409" i="8"/>
  <c r="M409" i="8"/>
  <c r="N409" i="8"/>
  <c r="O409" i="8"/>
  <c r="P409" i="8"/>
  <c r="L410" i="8"/>
  <c r="M410" i="8"/>
  <c r="N410" i="8"/>
  <c r="O410" i="8"/>
  <c r="P410" i="8"/>
  <c r="L411" i="8"/>
  <c r="M411" i="8"/>
  <c r="N411" i="8"/>
  <c r="O411" i="8"/>
  <c r="P411" i="8"/>
  <c r="L412" i="8"/>
  <c r="M412" i="8"/>
  <c r="N412" i="8"/>
  <c r="O412" i="8"/>
  <c r="P412" i="8"/>
  <c r="L413" i="8"/>
  <c r="M413" i="8"/>
  <c r="N413" i="8"/>
  <c r="O413" i="8"/>
  <c r="P413" i="8"/>
  <c r="L414" i="8"/>
  <c r="M414" i="8"/>
  <c r="N414" i="8"/>
  <c r="O414" i="8"/>
  <c r="P414" i="8"/>
  <c r="L415" i="8"/>
  <c r="M415" i="8"/>
  <c r="N415" i="8"/>
  <c r="O415" i="8"/>
  <c r="P415" i="8"/>
  <c r="L416" i="8"/>
  <c r="M416" i="8"/>
  <c r="N416" i="8"/>
  <c r="O416" i="8"/>
  <c r="P416" i="8"/>
  <c r="L417" i="8"/>
  <c r="M417" i="8"/>
  <c r="N417" i="8"/>
  <c r="O417" i="8"/>
  <c r="P417" i="8"/>
  <c r="L418" i="8"/>
  <c r="M418" i="8"/>
  <c r="N418" i="8"/>
  <c r="O418" i="8"/>
  <c r="P418" i="8"/>
  <c r="L419" i="8"/>
  <c r="M419" i="8"/>
  <c r="N419" i="8"/>
  <c r="O419" i="8"/>
  <c r="P419" i="8"/>
  <c r="L420" i="8"/>
  <c r="M420" i="8"/>
  <c r="N420" i="8"/>
  <c r="O420" i="8"/>
  <c r="P420" i="8"/>
  <c r="L421" i="8"/>
  <c r="M421" i="8"/>
  <c r="N421" i="8"/>
  <c r="O421" i="8"/>
  <c r="P421" i="8"/>
  <c r="L422" i="8"/>
  <c r="M422" i="8"/>
  <c r="N422" i="8"/>
  <c r="O422" i="8"/>
  <c r="P422" i="8"/>
  <c r="L423" i="8"/>
  <c r="M423" i="8"/>
  <c r="N423" i="8"/>
  <c r="O423" i="8"/>
  <c r="P423" i="8"/>
  <c r="L424" i="8"/>
  <c r="M424" i="8"/>
  <c r="N424" i="8"/>
  <c r="O424" i="8"/>
  <c r="P424" i="8"/>
  <c r="L425" i="8"/>
  <c r="M425" i="8"/>
  <c r="N425" i="8"/>
  <c r="O425" i="8"/>
  <c r="P425" i="8"/>
  <c r="L426" i="8"/>
  <c r="M426" i="8"/>
  <c r="N426" i="8"/>
  <c r="O426" i="8"/>
  <c r="P426" i="8"/>
  <c r="L427" i="8"/>
  <c r="M427" i="8"/>
  <c r="N427" i="8"/>
  <c r="O427" i="8"/>
  <c r="P427" i="8"/>
  <c r="L428" i="8"/>
  <c r="M428" i="8"/>
  <c r="N428" i="8"/>
  <c r="O428" i="8"/>
  <c r="P428" i="8"/>
  <c r="L429" i="8"/>
  <c r="M429" i="8"/>
  <c r="N429" i="8"/>
  <c r="O429" i="8"/>
  <c r="P429" i="8"/>
  <c r="L430" i="8"/>
  <c r="M430" i="8"/>
  <c r="N430" i="8"/>
  <c r="O430" i="8"/>
  <c r="P430" i="8"/>
  <c r="L431" i="8"/>
  <c r="M431" i="8"/>
  <c r="N431" i="8"/>
  <c r="O431" i="8"/>
  <c r="P431" i="8"/>
  <c r="L432" i="8"/>
  <c r="M432" i="8"/>
  <c r="N432" i="8"/>
  <c r="O432" i="8"/>
  <c r="P432" i="8"/>
  <c r="L433" i="8"/>
  <c r="M433" i="8"/>
  <c r="N433" i="8"/>
  <c r="O433" i="8"/>
  <c r="P433" i="8"/>
  <c r="L434" i="8"/>
  <c r="M434" i="8"/>
  <c r="N434" i="8"/>
  <c r="O434" i="8"/>
  <c r="P434" i="8"/>
  <c r="L435" i="8"/>
  <c r="M435" i="8"/>
  <c r="N435" i="8"/>
  <c r="O435" i="8"/>
  <c r="P435" i="8"/>
  <c r="L436" i="8"/>
  <c r="M436" i="8"/>
  <c r="N436" i="8"/>
  <c r="O436" i="8"/>
  <c r="P436" i="8"/>
  <c r="L437" i="8"/>
  <c r="M437" i="8"/>
  <c r="N437" i="8"/>
  <c r="O437" i="8"/>
  <c r="P437" i="8"/>
  <c r="L438" i="8"/>
  <c r="M438" i="8"/>
  <c r="N438" i="8"/>
  <c r="O438" i="8"/>
  <c r="P438" i="8"/>
  <c r="L439" i="8"/>
  <c r="M439" i="8"/>
  <c r="N439" i="8"/>
  <c r="O439" i="8"/>
  <c r="P439" i="8"/>
  <c r="L440" i="8"/>
  <c r="M440" i="8"/>
  <c r="N440" i="8"/>
  <c r="O440" i="8"/>
  <c r="P440" i="8"/>
  <c r="L441" i="8"/>
  <c r="M441" i="8"/>
  <c r="N441" i="8"/>
  <c r="O441" i="8"/>
  <c r="P441" i="8"/>
  <c r="L442" i="8"/>
  <c r="M442" i="8"/>
  <c r="N442" i="8"/>
  <c r="O442" i="8"/>
  <c r="P442" i="8"/>
  <c r="L443" i="8"/>
  <c r="M443" i="8"/>
  <c r="N443" i="8"/>
  <c r="O443" i="8"/>
  <c r="P443" i="8"/>
  <c r="L444" i="8"/>
  <c r="M444" i="8"/>
  <c r="N444" i="8"/>
  <c r="O444" i="8"/>
  <c r="P444" i="8"/>
  <c r="L445" i="8"/>
  <c r="M445" i="8"/>
  <c r="N445" i="8"/>
  <c r="O445" i="8"/>
  <c r="P445" i="8"/>
  <c r="L446" i="8"/>
  <c r="M446" i="8"/>
  <c r="N446" i="8"/>
  <c r="O446" i="8"/>
  <c r="P446" i="8"/>
  <c r="L447" i="8"/>
  <c r="M447" i="8"/>
  <c r="N447" i="8"/>
  <c r="O447" i="8"/>
  <c r="P447" i="8"/>
  <c r="L448" i="8"/>
  <c r="M448" i="8"/>
  <c r="N448" i="8"/>
  <c r="O448" i="8"/>
  <c r="P448" i="8"/>
  <c r="L449" i="8"/>
  <c r="M449" i="8"/>
  <c r="N449" i="8"/>
  <c r="O449" i="8"/>
  <c r="P449" i="8"/>
  <c r="L450" i="8"/>
  <c r="M450" i="8"/>
  <c r="N450" i="8"/>
  <c r="O450" i="8"/>
  <c r="P450" i="8"/>
  <c r="L451" i="8"/>
  <c r="M451" i="8"/>
  <c r="N451" i="8"/>
  <c r="O451" i="8"/>
  <c r="P451" i="8"/>
  <c r="L452" i="8"/>
  <c r="M452" i="8"/>
  <c r="N452" i="8"/>
  <c r="O452" i="8"/>
  <c r="P452" i="8"/>
  <c r="L453" i="8"/>
  <c r="M453" i="8"/>
  <c r="N453" i="8"/>
  <c r="O453" i="8"/>
  <c r="P453" i="8"/>
  <c r="L454" i="8"/>
  <c r="M454" i="8"/>
  <c r="N454" i="8"/>
  <c r="O454" i="8"/>
  <c r="P454" i="8"/>
  <c r="L455" i="8"/>
  <c r="M455" i="8"/>
  <c r="N455" i="8"/>
  <c r="O455" i="8"/>
  <c r="P455" i="8"/>
  <c r="L456" i="8"/>
  <c r="M456" i="8"/>
  <c r="N456" i="8"/>
  <c r="O456" i="8"/>
  <c r="P456" i="8"/>
  <c r="L457" i="8"/>
  <c r="M457" i="8"/>
  <c r="N457" i="8"/>
  <c r="O457" i="8"/>
  <c r="P457" i="8"/>
  <c r="L458" i="8"/>
  <c r="M458" i="8"/>
  <c r="N458" i="8"/>
  <c r="O458" i="8"/>
  <c r="P458" i="8"/>
  <c r="L459" i="8"/>
  <c r="M459" i="8"/>
  <c r="N459" i="8"/>
  <c r="O459" i="8"/>
  <c r="P459" i="8"/>
  <c r="L460" i="8"/>
  <c r="M460" i="8"/>
  <c r="N460" i="8"/>
  <c r="O460" i="8"/>
  <c r="P460" i="8"/>
  <c r="L461" i="8"/>
  <c r="M461" i="8"/>
  <c r="N461" i="8"/>
  <c r="O461" i="8"/>
  <c r="P461" i="8"/>
  <c r="L462" i="8"/>
  <c r="M462" i="8"/>
  <c r="N462" i="8"/>
  <c r="O462" i="8"/>
  <c r="P462" i="8"/>
  <c r="L463" i="8"/>
  <c r="M463" i="8"/>
  <c r="N463" i="8"/>
  <c r="O463" i="8"/>
  <c r="P463" i="8"/>
  <c r="L464" i="8"/>
  <c r="M464" i="8"/>
  <c r="N464" i="8"/>
  <c r="O464" i="8"/>
  <c r="P464" i="8"/>
  <c r="L465" i="8"/>
  <c r="M465" i="8"/>
  <c r="N465" i="8"/>
  <c r="O465" i="8"/>
  <c r="P465" i="8"/>
  <c r="L466" i="8"/>
  <c r="M466" i="8"/>
  <c r="N466" i="8"/>
  <c r="O466" i="8"/>
  <c r="P466" i="8"/>
  <c r="L467" i="8"/>
  <c r="M467" i="8"/>
  <c r="N467" i="8"/>
  <c r="O467" i="8"/>
  <c r="P467" i="8"/>
  <c r="L468" i="8"/>
  <c r="M468" i="8"/>
  <c r="N468" i="8"/>
  <c r="O468" i="8"/>
  <c r="P468" i="8"/>
  <c r="L469" i="8"/>
  <c r="M469" i="8"/>
  <c r="N469" i="8"/>
  <c r="O469" i="8"/>
  <c r="P469" i="8"/>
  <c r="L470" i="8"/>
  <c r="M470" i="8"/>
  <c r="N470" i="8"/>
  <c r="O470" i="8"/>
  <c r="P470" i="8"/>
  <c r="L471" i="8"/>
  <c r="M471" i="8"/>
  <c r="N471" i="8"/>
  <c r="O471" i="8"/>
  <c r="P471" i="8"/>
  <c r="L472" i="8"/>
  <c r="M472" i="8"/>
  <c r="N472" i="8"/>
  <c r="O472" i="8"/>
  <c r="P472" i="8"/>
  <c r="L473" i="8"/>
  <c r="M473" i="8"/>
  <c r="N473" i="8"/>
  <c r="O473" i="8"/>
  <c r="P473" i="8"/>
  <c r="L474" i="8"/>
  <c r="M474" i="8"/>
  <c r="N474" i="8"/>
  <c r="O474" i="8"/>
  <c r="P474" i="8"/>
  <c r="L475" i="8"/>
  <c r="M475" i="8"/>
  <c r="N475" i="8"/>
  <c r="O475" i="8"/>
  <c r="P475" i="8"/>
  <c r="L476" i="8"/>
  <c r="M476" i="8"/>
  <c r="N476" i="8"/>
  <c r="O476" i="8"/>
  <c r="P476" i="8"/>
  <c r="L477" i="8"/>
  <c r="M477" i="8"/>
  <c r="N477" i="8"/>
  <c r="O477" i="8"/>
  <c r="P477" i="8"/>
  <c r="L478" i="8"/>
  <c r="M478" i="8"/>
  <c r="N478" i="8"/>
  <c r="O478" i="8"/>
  <c r="P478" i="8"/>
  <c r="L479" i="8"/>
  <c r="M479" i="8"/>
  <c r="N479" i="8"/>
  <c r="O479" i="8"/>
  <c r="P479" i="8"/>
  <c r="L480" i="8"/>
  <c r="M480" i="8"/>
  <c r="N480" i="8"/>
  <c r="O480" i="8"/>
  <c r="P480" i="8"/>
  <c r="L481" i="8"/>
  <c r="M481" i="8"/>
  <c r="N481" i="8"/>
  <c r="O481" i="8"/>
  <c r="P481" i="8"/>
  <c r="L482" i="8"/>
  <c r="M482" i="8"/>
  <c r="N482" i="8"/>
  <c r="O482" i="8"/>
  <c r="P482" i="8"/>
  <c r="L483" i="8"/>
  <c r="M483" i="8"/>
  <c r="N483" i="8"/>
  <c r="O483" i="8"/>
  <c r="P483" i="8"/>
  <c r="L484" i="8"/>
  <c r="M484" i="8"/>
  <c r="N484" i="8"/>
  <c r="O484" i="8"/>
  <c r="P484" i="8"/>
  <c r="L485" i="8"/>
  <c r="M485" i="8"/>
  <c r="N485" i="8"/>
  <c r="O485" i="8"/>
  <c r="P485" i="8"/>
  <c r="L486" i="8"/>
  <c r="M486" i="8"/>
  <c r="N486" i="8"/>
  <c r="O486" i="8"/>
  <c r="P486" i="8"/>
  <c r="L487" i="8"/>
  <c r="M487" i="8"/>
  <c r="N487" i="8"/>
  <c r="O487" i="8"/>
  <c r="P487" i="8"/>
  <c r="L488" i="8"/>
  <c r="M488" i="8"/>
  <c r="N488" i="8"/>
  <c r="O488" i="8"/>
  <c r="P488" i="8"/>
  <c r="L489" i="8"/>
  <c r="M489" i="8"/>
  <c r="N489" i="8"/>
  <c r="O489" i="8"/>
  <c r="P489" i="8"/>
  <c r="L490" i="8"/>
  <c r="M490" i="8"/>
  <c r="N490" i="8"/>
  <c r="O490" i="8"/>
  <c r="P490" i="8"/>
  <c r="L491" i="8"/>
  <c r="M491" i="8"/>
  <c r="N491" i="8"/>
  <c r="O491" i="8"/>
  <c r="P491" i="8"/>
  <c r="L492" i="8"/>
  <c r="M492" i="8"/>
  <c r="N492" i="8"/>
  <c r="O492" i="8"/>
  <c r="P492" i="8"/>
  <c r="L493" i="8"/>
  <c r="M493" i="8"/>
  <c r="N493" i="8"/>
  <c r="O493" i="8"/>
  <c r="P493" i="8"/>
  <c r="L494" i="8"/>
  <c r="M494" i="8"/>
  <c r="N494" i="8"/>
  <c r="O494" i="8"/>
  <c r="P494" i="8"/>
  <c r="L495" i="8"/>
  <c r="M495" i="8"/>
  <c r="N495" i="8"/>
  <c r="O495" i="8"/>
  <c r="P495" i="8"/>
  <c r="L496" i="8"/>
  <c r="M496" i="8"/>
  <c r="N496" i="8"/>
  <c r="O496" i="8"/>
  <c r="P496" i="8"/>
  <c r="L497" i="8"/>
  <c r="M497" i="8"/>
  <c r="N497" i="8"/>
  <c r="O497" i="8"/>
  <c r="P497" i="8"/>
  <c r="L498" i="8"/>
  <c r="M498" i="8"/>
  <c r="N498" i="8"/>
  <c r="O498" i="8"/>
  <c r="P498" i="8"/>
  <c r="L499" i="8"/>
  <c r="M499" i="8"/>
  <c r="N499" i="8"/>
  <c r="O499" i="8"/>
  <c r="P499" i="8"/>
  <c r="L500" i="8"/>
  <c r="M500" i="8"/>
  <c r="N500" i="8"/>
  <c r="O500" i="8"/>
  <c r="P500" i="8"/>
  <c r="L501" i="8"/>
  <c r="M501" i="8"/>
  <c r="N501" i="8"/>
  <c r="O501" i="8"/>
  <c r="P501" i="8"/>
  <c r="L502" i="8"/>
  <c r="M502" i="8"/>
  <c r="N502" i="8"/>
  <c r="O502" i="8"/>
  <c r="P502" i="8"/>
  <c r="L503" i="8"/>
  <c r="M503" i="8"/>
  <c r="N503" i="8"/>
  <c r="O503" i="8"/>
  <c r="P503" i="8"/>
  <c r="L504" i="8"/>
  <c r="M504" i="8"/>
  <c r="N504" i="8"/>
  <c r="O504" i="8"/>
  <c r="P504" i="8"/>
  <c r="L505" i="8"/>
  <c r="M505" i="8"/>
  <c r="N505" i="8"/>
  <c r="O505" i="8"/>
  <c r="P505" i="8"/>
  <c r="L506" i="8"/>
  <c r="M506" i="8"/>
  <c r="N506" i="8"/>
  <c r="O506" i="8"/>
  <c r="P506" i="8"/>
  <c r="L507" i="8"/>
  <c r="M507" i="8"/>
  <c r="N507" i="8"/>
  <c r="O507" i="8"/>
  <c r="P507" i="8"/>
  <c r="L508" i="8"/>
  <c r="M508" i="8"/>
  <c r="N508" i="8"/>
  <c r="O508" i="8"/>
  <c r="P508" i="8"/>
  <c r="L509" i="8"/>
  <c r="M509" i="8"/>
  <c r="N509" i="8"/>
  <c r="O509" i="8"/>
  <c r="P509" i="8"/>
  <c r="L510" i="8"/>
  <c r="M510" i="8"/>
  <c r="N510" i="8"/>
  <c r="O510" i="8"/>
  <c r="P510" i="8"/>
  <c r="L511" i="8"/>
  <c r="M511" i="8"/>
  <c r="N511" i="8"/>
  <c r="O511" i="8"/>
  <c r="P511" i="8"/>
  <c r="L512" i="8"/>
  <c r="M512" i="8"/>
  <c r="N512" i="8"/>
  <c r="O512" i="8"/>
  <c r="P512" i="8"/>
  <c r="L513" i="8"/>
  <c r="M513" i="8"/>
  <c r="N513" i="8"/>
  <c r="O513" i="8"/>
  <c r="P513" i="8"/>
  <c r="L514" i="8"/>
  <c r="M514" i="8"/>
  <c r="N514" i="8"/>
  <c r="O514" i="8"/>
  <c r="P514" i="8"/>
  <c r="L515" i="8"/>
  <c r="M515" i="8"/>
  <c r="N515" i="8"/>
  <c r="O515" i="8"/>
  <c r="P515" i="8"/>
  <c r="L516" i="8"/>
  <c r="M516" i="8"/>
  <c r="N516" i="8"/>
  <c r="O516" i="8"/>
  <c r="P516" i="8"/>
  <c r="L517" i="8"/>
  <c r="M517" i="8"/>
  <c r="N517" i="8"/>
  <c r="O517" i="8"/>
  <c r="P517" i="8"/>
  <c r="L518" i="8"/>
  <c r="M518" i="8"/>
  <c r="N518" i="8"/>
  <c r="O518" i="8"/>
  <c r="P518" i="8"/>
  <c r="L519" i="8"/>
  <c r="M519" i="8"/>
  <c r="N519" i="8"/>
  <c r="O519" i="8"/>
  <c r="P519" i="8"/>
  <c r="L520" i="8"/>
  <c r="M520" i="8"/>
  <c r="N520" i="8"/>
  <c r="O520" i="8"/>
  <c r="P520" i="8"/>
  <c r="L521" i="8"/>
  <c r="M521" i="8"/>
  <c r="N521" i="8"/>
  <c r="O521" i="8"/>
  <c r="P521" i="8"/>
  <c r="L522" i="8"/>
  <c r="M522" i="8"/>
  <c r="N522" i="8"/>
  <c r="O522" i="8"/>
  <c r="P522" i="8"/>
  <c r="L523" i="8"/>
  <c r="M523" i="8"/>
  <c r="N523" i="8"/>
  <c r="O523" i="8"/>
  <c r="P523" i="8"/>
  <c r="L524" i="8"/>
  <c r="M524" i="8"/>
  <c r="N524" i="8"/>
  <c r="O524" i="8"/>
  <c r="P524" i="8"/>
  <c r="L525" i="8"/>
  <c r="M525" i="8"/>
  <c r="N525" i="8"/>
  <c r="O525" i="8"/>
  <c r="P525" i="8"/>
  <c r="L526" i="8"/>
  <c r="M526" i="8"/>
  <c r="N526" i="8"/>
  <c r="O526" i="8"/>
  <c r="P526" i="8"/>
  <c r="L527" i="8"/>
  <c r="M527" i="8"/>
  <c r="N527" i="8"/>
  <c r="O527" i="8"/>
  <c r="P527" i="8"/>
  <c r="L528" i="8"/>
  <c r="M528" i="8"/>
  <c r="N528" i="8"/>
  <c r="O528" i="8"/>
  <c r="P528" i="8"/>
  <c r="L529" i="8"/>
  <c r="M529" i="8"/>
  <c r="N529" i="8"/>
  <c r="O529" i="8"/>
  <c r="P529" i="8"/>
  <c r="L530" i="8"/>
  <c r="M530" i="8"/>
  <c r="N530" i="8"/>
  <c r="O530" i="8"/>
  <c r="P530" i="8"/>
  <c r="L531" i="8"/>
  <c r="M531" i="8"/>
  <c r="N531" i="8"/>
  <c r="O531" i="8"/>
  <c r="P531" i="8"/>
  <c r="L532" i="8"/>
  <c r="M532" i="8"/>
  <c r="N532" i="8"/>
  <c r="O532" i="8"/>
  <c r="P532" i="8"/>
  <c r="L533" i="8"/>
  <c r="M533" i="8"/>
  <c r="N533" i="8"/>
  <c r="O533" i="8"/>
  <c r="P533" i="8"/>
  <c r="L534" i="8"/>
  <c r="M534" i="8"/>
  <c r="N534" i="8"/>
  <c r="O534" i="8"/>
  <c r="P534" i="8"/>
  <c r="L535" i="8"/>
  <c r="M535" i="8"/>
  <c r="N535" i="8"/>
  <c r="O535" i="8"/>
  <c r="P535" i="8"/>
  <c r="L536" i="8"/>
  <c r="M536" i="8"/>
  <c r="N536" i="8"/>
  <c r="O536" i="8"/>
  <c r="P536" i="8"/>
  <c r="L537" i="8"/>
  <c r="M537" i="8"/>
  <c r="N537" i="8"/>
  <c r="O537" i="8"/>
  <c r="P537" i="8"/>
  <c r="L538" i="8"/>
  <c r="M538" i="8"/>
  <c r="N538" i="8"/>
  <c r="O538" i="8"/>
  <c r="P538" i="8"/>
  <c r="L539" i="8"/>
  <c r="M539" i="8"/>
  <c r="N539" i="8"/>
  <c r="O539" i="8"/>
  <c r="P539" i="8"/>
  <c r="L540" i="8"/>
  <c r="M540" i="8"/>
  <c r="N540" i="8"/>
  <c r="O540" i="8"/>
  <c r="P540" i="8"/>
  <c r="L541" i="8"/>
  <c r="M541" i="8"/>
  <c r="N541" i="8"/>
  <c r="O541" i="8"/>
  <c r="P541" i="8"/>
  <c r="L542" i="8"/>
  <c r="M542" i="8"/>
  <c r="N542" i="8"/>
  <c r="O542" i="8"/>
  <c r="P542" i="8"/>
  <c r="L543" i="8"/>
  <c r="M543" i="8"/>
  <c r="N543" i="8"/>
  <c r="O543" i="8"/>
  <c r="P543" i="8"/>
  <c r="L544" i="8"/>
  <c r="M544" i="8"/>
  <c r="N544" i="8"/>
  <c r="O544" i="8"/>
  <c r="P544" i="8"/>
  <c r="L545" i="8"/>
  <c r="M545" i="8"/>
  <c r="N545" i="8"/>
  <c r="O545" i="8"/>
  <c r="P545" i="8"/>
  <c r="L546" i="8"/>
  <c r="M546" i="8"/>
  <c r="N546" i="8"/>
  <c r="O546" i="8"/>
  <c r="P546" i="8"/>
  <c r="L547" i="8"/>
  <c r="M547" i="8"/>
  <c r="N547" i="8"/>
  <c r="O547" i="8"/>
  <c r="P547" i="8"/>
  <c r="L548" i="8"/>
  <c r="M548" i="8"/>
  <c r="N548" i="8"/>
  <c r="O548" i="8"/>
  <c r="P548" i="8"/>
  <c r="L549" i="8"/>
  <c r="M549" i="8"/>
  <c r="N549" i="8"/>
  <c r="O549" i="8"/>
  <c r="P549" i="8"/>
  <c r="L550" i="8"/>
  <c r="M550" i="8"/>
  <c r="N550" i="8"/>
  <c r="O550" i="8"/>
  <c r="P550" i="8"/>
  <c r="L551" i="8"/>
  <c r="M551" i="8"/>
  <c r="N551" i="8"/>
  <c r="O551" i="8"/>
  <c r="P551" i="8"/>
  <c r="L552" i="8"/>
  <c r="M552" i="8"/>
  <c r="N552" i="8"/>
  <c r="O552" i="8"/>
  <c r="P552" i="8"/>
  <c r="L553" i="8"/>
  <c r="M553" i="8"/>
  <c r="N553" i="8"/>
  <c r="O553" i="8"/>
  <c r="P553" i="8"/>
  <c r="L554" i="8"/>
  <c r="M554" i="8"/>
  <c r="N554" i="8"/>
  <c r="O554" i="8"/>
  <c r="P554" i="8"/>
  <c r="L555" i="8"/>
  <c r="M555" i="8"/>
  <c r="N555" i="8"/>
  <c r="O555" i="8"/>
  <c r="P555" i="8"/>
  <c r="L556" i="8"/>
  <c r="M556" i="8"/>
  <c r="N556" i="8"/>
  <c r="O556" i="8"/>
  <c r="P556" i="8"/>
  <c r="L557" i="8"/>
  <c r="M557" i="8"/>
  <c r="N557" i="8"/>
  <c r="O557" i="8"/>
  <c r="P557" i="8"/>
  <c r="L558" i="8"/>
  <c r="M558" i="8"/>
  <c r="N558" i="8"/>
  <c r="O558" i="8"/>
  <c r="P558" i="8"/>
  <c r="L559" i="8"/>
  <c r="M559" i="8"/>
  <c r="N559" i="8"/>
  <c r="O559" i="8"/>
  <c r="P559" i="8"/>
  <c r="L560" i="8"/>
  <c r="M560" i="8"/>
  <c r="N560" i="8"/>
  <c r="O560" i="8"/>
  <c r="P560" i="8"/>
  <c r="L561" i="8"/>
  <c r="M561" i="8"/>
  <c r="N561" i="8"/>
  <c r="O561" i="8"/>
  <c r="P561" i="8"/>
  <c r="L562" i="8"/>
  <c r="M562" i="8"/>
  <c r="N562" i="8"/>
  <c r="O562" i="8"/>
  <c r="P562" i="8"/>
  <c r="L563" i="8"/>
  <c r="M563" i="8"/>
  <c r="N563" i="8"/>
  <c r="O563" i="8"/>
  <c r="P563" i="8"/>
  <c r="L564" i="8"/>
  <c r="M564" i="8"/>
  <c r="N564" i="8"/>
  <c r="O564" i="8"/>
  <c r="P564" i="8"/>
  <c r="L565" i="8"/>
  <c r="M565" i="8"/>
  <c r="N565" i="8"/>
  <c r="O565" i="8"/>
  <c r="P565" i="8"/>
  <c r="L566" i="8"/>
  <c r="M566" i="8"/>
  <c r="N566" i="8"/>
  <c r="O566" i="8"/>
  <c r="P566" i="8"/>
  <c r="L567" i="8"/>
  <c r="M567" i="8"/>
  <c r="N567" i="8"/>
  <c r="O567" i="8"/>
  <c r="P567" i="8"/>
  <c r="L568" i="8"/>
  <c r="M568" i="8"/>
  <c r="N568" i="8"/>
  <c r="O568" i="8"/>
  <c r="P568" i="8"/>
  <c r="L569" i="8"/>
  <c r="M569" i="8"/>
  <c r="N569" i="8"/>
  <c r="O569" i="8"/>
  <c r="P569" i="8"/>
  <c r="L570" i="8"/>
  <c r="M570" i="8"/>
  <c r="N570" i="8"/>
  <c r="O570" i="8"/>
  <c r="P570" i="8"/>
  <c r="L571" i="8"/>
  <c r="M571" i="8"/>
  <c r="N571" i="8"/>
  <c r="O571" i="8"/>
  <c r="P571" i="8"/>
  <c r="L572" i="8"/>
  <c r="M572" i="8"/>
  <c r="N572" i="8"/>
  <c r="O572" i="8"/>
  <c r="P572" i="8"/>
  <c r="L573" i="8"/>
  <c r="M573" i="8"/>
  <c r="N573" i="8"/>
  <c r="O573" i="8"/>
  <c r="P573" i="8"/>
  <c r="L574" i="8"/>
  <c r="M574" i="8"/>
  <c r="N574" i="8"/>
  <c r="O574" i="8"/>
  <c r="P574" i="8"/>
  <c r="L575" i="8"/>
  <c r="M575" i="8"/>
  <c r="N575" i="8"/>
  <c r="O575" i="8"/>
  <c r="P575" i="8"/>
  <c r="L576" i="8"/>
  <c r="M576" i="8"/>
  <c r="N576" i="8"/>
  <c r="O576" i="8"/>
  <c r="P576" i="8"/>
  <c r="L577" i="8"/>
  <c r="M577" i="8"/>
  <c r="N577" i="8"/>
  <c r="O577" i="8"/>
  <c r="P577" i="8"/>
  <c r="L578" i="8"/>
  <c r="M578" i="8"/>
  <c r="N578" i="8"/>
  <c r="O578" i="8"/>
  <c r="P578" i="8"/>
  <c r="L579" i="8"/>
  <c r="M579" i="8"/>
  <c r="N579" i="8"/>
  <c r="O579" i="8"/>
  <c r="P579" i="8"/>
  <c r="L580" i="8"/>
  <c r="M580" i="8"/>
  <c r="N580" i="8"/>
  <c r="O580" i="8"/>
  <c r="P580" i="8"/>
  <c r="L581" i="8"/>
  <c r="M581" i="8"/>
  <c r="N581" i="8"/>
  <c r="O581" i="8"/>
  <c r="P581" i="8"/>
  <c r="L582" i="8"/>
  <c r="M582" i="8"/>
  <c r="N582" i="8"/>
  <c r="O582" i="8"/>
  <c r="P582" i="8"/>
  <c r="L583" i="8"/>
  <c r="M583" i="8"/>
  <c r="N583" i="8"/>
  <c r="O583" i="8"/>
  <c r="P583" i="8"/>
  <c r="L584" i="8"/>
  <c r="M584" i="8"/>
  <c r="N584" i="8"/>
  <c r="O584" i="8"/>
  <c r="P584" i="8"/>
  <c r="L585" i="8"/>
  <c r="M585" i="8"/>
  <c r="N585" i="8"/>
  <c r="O585" i="8"/>
  <c r="P585" i="8"/>
  <c r="L586" i="8"/>
  <c r="M586" i="8"/>
  <c r="N586" i="8"/>
  <c r="O586" i="8"/>
  <c r="P586" i="8"/>
  <c r="L587" i="8"/>
  <c r="M587" i="8"/>
  <c r="N587" i="8"/>
  <c r="O587" i="8"/>
  <c r="P587" i="8"/>
  <c r="L588" i="8"/>
  <c r="M588" i="8"/>
  <c r="N588" i="8"/>
  <c r="O588" i="8"/>
  <c r="P588" i="8"/>
  <c r="L589" i="8"/>
  <c r="M589" i="8"/>
  <c r="N589" i="8"/>
  <c r="O589" i="8"/>
  <c r="P589" i="8"/>
  <c r="L590" i="8"/>
  <c r="M590" i="8"/>
  <c r="N590" i="8"/>
  <c r="O590" i="8"/>
  <c r="P590" i="8"/>
  <c r="L591" i="8"/>
  <c r="M591" i="8"/>
  <c r="N591" i="8"/>
  <c r="O591" i="8"/>
  <c r="P591" i="8"/>
  <c r="L592" i="8"/>
  <c r="M592" i="8"/>
  <c r="N592" i="8"/>
  <c r="O592" i="8"/>
  <c r="P592" i="8"/>
  <c r="L593" i="8"/>
  <c r="M593" i="8"/>
  <c r="N593" i="8"/>
  <c r="O593" i="8"/>
  <c r="P593" i="8"/>
  <c r="L594" i="8"/>
  <c r="M594" i="8"/>
  <c r="N594" i="8"/>
  <c r="O594" i="8"/>
  <c r="P594" i="8"/>
  <c r="L595" i="8"/>
  <c r="M595" i="8"/>
  <c r="N595" i="8"/>
  <c r="O595" i="8"/>
  <c r="P595" i="8"/>
  <c r="L596" i="8"/>
  <c r="M596" i="8"/>
  <c r="N596" i="8"/>
  <c r="O596" i="8"/>
  <c r="P596" i="8"/>
  <c r="L597" i="8"/>
  <c r="M597" i="8"/>
  <c r="N597" i="8"/>
  <c r="O597" i="8"/>
  <c r="P597" i="8"/>
  <c r="L598" i="8"/>
  <c r="M598" i="8"/>
  <c r="N598" i="8"/>
  <c r="O598" i="8"/>
  <c r="P598" i="8"/>
  <c r="L599" i="8"/>
  <c r="M599" i="8"/>
  <c r="N599" i="8"/>
  <c r="O599" i="8"/>
  <c r="P599" i="8"/>
  <c r="L600" i="8"/>
  <c r="M600" i="8"/>
  <c r="N600" i="8"/>
  <c r="O600" i="8"/>
  <c r="P600" i="8"/>
  <c r="L601" i="8"/>
  <c r="M601" i="8"/>
  <c r="N601" i="8"/>
  <c r="O601" i="8"/>
  <c r="P601" i="8"/>
  <c r="L37" i="8"/>
  <c r="M37" i="8"/>
  <c r="N37" i="8"/>
  <c r="O37" i="8"/>
  <c r="P37" i="8"/>
  <c r="L38" i="8"/>
  <c r="M38" i="8"/>
  <c r="N38" i="8"/>
  <c r="O38" i="8"/>
  <c r="P38" i="8"/>
  <c r="L39" i="8"/>
  <c r="M39" i="8"/>
  <c r="N39" i="8"/>
  <c r="O39" i="8"/>
  <c r="P39" i="8"/>
  <c r="L40" i="8"/>
  <c r="M40" i="8"/>
  <c r="N40" i="8"/>
  <c r="O40" i="8"/>
  <c r="P40" i="8"/>
  <c r="L41" i="8"/>
  <c r="M41" i="8"/>
  <c r="N41" i="8"/>
  <c r="O41" i="8"/>
  <c r="P41" i="8"/>
  <c r="L42" i="8"/>
  <c r="M42" i="8"/>
  <c r="N42" i="8"/>
  <c r="O42" i="8"/>
  <c r="P42" i="8"/>
  <c r="L43" i="8"/>
  <c r="M43" i="8"/>
  <c r="N43" i="8"/>
  <c r="O43" i="8"/>
  <c r="P43" i="8"/>
  <c r="L44" i="8"/>
  <c r="M44" i="8"/>
  <c r="N44" i="8"/>
  <c r="O44" i="8"/>
  <c r="P44" i="8"/>
  <c r="L45" i="8"/>
  <c r="M45" i="8"/>
  <c r="N45" i="8"/>
  <c r="O45" i="8"/>
  <c r="P45" i="8"/>
  <c r="L46" i="8"/>
  <c r="M46" i="8"/>
  <c r="N46" i="8"/>
  <c r="O46" i="8"/>
  <c r="P46" i="8"/>
  <c r="L47" i="8"/>
  <c r="M47" i="8"/>
  <c r="N47" i="8"/>
  <c r="O47" i="8"/>
  <c r="P47" i="8"/>
  <c r="L48" i="8"/>
  <c r="M48" i="8"/>
  <c r="N48" i="8"/>
  <c r="O48" i="8"/>
  <c r="P48" i="8"/>
  <c r="L49" i="8"/>
  <c r="M49" i="8"/>
  <c r="N49" i="8"/>
  <c r="O49" i="8"/>
  <c r="P49" i="8"/>
  <c r="L50" i="8"/>
  <c r="M50" i="8"/>
  <c r="N50" i="8"/>
  <c r="O50" i="8"/>
  <c r="P50" i="8"/>
  <c r="L51" i="8"/>
  <c r="M51" i="8"/>
  <c r="N51" i="8"/>
  <c r="O51" i="8"/>
  <c r="P51" i="8"/>
  <c r="L52" i="8"/>
  <c r="M52" i="8"/>
  <c r="N52" i="8"/>
  <c r="O52" i="8"/>
  <c r="P52" i="8"/>
  <c r="L53" i="8"/>
  <c r="M53" i="8"/>
  <c r="N53" i="8"/>
  <c r="O53" i="8"/>
  <c r="P53" i="8"/>
  <c r="L54" i="8"/>
  <c r="M54" i="8"/>
  <c r="N54" i="8"/>
  <c r="O54" i="8"/>
  <c r="P54" i="8"/>
  <c r="L55" i="8"/>
  <c r="M55" i="8"/>
  <c r="N55" i="8"/>
  <c r="O55" i="8"/>
  <c r="P55" i="8"/>
  <c r="L56" i="8"/>
  <c r="M56" i="8"/>
  <c r="N56" i="8"/>
  <c r="O56" i="8"/>
  <c r="P56" i="8"/>
  <c r="L57" i="8"/>
  <c r="M57" i="8"/>
  <c r="N57" i="8"/>
  <c r="O57" i="8"/>
  <c r="P57" i="8"/>
  <c r="L58" i="8"/>
  <c r="M58" i="8"/>
  <c r="N58" i="8"/>
  <c r="O58" i="8"/>
  <c r="P58" i="8"/>
  <c r="L59" i="8"/>
  <c r="M59" i="8"/>
  <c r="N59" i="8"/>
  <c r="O59" i="8"/>
  <c r="P59" i="8"/>
  <c r="L60" i="8"/>
  <c r="M60" i="8"/>
  <c r="N60" i="8"/>
  <c r="O60" i="8"/>
  <c r="P60" i="8"/>
  <c r="L61" i="8"/>
  <c r="M61" i="8"/>
  <c r="N61" i="8"/>
  <c r="O61" i="8"/>
  <c r="P61" i="8"/>
  <c r="L62" i="8"/>
  <c r="M62" i="8"/>
  <c r="N62" i="8"/>
  <c r="O62" i="8"/>
  <c r="P62" i="8"/>
  <c r="L63" i="8"/>
  <c r="M63" i="8"/>
  <c r="N63" i="8"/>
  <c r="O63" i="8"/>
  <c r="P63" i="8"/>
  <c r="L64" i="8"/>
  <c r="M64" i="8"/>
  <c r="N64" i="8"/>
  <c r="O64" i="8"/>
  <c r="P64" i="8"/>
  <c r="L65" i="8"/>
  <c r="M65" i="8"/>
  <c r="N65" i="8"/>
  <c r="O65" i="8"/>
  <c r="P65" i="8"/>
  <c r="L66" i="8"/>
  <c r="M66" i="8"/>
  <c r="N66" i="8"/>
  <c r="O66" i="8"/>
  <c r="P66" i="8"/>
  <c r="L67" i="8"/>
  <c r="M67" i="8"/>
  <c r="N67" i="8"/>
  <c r="O67" i="8"/>
  <c r="P67" i="8"/>
  <c r="L68" i="8"/>
  <c r="M68" i="8"/>
  <c r="N68" i="8"/>
  <c r="O68" i="8"/>
  <c r="P68" i="8"/>
  <c r="L69" i="8"/>
  <c r="M69" i="8"/>
  <c r="N69" i="8"/>
  <c r="O69" i="8"/>
  <c r="P69" i="8"/>
  <c r="L70" i="8"/>
  <c r="M70" i="8"/>
  <c r="N70" i="8"/>
  <c r="O70" i="8"/>
  <c r="P70" i="8"/>
  <c r="L71" i="8"/>
  <c r="M71" i="8"/>
  <c r="N71" i="8"/>
  <c r="O71" i="8"/>
  <c r="P71" i="8"/>
  <c r="L72" i="8"/>
  <c r="M72" i="8"/>
  <c r="N72" i="8"/>
  <c r="O72" i="8"/>
  <c r="P72" i="8"/>
  <c r="L73" i="8"/>
  <c r="M73" i="8"/>
  <c r="N73" i="8"/>
  <c r="O73" i="8"/>
  <c r="P73" i="8"/>
  <c r="L74" i="8"/>
  <c r="M74" i="8"/>
  <c r="N74" i="8"/>
  <c r="O74" i="8"/>
  <c r="P74" i="8"/>
  <c r="L75" i="8"/>
  <c r="M75" i="8"/>
  <c r="N75" i="8"/>
  <c r="O75" i="8"/>
  <c r="P75" i="8"/>
  <c r="L76" i="8"/>
  <c r="M76" i="8"/>
  <c r="N76" i="8"/>
  <c r="O76" i="8"/>
  <c r="P76" i="8"/>
  <c r="L77" i="8"/>
  <c r="M77" i="8"/>
  <c r="N77" i="8"/>
  <c r="O77" i="8"/>
  <c r="P77" i="8"/>
  <c r="L78" i="8"/>
  <c r="M78" i="8"/>
  <c r="N78" i="8"/>
  <c r="O78" i="8"/>
  <c r="P78" i="8"/>
  <c r="L79" i="8"/>
  <c r="M79" i="8"/>
  <c r="N79" i="8"/>
  <c r="O79" i="8"/>
  <c r="P79" i="8"/>
  <c r="L80" i="8"/>
  <c r="M80" i="8"/>
  <c r="N80" i="8"/>
  <c r="O80" i="8"/>
  <c r="P80" i="8"/>
  <c r="L81" i="8"/>
  <c r="M81" i="8"/>
  <c r="N81" i="8"/>
  <c r="O81" i="8"/>
  <c r="P81" i="8"/>
  <c r="L82" i="8"/>
  <c r="M82" i="8"/>
  <c r="N82" i="8"/>
  <c r="O82" i="8"/>
  <c r="P82" i="8"/>
  <c r="L83" i="8"/>
  <c r="M83" i="8"/>
  <c r="N83" i="8"/>
  <c r="O83" i="8"/>
  <c r="P83" i="8"/>
  <c r="L84" i="8"/>
  <c r="M84" i="8"/>
  <c r="N84" i="8"/>
  <c r="O84" i="8"/>
  <c r="P84" i="8"/>
  <c r="L85" i="8"/>
  <c r="M85" i="8"/>
  <c r="N85" i="8"/>
  <c r="O85" i="8"/>
  <c r="P85" i="8"/>
  <c r="L86" i="8"/>
  <c r="M86" i="8"/>
  <c r="N86" i="8"/>
  <c r="O86" i="8"/>
  <c r="P86" i="8"/>
  <c r="L87" i="8"/>
  <c r="M87" i="8"/>
  <c r="N87" i="8"/>
  <c r="O87" i="8"/>
  <c r="P87" i="8"/>
  <c r="L88" i="8"/>
  <c r="M88" i="8"/>
  <c r="N88" i="8"/>
  <c r="O88" i="8"/>
  <c r="P88" i="8"/>
  <c r="L89" i="8"/>
  <c r="M89" i="8"/>
  <c r="N89" i="8"/>
  <c r="O89" i="8"/>
  <c r="P89" i="8"/>
  <c r="L90" i="8"/>
  <c r="M90" i="8"/>
  <c r="N90" i="8"/>
  <c r="O90" i="8"/>
  <c r="P90" i="8"/>
  <c r="L91" i="8"/>
  <c r="M91" i="8"/>
  <c r="N91" i="8"/>
  <c r="O91" i="8"/>
  <c r="P91" i="8"/>
  <c r="L92" i="8"/>
  <c r="M92" i="8"/>
  <c r="N92" i="8"/>
  <c r="O92" i="8"/>
  <c r="P92" i="8"/>
  <c r="L93" i="8"/>
  <c r="M93" i="8"/>
  <c r="N93" i="8"/>
  <c r="O93" i="8"/>
  <c r="P93" i="8"/>
  <c r="L94" i="8"/>
  <c r="M94" i="8"/>
  <c r="N94" i="8"/>
  <c r="O94" i="8"/>
  <c r="P94" i="8"/>
  <c r="L95" i="8"/>
  <c r="M95" i="8"/>
  <c r="N95" i="8"/>
  <c r="O95" i="8"/>
  <c r="P95" i="8"/>
  <c r="L96" i="8"/>
  <c r="M96" i="8"/>
  <c r="N96" i="8"/>
  <c r="O96" i="8"/>
  <c r="P96" i="8"/>
  <c r="L97" i="8"/>
  <c r="M97" i="8"/>
  <c r="N97" i="8"/>
  <c r="O97" i="8"/>
  <c r="P97" i="8"/>
  <c r="L98" i="8"/>
  <c r="M98" i="8"/>
  <c r="N98" i="8"/>
  <c r="O98" i="8"/>
  <c r="P98" i="8"/>
  <c r="L99" i="8"/>
  <c r="M99" i="8"/>
  <c r="N99" i="8"/>
  <c r="O99" i="8"/>
  <c r="P99" i="8"/>
  <c r="L100" i="8"/>
  <c r="M100" i="8"/>
  <c r="N100" i="8"/>
  <c r="O100" i="8"/>
  <c r="P100" i="8"/>
  <c r="L101" i="8"/>
  <c r="M101" i="8"/>
  <c r="N101" i="8"/>
  <c r="O101" i="8"/>
  <c r="P101" i="8"/>
  <c r="L102" i="8"/>
  <c r="M102" i="8"/>
  <c r="N102" i="8"/>
  <c r="O102" i="8"/>
  <c r="P102" i="8"/>
  <c r="L103" i="8"/>
  <c r="M103" i="8"/>
  <c r="N103" i="8"/>
  <c r="O103" i="8"/>
  <c r="P103" i="8"/>
  <c r="L104" i="8"/>
  <c r="M104" i="8"/>
  <c r="N104" i="8"/>
  <c r="O104" i="8"/>
  <c r="P104" i="8"/>
  <c r="L105" i="8"/>
  <c r="M105" i="8"/>
  <c r="N105" i="8"/>
  <c r="O105" i="8"/>
  <c r="P105" i="8"/>
  <c r="L106" i="8"/>
  <c r="M106" i="8"/>
  <c r="N106" i="8"/>
  <c r="O106" i="8"/>
  <c r="P106" i="8"/>
  <c r="L107" i="8"/>
  <c r="M107" i="8"/>
  <c r="N107" i="8"/>
  <c r="O107" i="8"/>
  <c r="P107" i="8"/>
  <c r="L108" i="8"/>
  <c r="M108" i="8"/>
  <c r="N108" i="8"/>
  <c r="O108" i="8"/>
  <c r="P108" i="8"/>
  <c r="L109" i="8"/>
  <c r="M109" i="8"/>
  <c r="N109" i="8"/>
  <c r="O109" i="8"/>
  <c r="P109" i="8"/>
  <c r="L110" i="8"/>
  <c r="M110" i="8"/>
  <c r="N110" i="8"/>
  <c r="O110" i="8"/>
  <c r="P110" i="8"/>
  <c r="L111" i="8"/>
  <c r="M111" i="8"/>
  <c r="N111" i="8"/>
  <c r="O111" i="8"/>
  <c r="P111" i="8"/>
  <c r="L112" i="8"/>
  <c r="M112" i="8"/>
  <c r="N112" i="8"/>
  <c r="O112" i="8"/>
  <c r="P112" i="8"/>
  <c r="L113" i="8"/>
  <c r="M113" i="8"/>
  <c r="N113" i="8"/>
  <c r="O113" i="8"/>
  <c r="P113" i="8"/>
  <c r="L114" i="8"/>
  <c r="M114" i="8"/>
  <c r="N114" i="8"/>
  <c r="O114" i="8"/>
  <c r="P114" i="8"/>
  <c r="L115" i="8"/>
  <c r="M115" i="8"/>
  <c r="N115" i="8"/>
  <c r="O115" i="8"/>
  <c r="P115" i="8"/>
  <c r="L116" i="8"/>
  <c r="M116" i="8"/>
  <c r="N116" i="8"/>
  <c r="O116" i="8"/>
  <c r="P116" i="8"/>
  <c r="L117" i="8"/>
  <c r="M117" i="8"/>
  <c r="N117" i="8"/>
  <c r="O117" i="8"/>
  <c r="P117" i="8"/>
  <c r="L118" i="8"/>
  <c r="M118" i="8"/>
  <c r="N118" i="8"/>
  <c r="O118" i="8"/>
  <c r="P118" i="8"/>
  <c r="L119" i="8"/>
  <c r="M119" i="8"/>
  <c r="N119" i="8"/>
  <c r="O119" i="8"/>
  <c r="P119" i="8"/>
  <c r="L120" i="8"/>
  <c r="M120" i="8"/>
  <c r="N120" i="8"/>
  <c r="O120" i="8"/>
  <c r="P120" i="8"/>
  <c r="L121" i="8"/>
  <c r="M121" i="8"/>
  <c r="N121" i="8"/>
  <c r="O121" i="8"/>
  <c r="P121" i="8"/>
  <c r="L122" i="8"/>
  <c r="M122" i="8"/>
  <c r="N122" i="8"/>
  <c r="O122" i="8"/>
  <c r="P122" i="8"/>
  <c r="L123" i="8"/>
  <c r="M123" i="8"/>
  <c r="N123" i="8"/>
  <c r="O123" i="8"/>
  <c r="P123" i="8"/>
  <c r="L124" i="8"/>
  <c r="M124" i="8"/>
  <c r="N124" i="8"/>
  <c r="O124" i="8"/>
  <c r="P124" i="8"/>
  <c r="L125" i="8"/>
  <c r="M125" i="8"/>
  <c r="N125" i="8"/>
  <c r="O125" i="8"/>
  <c r="P125" i="8"/>
  <c r="L126" i="8"/>
  <c r="M126" i="8"/>
  <c r="N126" i="8"/>
  <c r="O126" i="8"/>
  <c r="P126" i="8"/>
  <c r="L127" i="8"/>
  <c r="M127" i="8"/>
  <c r="N127" i="8"/>
  <c r="O127" i="8"/>
  <c r="P127" i="8"/>
  <c r="L128" i="8"/>
  <c r="M128" i="8"/>
  <c r="N128" i="8"/>
  <c r="O128" i="8"/>
  <c r="P128" i="8"/>
  <c r="L129" i="8"/>
  <c r="M129" i="8"/>
  <c r="N129" i="8"/>
  <c r="O129" i="8"/>
  <c r="P129" i="8"/>
  <c r="L130" i="8"/>
  <c r="M130" i="8"/>
  <c r="N130" i="8"/>
  <c r="O130" i="8"/>
  <c r="P130" i="8"/>
  <c r="L131" i="8"/>
  <c r="M131" i="8"/>
  <c r="N131" i="8"/>
  <c r="O131" i="8"/>
  <c r="P131" i="8"/>
  <c r="L132" i="8"/>
  <c r="M132" i="8"/>
  <c r="N132" i="8"/>
  <c r="O132" i="8"/>
  <c r="P132" i="8"/>
  <c r="L133" i="8"/>
  <c r="M133" i="8"/>
  <c r="N133" i="8"/>
  <c r="O133" i="8"/>
  <c r="P133" i="8"/>
  <c r="L134" i="8"/>
  <c r="M134" i="8"/>
  <c r="N134" i="8"/>
  <c r="O134" i="8"/>
  <c r="P134" i="8"/>
  <c r="L135" i="8"/>
  <c r="M135" i="8"/>
  <c r="N135" i="8"/>
  <c r="O135" i="8"/>
  <c r="P135" i="8"/>
  <c r="L136" i="8"/>
  <c r="M136" i="8"/>
  <c r="N136" i="8"/>
  <c r="O136" i="8"/>
  <c r="P136" i="8"/>
  <c r="L137" i="8"/>
  <c r="M137" i="8"/>
  <c r="N137" i="8"/>
  <c r="O137" i="8"/>
  <c r="P137" i="8"/>
  <c r="L138" i="8"/>
  <c r="M138" i="8"/>
  <c r="N138" i="8"/>
  <c r="O138" i="8"/>
  <c r="P138" i="8"/>
  <c r="L139" i="8"/>
  <c r="M139" i="8"/>
  <c r="N139" i="8"/>
  <c r="O139" i="8"/>
  <c r="P139" i="8"/>
  <c r="L140" i="8"/>
  <c r="M140" i="8"/>
  <c r="N140" i="8"/>
  <c r="O140" i="8"/>
  <c r="P140" i="8"/>
  <c r="L141" i="8"/>
  <c r="M141" i="8"/>
  <c r="N141" i="8"/>
  <c r="O141" i="8"/>
  <c r="P141" i="8"/>
  <c r="L142" i="8"/>
  <c r="M142" i="8"/>
  <c r="N142" i="8"/>
  <c r="O142" i="8"/>
  <c r="P142" i="8"/>
  <c r="L143" i="8"/>
  <c r="M143" i="8"/>
  <c r="N143" i="8"/>
  <c r="O143" i="8"/>
  <c r="P143" i="8"/>
  <c r="L144" i="8"/>
  <c r="M144" i="8"/>
  <c r="N144" i="8"/>
  <c r="O144" i="8"/>
  <c r="P144" i="8"/>
  <c r="L145" i="8"/>
  <c r="M145" i="8"/>
  <c r="N145" i="8"/>
  <c r="O145" i="8"/>
  <c r="P145" i="8"/>
  <c r="L146" i="8"/>
  <c r="M146" i="8"/>
  <c r="N146" i="8"/>
  <c r="O146" i="8"/>
  <c r="P146" i="8"/>
  <c r="L147" i="8"/>
  <c r="M147" i="8"/>
  <c r="N147" i="8"/>
  <c r="O147" i="8"/>
  <c r="P147" i="8"/>
  <c r="L148" i="8"/>
  <c r="M148" i="8"/>
  <c r="N148" i="8"/>
  <c r="O148" i="8"/>
  <c r="P148" i="8"/>
  <c r="L149" i="8"/>
  <c r="M149" i="8"/>
  <c r="N149" i="8"/>
  <c r="O149" i="8"/>
  <c r="P149" i="8"/>
  <c r="L150" i="8"/>
  <c r="M150" i="8"/>
  <c r="N150" i="8"/>
  <c r="O150" i="8"/>
  <c r="P150" i="8"/>
  <c r="L151" i="8"/>
  <c r="M151" i="8"/>
  <c r="N151" i="8"/>
  <c r="O151" i="8"/>
  <c r="P151" i="8"/>
  <c r="L152" i="8"/>
  <c r="M152" i="8"/>
  <c r="N152" i="8"/>
  <c r="O152" i="8"/>
  <c r="P152" i="8"/>
  <c r="L153" i="8"/>
  <c r="M153" i="8"/>
  <c r="N153" i="8"/>
  <c r="O153" i="8"/>
  <c r="P153" i="8"/>
  <c r="L154" i="8"/>
  <c r="M154" i="8"/>
  <c r="N154" i="8"/>
  <c r="O154" i="8"/>
  <c r="P154" i="8"/>
  <c r="L155" i="8"/>
  <c r="M155" i="8"/>
  <c r="N155" i="8"/>
  <c r="O155" i="8"/>
  <c r="P155" i="8"/>
  <c r="L156" i="8"/>
  <c r="M156" i="8"/>
  <c r="N156" i="8"/>
  <c r="O156" i="8"/>
  <c r="P156" i="8"/>
  <c r="L157" i="8"/>
  <c r="M157" i="8"/>
  <c r="N157" i="8"/>
  <c r="O157" i="8"/>
  <c r="P157" i="8"/>
  <c r="L158" i="8"/>
  <c r="M158" i="8"/>
  <c r="N158" i="8"/>
  <c r="O158" i="8"/>
  <c r="P158" i="8"/>
  <c r="L159" i="8"/>
  <c r="M159" i="8"/>
  <c r="N159" i="8"/>
  <c r="O159" i="8"/>
  <c r="P159" i="8"/>
  <c r="L160" i="8"/>
  <c r="M160" i="8"/>
  <c r="N160" i="8"/>
  <c r="O160" i="8"/>
  <c r="P160" i="8"/>
  <c r="L161" i="8"/>
  <c r="M161" i="8"/>
  <c r="N161" i="8"/>
  <c r="O161" i="8"/>
  <c r="P161" i="8"/>
  <c r="L162" i="8"/>
  <c r="M162" i="8"/>
  <c r="N162" i="8"/>
  <c r="O162" i="8"/>
  <c r="P162" i="8"/>
  <c r="L163" i="8"/>
  <c r="M163" i="8"/>
  <c r="N163" i="8"/>
  <c r="O163" i="8"/>
  <c r="P163" i="8"/>
  <c r="L164" i="8"/>
  <c r="M164" i="8"/>
  <c r="N164" i="8"/>
  <c r="O164" i="8"/>
  <c r="P164" i="8"/>
  <c r="L165" i="8"/>
  <c r="M165" i="8"/>
  <c r="N165" i="8"/>
  <c r="O165" i="8"/>
  <c r="P165" i="8"/>
  <c r="L166" i="8"/>
  <c r="M166" i="8"/>
  <c r="N166" i="8"/>
  <c r="O166" i="8"/>
  <c r="P166" i="8"/>
  <c r="L167" i="8"/>
  <c r="M167" i="8"/>
  <c r="N167" i="8"/>
  <c r="O167" i="8"/>
  <c r="P167" i="8"/>
  <c r="L168" i="8"/>
  <c r="M168" i="8"/>
  <c r="N168" i="8"/>
  <c r="O168" i="8"/>
  <c r="P168" i="8"/>
  <c r="L169" i="8"/>
  <c r="M169" i="8"/>
  <c r="N169" i="8"/>
  <c r="O169" i="8"/>
  <c r="P169" i="8"/>
  <c r="L170" i="8"/>
  <c r="M170" i="8"/>
  <c r="N170" i="8"/>
  <c r="O170" i="8"/>
  <c r="P170" i="8"/>
  <c r="L171" i="8"/>
  <c r="M171" i="8"/>
  <c r="N171" i="8"/>
  <c r="O171" i="8"/>
  <c r="P171" i="8"/>
  <c r="L172" i="8"/>
  <c r="M172" i="8"/>
  <c r="N172" i="8"/>
  <c r="O172" i="8"/>
  <c r="P172" i="8"/>
  <c r="L173" i="8"/>
  <c r="M173" i="8"/>
  <c r="N173" i="8"/>
  <c r="O173" i="8"/>
  <c r="P173" i="8"/>
  <c r="L174" i="8"/>
  <c r="M174" i="8"/>
  <c r="N174" i="8"/>
  <c r="O174" i="8"/>
  <c r="P174" i="8"/>
  <c r="L175" i="8"/>
  <c r="M175" i="8"/>
  <c r="N175" i="8"/>
  <c r="O175" i="8"/>
  <c r="P175" i="8"/>
  <c r="L176" i="8"/>
  <c r="M176" i="8"/>
  <c r="N176" i="8"/>
  <c r="O176" i="8"/>
  <c r="P176" i="8"/>
  <c r="L177" i="8"/>
  <c r="M177" i="8"/>
  <c r="N177" i="8"/>
  <c r="O177" i="8"/>
  <c r="P177" i="8"/>
  <c r="L178" i="8"/>
  <c r="M178" i="8"/>
  <c r="N178" i="8"/>
  <c r="O178" i="8"/>
  <c r="P178" i="8"/>
  <c r="L179" i="8"/>
  <c r="M179" i="8"/>
  <c r="N179" i="8"/>
  <c r="O179" i="8"/>
  <c r="P179" i="8"/>
  <c r="L180" i="8"/>
  <c r="M180" i="8"/>
  <c r="N180" i="8"/>
  <c r="O180" i="8"/>
  <c r="P180" i="8"/>
  <c r="L181" i="8"/>
  <c r="M181" i="8"/>
  <c r="N181" i="8"/>
  <c r="O181" i="8"/>
  <c r="P181" i="8"/>
  <c r="L182" i="8"/>
  <c r="M182" i="8"/>
  <c r="N182" i="8"/>
  <c r="O182" i="8"/>
  <c r="P182" i="8"/>
  <c r="L183" i="8"/>
  <c r="M183" i="8"/>
  <c r="N183" i="8"/>
  <c r="O183" i="8"/>
  <c r="P183" i="8"/>
  <c r="L184" i="8"/>
  <c r="M184" i="8"/>
  <c r="N184" i="8"/>
  <c r="O184" i="8"/>
  <c r="P184" i="8"/>
  <c r="L185" i="8"/>
  <c r="M185" i="8"/>
  <c r="N185" i="8"/>
  <c r="O185" i="8"/>
  <c r="P185" i="8"/>
  <c r="L186" i="8"/>
  <c r="M186" i="8"/>
  <c r="N186" i="8"/>
  <c r="O186" i="8"/>
  <c r="P186" i="8"/>
  <c r="L187" i="8"/>
  <c r="M187" i="8"/>
  <c r="N187" i="8"/>
  <c r="O187" i="8"/>
  <c r="P187" i="8"/>
  <c r="L188" i="8"/>
  <c r="M188" i="8"/>
  <c r="N188" i="8"/>
  <c r="O188" i="8"/>
  <c r="P188" i="8"/>
  <c r="L189" i="8"/>
  <c r="M189" i="8"/>
  <c r="N189" i="8"/>
  <c r="O189" i="8"/>
  <c r="P189" i="8"/>
  <c r="L190" i="8"/>
  <c r="M190" i="8"/>
  <c r="N190" i="8"/>
  <c r="O190" i="8"/>
  <c r="P190" i="8"/>
  <c r="L191" i="8"/>
  <c r="M191" i="8"/>
  <c r="N191" i="8"/>
  <c r="O191" i="8"/>
  <c r="P191" i="8"/>
  <c r="L192" i="8"/>
  <c r="M192" i="8"/>
  <c r="N192" i="8"/>
  <c r="O192" i="8"/>
  <c r="P192" i="8"/>
  <c r="L193" i="8"/>
  <c r="M193" i="8"/>
  <c r="N193" i="8"/>
  <c r="O193" i="8"/>
  <c r="P193" i="8"/>
  <c r="L194" i="8"/>
  <c r="M194" i="8"/>
  <c r="N194" i="8"/>
  <c r="O194" i="8"/>
  <c r="P194" i="8"/>
  <c r="L195" i="8"/>
  <c r="M195" i="8"/>
  <c r="N195" i="8"/>
  <c r="O195" i="8"/>
  <c r="P195" i="8"/>
  <c r="L196" i="8"/>
  <c r="M196" i="8"/>
  <c r="N196" i="8"/>
  <c r="O196" i="8"/>
  <c r="P196" i="8"/>
  <c r="L197" i="8"/>
  <c r="M197" i="8"/>
  <c r="N197" i="8"/>
  <c r="O197" i="8"/>
  <c r="P197" i="8"/>
  <c r="L198" i="8"/>
  <c r="M198" i="8"/>
  <c r="N198" i="8"/>
  <c r="O198" i="8"/>
  <c r="P198" i="8"/>
  <c r="L199" i="8"/>
  <c r="M199" i="8"/>
  <c r="N199" i="8"/>
  <c r="O199" i="8"/>
  <c r="P199" i="8"/>
  <c r="L200" i="8"/>
  <c r="M200" i="8"/>
  <c r="N200" i="8"/>
  <c r="O200" i="8"/>
  <c r="P200" i="8"/>
  <c r="L201" i="8"/>
  <c r="M201" i="8"/>
  <c r="N201" i="8"/>
  <c r="O201" i="8"/>
  <c r="P201" i="8"/>
  <c r="L202" i="8"/>
  <c r="M202" i="8"/>
  <c r="N202" i="8"/>
  <c r="O202" i="8"/>
  <c r="P202" i="8"/>
  <c r="L203" i="8"/>
  <c r="M203" i="8"/>
  <c r="N203" i="8"/>
  <c r="O203" i="8"/>
  <c r="P203" i="8"/>
  <c r="L204" i="8"/>
  <c r="M204" i="8"/>
  <c r="N204" i="8"/>
  <c r="O204" i="8"/>
  <c r="P204" i="8"/>
  <c r="L205" i="8"/>
  <c r="M205" i="8"/>
  <c r="N205" i="8"/>
  <c r="O205" i="8"/>
  <c r="P205" i="8"/>
  <c r="L206" i="8"/>
  <c r="M206" i="8"/>
  <c r="N206" i="8"/>
  <c r="O206" i="8"/>
  <c r="P206" i="8"/>
  <c r="L207" i="8"/>
  <c r="M207" i="8"/>
  <c r="N207" i="8"/>
  <c r="O207" i="8"/>
  <c r="P207" i="8"/>
  <c r="L208" i="8"/>
  <c r="M208" i="8"/>
  <c r="N208" i="8"/>
  <c r="O208" i="8"/>
  <c r="P208" i="8"/>
  <c r="L209" i="8"/>
  <c r="M209" i="8"/>
  <c r="N209" i="8"/>
  <c r="O209" i="8"/>
  <c r="P209" i="8"/>
  <c r="L210" i="8"/>
  <c r="M210" i="8"/>
  <c r="N210" i="8"/>
  <c r="O210" i="8"/>
  <c r="P210" i="8"/>
  <c r="L211" i="8"/>
  <c r="M211" i="8"/>
  <c r="N211" i="8"/>
  <c r="O211" i="8"/>
  <c r="P211" i="8"/>
  <c r="L212" i="8"/>
  <c r="M212" i="8"/>
  <c r="N212" i="8"/>
  <c r="O212" i="8"/>
  <c r="P212" i="8"/>
  <c r="L213" i="8"/>
  <c r="M213" i="8"/>
  <c r="N213" i="8"/>
  <c r="O213" i="8"/>
  <c r="P213" i="8"/>
  <c r="L214" i="8"/>
  <c r="M214" i="8"/>
  <c r="N214" i="8"/>
  <c r="O214" i="8"/>
  <c r="P214" i="8"/>
  <c r="L215" i="8"/>
  <c r="M215" i="8"/>
  <c r="N215" i="8"/>
  <c r="O215" i="8"/>
  <c r="P215" i="8"/>
  <c r="L216" i="8"/>
  <c r="M216" i="8"/>
  <c r="N216" i="8"/>
  <c r="O216" i="8"/>
  <c r="P216" i="8"/>
  <c r="L217" i="8"/>
  <c r="M217" i="8"/>
  <c r="N217" i="8"/>
  <c r="O217" i="8"/>
  <c r="P217" i="8"/>
  <c r="L218" i="8"/>
  <c r="M218" i="8"/>
  <c r="N218" i="8"/>
  <c r="O218" i="8"/>
  <c r="P218" i="8"/>
  <c r="L219" i="8"/>
  <c r="M219" i="8"/>
  <c r="N219" i="8"/>
  <c r="O219" i="8"/>
  <c r="P219" i="8"/>
  <c r="L220" i="8"/>
  <c r="M220" i="8"/>
  <c r="N220" i="8"/>
  <c r="O220" i="8"/>
  <c r="P220" i="8"/>
  <c r="L221" i="8"/>
  <c r="M221" i="8"/>
  <c r="N221" i="8"/>
  <c r="O221" i="8"/>
  <c r="P221" i="8"/>
  <c r="L222" i="8"/>
  <c r="M222" i="8"/>
  <c r="N222" i="8"/>
  <c r="O222" i="8"/>
  <c r="P222" i="8"/>
  <c r="L223" i="8"/>
  <c r="M223" i="8"/>
  <c r="N223" i="8"/>
  <c r="O223" i="8"/>
  <c r="P223" i="8"/>
  <c r="L224" i="8"/>
  <c r="M224" i="8"/>
  <c r="N224" i="8"/>
  <c r="O224" i="8"/>
  <c r="P224" i="8"/>
  <c r="L225" i="8"/>
  <c r="M225" i="8"/>
  <c r="N225" i="8"/>
  <c r="O225" i="8"/>
  <c r="P225" i="8"/>
  <c r="L226" i="8"/>
  <c r="M226" i="8"/>
  <c r="N226" i="8"/>
  <c r="O226" i="8"/>
  <c r="P226" i="8"/>
  <c r="L227" i="8"/>
  <c r="M227" i="8"/>
  <c r="N227" i="8"/>
  <c r="O227" i="8"/>
  <c r="P227" i="8"/>
  <c r="L228" i="8"/>
  <c r="M228" i="8"/>
  <c r="N228" i="8"/>
  <c r="O228" i="8"/>
  <c r="P228" i="8"/>
  <c r="L229" i="8"/>
  <c r="M229" i="8"/>
  <c r="N229" i="8"/>
  <c r="O229" i="8"/>
  <c r="P229" i="8"/>
  <c r="L230" i="8"/>
  <c r="M230" i="8"/>
  <c r="N230" i="8"/>
  <c r="O230" i="8"/>
  <c r="P230" i="8"/>
  <c r="L231" i="8"/>
  <c r="M231" i="8"/>
  <c r="N231" i="8"/>
  <c r="O231" i="8"/>
  <c r="P231" i="8"/>
  <c r="L232" i="8"/>
  <c r="M232" i="8"/>
  <c r="N232" i="8"/>
  <c r="O232" i="8"/>
  <c r="P232" i="8"/>
  <c r="L233" i="8"/>
  <c r="M233" i="8"/>
  <c r="N233" i="8"/>
  <c r="O233" i="8"/>
  <c r="P233" i="8"/>
  <c r="L234" i="8"/>
  <c r="M234" i="8"/>
  <c r="N234" i="8"/>
  <c r="O234" i="8"/>
  <c r="P234" i="8"/>
  <c r="L235" i="8"/>
  <c r="M235" i="8"/>
  <c r="N235" i="8"/>
  <c r="O235" i="8"/>
  <c r="P235" i="8"/>
  <c r="L236" i="8"/>
  <c r="M236" i="8"/>
  <c r="N236" i="8"/>
  <c r="O236" i="8"/>
  <c r="P236" i="8"/>
  <c r="L237" i="8"/>
  <c r="M237" i="8"/>
  <c r="N237" i="8"/>
  <c r="O237" i="8"/>
  <c r="P237" i="8"/>
  <c r="L238" i="8"/>
  <c r="M238" i="8"/>
  <c r="N238" i="8"/>
  <c r="O238" i="8"/>
  <c r="P238" i="8"/>
  <c r="L239" i="8"/>
  <c r="M239" i="8"/>
  <c r="N239" i="8"/>
  <c r="O239" i="8"/>
  <c r="P239" i="8"/>
  <c r="L240" i="8"/>
  <c r="M240" i="8"/>
  <c r="N240" i="8"/>
  <c r="O240" i="8"/>
  <c r="P240" i="8"/>
  <c r="L241" i="8"/>
  <c r="M241" i="8"/>
  <c r="N241" i="8"/>
  <c r="O241" i="8"/>
  <c r="P241" i="8"/>
  <c r="L242" i="8"/>
  <c r="M242" i="8"/>
  <c r="N242" i="8"/>
  <c r="O242" i="8"/>
  <c r="P242" i="8"/>
  <c r="L243" i="8"/>
  <c r="M243" i="8"/>
  <c r="N243" i="8"/>
  <c r="O243" i="8"/>
  <c r="P243" i="8"/>
  <c r="L244" i="8"/>
  <c r="M244" i="8"/>
  <c r="N244" i="8"/>
  <c r="O244" i="8"/>
  <c r="P244" i="8"/>
  <c r="L245" i="8"/>
  <c r="M245" i="8"/>
  <c r="N245" i="8"/>
  <c r="O245" i="8"/>
  <c r="P245" i="8"/>
  <c r="L246" i="8"/>
  <c r="M246" i="8"/>
  <c r="N246" i="8"/>
  <c r="O246" i="8"/>
  <c r="P246" i="8"/>
  <c r="L247" i="8"/>
  <c r="M247" i="8"/>
  <c r="N247" i="8"/>
  <c r="O247" i="8"/>
  <c r="P247" i="8"/>
  <c r="L248" i="8"/>
  <c r="M248" i="8"/>
  <c r="N248" i="8"/>
  <c r="O248" i="8"/>
  <c r="P248" i="8"/>
  <c r="L249" i="8"/>
  <c r="M249" i="8"/>
  <c r="N249" i="8"/>
  <c r="O249" i="8"/>
  <c r="P249" i="8"/>
  <c r="L250" i="8"/>
  <c r="M250" i="8"/>
  <c r="N250" i="8"/>
  <c r="O250" i="8"/>
  <c r="P250" i="8"/>
  <c r="L251" i="8"/>
  <c r="M251" i="8"/>
  <c r="N251" i="8"/>
  <c r="O251" i="8"/>
  <c r="P251" i="8"/>
  <c r="L252" i="8"/>
  <c r="M252" i="8"/>
  <c r="N252" i="8"/>
  <c r="O252" i="8"/>
  <c r="P252" i="8"/>
  <c r="L253" i="8"/>
  <c r="M253" i="8"/>
  <c r="N253" i="8"/>
  <c r="O253" i="8"/>
  <c r="P253" i="8"/>
  <c r="L254" i="8"/>
  <c r="M254" i="8"/>
  <c r="N254" i="8"/>
  <c r="O254" i="8"/>
  <c r="P254" i="8"/>
  <c r="L255" i="8"/>
  <c r="M255" i="8"/>
  <c r="N255" i="8"/>
  <c r="O255" i="8"/>
  <c r="P255" i="8"/>
  <c r="L256" i="8"/>
  <c r="M256" i="8"/>
  <c r="N256" i="8"/>
  <c r="O256" i="8"/>
  <c r="P256" i="8"/>
  <c r="L257" i="8"/>
  <c r="M257" i="8"/>
  <c r="N257" i="8"/>
  <c r="O257" i="8"/>
  <c r="P257" i="8"/>
  <c r="L258" i="8"/>
  <c r="M258" i="8"/>
  <c r="N258" i="8"/>
  <c r="O258" i="8"/>
  <c r="P258" i="8"/>
  <c r="L259" i="8"/>
  <c r="M259" i="8"/>
  <c r="N259" i="8"/>
  <c r="O259" i="8"/>
  <c r="P259" i="8"/>
  <c r="L260" i="8"/>
  <c r="M260" i="8"/>
  <c r="N260" i="8"/>
  <c r="O260" i="8"/>
  <c r="P260" i="8"/>
  <c r="L261" i="8"/>
  <c r="M261" i="8"/>
  <c r="N261" i="8"/>
  <c r="O261" i="8"/>
  <c r="P261" i="8"/>
  <c r="L262" i="8"/>
  <c r="M262" i="8"/>
  <c r="N262" i="8"/>
  <c r="O262" i="8"/>
  <c r="P262" i="8"/>
  <c r="L263" i="8"/>
  <c r="M263" i="8"/>
  <c r="N263" i="8"/>
  <c r="O263" i="8"/>
  <c r="P263" i="8"/>
  <c r="L264" i="8"/>
  <c r="M264" i="8"/>
  <c r="N264" i="8"/>
  <c r="O264" i="8"/>
  <c r="P264" i="8"/>
  <c r="L265" i="8"/>
  <c r="M265" i="8"/>
  <c r="N265" i="8"/>
  <c r="O265" i="8"/>
  <c r="P265" i="8"/>
  <c r="L266" i="8"/>
  <c r="M266" i="8"/>
  <c r="N266" i="8"/>
  <c r="O266" i="8"/>
  <c r="P266" i="8"/>
  <c r="L267" i="8"/>
  <c r="M267" i="8"/>
  <c r="N267" i="8"/>
  <c r="O267" i="8"/>
  <c r="P267" i="8"/>
  <c r="L268" i="8"/>
  <c r="M268" i="8"/>
  <c r="N268" i="8"/>
  <c r="O268" i="8"/>
  <c r="P268" i="8"/>
  <c r="L269" i="8"/>
  <c r="M269" i="8"/>
  <c r="N269" i="8"/>
  <c r="O269" i="8"/>
  <c r="P269" i="8"/>
  <c r="L270" i="8"/>
  <c r="M270" i="8"/>
  <c r="N270" i="8"/>
  <c r="O270" i="8"/>
  <c r="P270" i="8"/>
  <c r="L271" i="8"/>
  <c r="M271" i="8"/>
  <c r="N271" i="8"/>
  <c r="O271" i="8"/>
  <c r="P271" i="8"/>
  <c r="L272" i="8"/>
  <c r="M272" i="8"/>
  <c r="N272" i="8"/>
  <c r="O272" i="8"/>
  <c r="P272" i="8"/>
  <c r="L273" i="8"/>
  <c r="M273" i="8"/>
  <c r="N273" i="8"/>
  <c r="O273" i="8"/>
  <c r="P273" i="8"/>
  <c r="L274" i="8"/>
  <c r="M274" i="8"/>
  <c r="N274" i="8"/>
  <c r="O274" i="8"/>
  <c r="P274" i="8"/>
  <c r="L275" i="8"/>
  <c r="M275" i="8"/>
  <c r="N275" i="8"/>
  <c r="O275" i="8"/>
  <c r="P275" i="8"/>
  <c r="L276" i="8"/>
  <c r="M276" i="8"/>
  <c r="N276" i="8"/>
  <c r="O276" i="8"/>
  <c r="P276" i="8"/>
  <c r="L277" i="8"/>
  <c r="M277" i="8"/>
  <c r="N277" i="8"/>
  <c r="O277" i="8"/>
  <c r="P277" i="8"/>
  <c r="L278" i="8"/>
  <c r="M278" i="8"/>
  <c r="N278" i="8"/>
  <c r="O278" i="8"/>
  <c r="P278" i="8"/>
  <c r="L279" i="8"/>
  <c r="M279" i="8"/>
  <c r="N279" i="8"/>
  <c r="O279" i="8"/>
  <c r="P279" i="8"/>
  <c r="L280" i="8"/>
  <c r="M280" i="8"/>
  <c r="N280" i="8"/>
  <c r="O280" i="8"/>
  <c r="P280" i="8"/>
  <c r="L281" i="8"/>
  <c r="M281" i="8"/>
  <c r="N281" i="8"/>
  <c r="O281" i="8"/>
  <c r="P281" i="8"/>
  <c r="L282" i="8"/>
  <c r="M282" i="8"/>
  <c r="N282" i="8"/>
  <c r="O282" i="8"/>
  <c r="P282" i="8"/>
  <c r="L283" i="8"/>
  <c r="M283" i="8"/>
  <c r="N283" i="8"/>
  <c r="O283" i="8"/>
  <c r="P283" i="8"/>
  <c r="L284" i="8"/>
  <c r="M284" i="8"/>
  <c r="N284" i="8"/>
  <c r="O284" i="8"/>
  <c r="P284" i="8"/>
  <c r="L285" i="8"/>
  <c r="M285" i="8"/>
  <c r="N285" i="8"/>
  <c r="O285" i="8"/>
  <c r="P285" i="8"/>
  <c r="L286" i="8"/>
  <c r="M286" i="8"/>
  <c r="N286" i="8"/>
  <c r="O286" i="8"/>
  <c r="P286" i="8"/>
  <c r="L287" i="8"/>
  <c r="M287" i="8"/>
  <c r="N287" i="8"/>
  <c r="O287" i="8"/>
  <c r="P287" i="8"/>
  <c r="L288" i="8"/>
  <c r="M288" i="8"/>
  <c r="N288" i="8"/>
  <c r="O288" i="8"/>
  <c r="P288" i="8"/>
  <c r="L289" i="8"/>
  <c r="M289" i="8"/>
  <c r="N289" i="8"/>
  <c r="O289" i="8"/>
  <c r="P289" i="8"/>
  <c r="L290" i="8"/>
  <c r="M290" i="8"/>
  <c r="N290" i="8"/>
  <c r="O290" i="8"/>
  <c r="P290" i="8"/>
  <c r="L291" i="8"/>
  <c r="M291" i="8"/>
  <c r="N291" i="8"/>
  <c r="O291" i="8"/>
  <c r="P291" i="8"/>
  <c r="L292" i="8"/>
  <c r="M292" i="8"/>
  <c r="N292" i="8"/>
  <c r="O292" i="8"/>
  <c r="P292" i="8"/>
  <c r="L293" i="8"/>
  <c r="M293" i="8"/>
  <c r="N293" i="8"/>
  <c r="O293" i="8"/>
  <c r="P293" i="8"/>
  <c r="L294" i="8"/>
  <c r="M294" i="8"/>
  <c r="N294" i="8"/>
  <c r="O294" i="8"/>
  <c r="P294" i="8"/>
  <c r="L295" i="8"/>
  <c r="M295" i="8"/>
  <c r="N295" i="8"/>
  <c r="O295" i="8"/>
  <c r="P295" i="8"/>
  <c r="L296" i="8"/>
  <c r="M296" i="8"/>
  <c r="N296" i="8"/>
  <c r="O296" i="8"/>
  <c r="P296" i="8"/>
  <c r="L297" i="8"/>
  <c r="M297" i="8"/>
  <c r="N297" i="8"/>
  <c r="O297" i="8"/>
  <c r="P297" i="8"/>
  <c r="L298" i="8"/>
  <c r="M298" i="8"/>
  <c r="N298" i="8"/>
  <c r="O298" i="8"/>
  <c r="P298" i="8"/>
  <c r="L299" i="8"/>
  <c r="M299" i="8"/>
  <c r="N299" i="8"/>
  <c r="O299" i="8"/>
  <c r="P299" i="8"/>
  <c r="L300" i="8"/>
  <c r="M300" i="8"/>
  <c r="N300" i="8"/>
  <c r="O300" i="8"/>
  <c r="P300" i="8"/>
  <c r="L301" i="8"/>
  <c r="M301" i="8"/>
  <c r="N301" i="8"/>
  <c r="O301" i="8"/>
  <c r="P301" i="8"/>
  <c r="C13" i="7"/>
  <c r="C12" i="7"/>
  <c r="C11" i="7"/>
  <c r="C10" i="7"/>
  <c r="C9" i="7"/>
  <c r="C8" i="7"/>
  <c r="C7" i="7"/>
  <c r="C6" i="7"/>
  <c r="C5" i="7"/>
  <c r="C4" i="7"/>
  <c r="C16" i="7"/>
  <c r="K1000" i="8"/>
  <c r="K999" i="8"/>
  <c r="K998" i="8"/>
  <c r="K997" i="8"/>
  <c r="K996" i="8"/>
  <c r="K995" i="8"/>
  <c r="K994" i="8"/>
  <c r="K993" i="8"/>
  <c r="K992" i="8"/>
  <c r="K991" i="8"/>
  <c r="K990" i="8"/>
  <c r="K989" i="8"/>
  <c r="K988" i="8"/>
  <c r="K987" i="8"/>
  <c r="K986" i="8"/>
  <c r="K985" i="8"/>
  <c r="K984" i="8"/>
  <c r="K983" i="8"/>
  <c r="K982" i="8"/>
  <c r="K981" i="8"/>
  <c r="K980" i="8"/>
  <c r="K979" i="8"/>
  <c r="K978" i="8"/>
  <c r="K977" i="8"/>
  <c r="K976" i="8"/>
  <c r="K975" i="8"/>
  <c r="K974" i="8"/>
  <c r="K973" i="8"/>
  <c r="K972" i="8"/>
  <c r="K971" i="8"/>
  <c r="K970" i="8"/>
  <c r="K969" i="8"/>
  <c r="K968" i="8"/>
  <c r="K967" i="8"/>
  <c r="K966" i="8"/>
  <c r="K965" i="8"/>
  <c r="K964" i="8"/>
  <c r="K963" i="8"/>
  <c r="K962" i="8"/>
  <c r="K961" i="8"/>
  <c r="K960" i="8"/>
  <c r="K959" i="8"/>
  <c r="K958" i="8"/>
  <c r="K957" i="8"/>
  <c r="K956" i="8"/>
  <c r="K955" i="8"/>
  <c r="K954" i="8"/>
  <c r="K953" i="8"/>
  <c r="K952" i="8"/>
  <c r="K951" i="8"/>
  <c r="K950" i="8"/>
  <c r="K949" i="8"/>
  <c r="K948" i="8"/>
  <c r="K947" i="8"/>
  <c r="K946" i="8"/>
  <c r="K945" i="8"/>
  <c r="K944" i="8"/>
  <c r="K943" i="8"/>
  <c r="K942" i="8"/>
  <c r="K941" i="8"/>
  <c r="K940" i="8"/>
  <c r="K939" i="8"/>
  <c r="K938" i="8"/>
  <c r="K937" i="8"/>
  <c r="K936" i="8"/>
  <c r="K935" i="8"/>
  <c r="K934" i="8"/>
  <c r="K933" i="8"/>
  <c r="K932" i="8"/>
  <c r="K931" i="8"/>
  <c r="K930" i="8"/>
  <c r="K929" i="8"/>
  <c r="K928" i="8"/>
  <c r="K927" i="8"/>
  <c r="K926" i="8"/>
  <c r="K925" i="8"/>
  <c r="K924" i="8"/>
  <c r="K923" i="8"/>
  <c r="K922" i="8"/>
  <c r="K921" i="8"/>
  <c r="K920" i="8"/>
  <c r="K919" i="8"/>
  <c r="K918" i="8"/>
  <c r="K917" i="8"/>
  <c r="K916" i="8"/>
  <c r="K915" i="8"/>
  <c r="K914" i="8"/>
  <c r="K913" i="8"/>
  <c r="K912" i="8"/>
  <c r="K911" i="8"/>
  <c r="K910" i="8"/>
  <c r="K909" i="8"/>
  <c r="K908" i="8"/>
  <c r="K907" i="8"/>
  <c r="K906" i="8"/>
  <c r="K905" i="8"/>
  <c r="K904" i="8"/>
  <c r="K903" i="8"/>
  <c r="K902" i="8"/>
  <c r="K901" i="8"/>
  <c r="K900" i="8"/>
  <c r="K899" i="8"/>
  <c r="K898" i="8"/>
  <c r="K897" i="8"/>
  <c r="K896" i="8"/>
  <c r="K895" i="8"/>
  <c r="K894" i="8"/>
  <c r="K893" i="8"/>
  <c r="K892" i="8"/>
  <c r="K891" i="8"/>
  <c r="K890" i="8"/>
  <c r="K889" i="8"/>
  <c r="K888" i="8"/>
  <c r="K887" i="8"/>
  <c r="K886" i="8"/>
  <c r="K885" i="8"/>
  <c r="K884" i="8"/>
  <c r="K883" i="8"/>
  <c r="K882" i="8"/>
  <c r="K881" i="8"/>
  <c r="K880" i="8"/>
  <c r="K879" i="8"/>
  <c r="K878" i="8"/>
  <c r="K877" i="8"/>
  <c r="K876" i="8"/>
  <c r="K875" i="8"/>
  <c r="K874" i="8"/>
  <c r="K873" i="8"/>
  <c r="K872" i="8"/>
  <c r="K871" i="8"/>
  <c r="K870" i="8"/>
  <c r="K869" i="8"/>
  <c r="K868" i="8"/>
  <c r="K867" i="8"/>
  <c r="K866" i="8"/>
  <c r="K865" i="8"/>
  <c r="K864" i="8"/>
  <c r="K863" i="8"/>
  <c r="K862" i="8"/>
  <c r="K861" i="8"/>
  <c r="K860" i="8"/>
  <c r="K859" i="8"/>
  <c r="K858" i="8"/>
  <c r="K857" i="8"/>
  <c r="K856" i="8"/>
  <c r="K855" i="8"/>
  <c r="K854" i="8"/>
  <c r="K853" i="8"/>
  <c r="K852" i="8"/>
  <c r="K851" i="8"/>
  <c r="K850" i="8"/>
  <c r="K849" i="8"/>
  <c r="K848" i="8"/>
  <c r="K847" i="8"/>
  <c r="K846" i="8"/>
  <c r="K845" i="8"/>
  <c r="K844" i="8"/>
  <c r="K843" i="8"/>
  <c r="K842" i="8"/>
  <c r="K841" i="8"/>
  <c r="K840" i="8"/>
  <c r="K839" i="8"/>
  <c r="K838" i="8"/>
  <c r="K837" i="8"/>
  <c r="K836" i="8"/>
  <c r="K835" i="8"/>
  <c r="K834" i="8"/>
  <c r="K833" i="8"/>
  <c r="K832" i="8"/>
  <c r="K831" i="8"/>
  <c r="K830" i="8"/>
  <c r="K829" i="8"/>
  <c r="K828" i="8"/>
  <c r="K827" i="8"/>
  <c r="K826" i="8"/>
  <c r="K825" i="8"/>
  <c r="K824" i="8"/>
  <c r="K823" i="8"/>
  <c r="K822" i="8"/>
  <c r="K821" i="8"/>
  <c r="K820" i="8"/>
  <c r="K819" i="8"/>
  <c r="K818" i="8"/>
  <c r="K817" i="8"/>
  <c r="K816" i="8"/>
  <c r="K815" i="8"/>
  <c r="K814" i="8"/>
  <c r="K813" i="8"/>
  <c r="K812" i="8"/>
  <c r="K811" i="8"/>
  <c r="K810" i="8"/>
  <c r="K809" i="8"/>
  <c r="K808" i="8"/>
  <c r="K807" i="8"/>
  <c r="K806" i="8"/>
  <c r="K805" i="8"/>
  <c r="K804" i="8"/>
  <c r="K803" i="8"/>
  <c r="K802" i="8"/>
  <c r="K801" i="8"/>
  <c r="K800" i="8"/>
  <c r="K799" i="8"/>
  <c r="K798" i="8"/>
  <c r="K797" i="8"/>
  <c r="K796" i="8"/>
  <c r="K795" i="8"/>
  <c r="K794" i="8"/>
  <c r="K793" i="8"/>
  <c r="K792" i="8"/>
  <c r="K791" i="8"/>
  <c r="K790" i="8"/>
  <c r="K789" i="8"/>
  <c r="K788" i="8"/>
  <c r="K787" i="8"/>
  <c r="K786" i="8"/>
  <c r="K785" i="8"/>
  <c r="K784" i="8"/>
  <c r="K783" i="8"/>
  <c r="K782" i="8"/>
  <c r="K781" i="8"/>
  <c r="K780" i="8"/>
  <c r="K779" i="8"/>
  <c r="K778" i="8"/>
  <c r="K777" i="8"/>
  <c r="K776" i="8"/>
  <c r="K775" i="8"/>
  <c r="K774" i="8"/>
  <c r="K773" i="8"/>
  <c r="K772" i="8"/>
  <c r="K771" i="8"/>
  <c r="K770" i="8"/>
  <c r="K769" i="8"/>
  <c r="K768" i="8"/>
  <c r="K767" i="8"/>
  <c r="K766" i="8"/>
  <c r="K765" i="8"/>
  <c r="K764" i="8"/>
  <c r="K763" i="8"/>
  <c r="K762" i="8"/>
  <c r="K761" i="8"/>
  <c r="K760" i="8"/>
  <c r="K759" i="8"/>
  <c r="K758" i="8"/>
  <c r="K757" i="8"/>
  <c r="K756" i="8"/>
  <c r="K755" i="8"/>
  <c r="K754" i="8"/>
  <c r="K753" i="8"/>
  <c r="K752" i="8"/>
  <c r="K751" i="8"/>
  <c r="K750" i="8"/>
  <c r="K749" i="8"/>
  <c r="K748" i="8"/>
  <c r="K747" i="8"/>
  <c r="K746" i="8"/>
  <c r="K745" i="8"/>
  <c r="K744" i="8"/>
  <c r="K743" i="8"/>
  <c r="K742" i="8"/>
  <c r="K741" i="8"/>
  <c r="K740" i="8"/>
  <c r="K739" i="8"/>
  <c r="K738" i="8"/>
  <c r="K737" i="8"/>
  <c r="K736" i="8"/>
  <c r="K735" i="8"/>
  <c r="K734" i="8"/>
  <c r="K733" i="8"/>
  <c r="K732" i="8"/>
  <c r="K731" i="8"/>
  <c r="K730" i="8"/>
  <c r="K729" i="8"/>
  <c r="K728" i="8"/>
  <c r="K727" i="8"/>
  <c r="K726" i="8"/>
  <c r="K725" i="8"/>
  <c r="K724" i="8"/>
  <c r="K723" i="8"/>
  <c r="K722" i="8"/>
  <c r="K721" i="8"/>
  <c r="K720" i="8"/>
  <c r="K719" i="8"/>
  <c r="K718" i="8"/>
  <c r="K717" i="8"/>
  <c r="K716" i="8"/>
  <c r="K715" i="8"/>
  <c r="K714" i="8"/>
  <c r="K713" i="8"/>
  <c r="K712" i="8"/>
  <c r="K711" i="8"/>
  <c r="K710" i="8"/>
  <c r="K709" i="8"/>
  <c r="K708" i="8"/>
  <c r="K707" i="8"/>
  <c r="K706" i="8"/>
  <c r="K705" i="8"/>
  <c r="K704" i="8"/>
  <c r="K703" i="8"/>
  <c r="K702" i="8"/>
  <c r="K701" i="8"/>
  <c r="K700" i="8"/>
  <c r="K699" i="8"/>
  <c r="K698" i="8"/>
  <c r="K697" i="8"/>
  <c r="K696" i="8"/>
  <c r="K695" i="8"/>
  <c r="K694" i="8"/>
  <c r="K693" i="8"/>
  <c r="K692" i="8"/>
  <c r="K691" i="8"/>
  <c r="K690" i="8"/>
  <c r="K689" i="8"/>
  <c r="K688" i="8"/>
  <c r="K687" i="8"/>
  <c r="K686" i="8"/>
  <c r="K685" i="8"/>
  <c r="K684" i="8"/>
  <c r="K683" i="8"/>
  <c r="K682" i="8"/>
  <c r="K681" i="8"/>
  <c r="K680" i="8"/>
  <c r="K679" i="8"/>
  <c r="K678" i="8"/>
  <c r="K677" i="8"/>
  <c r="K676" i="8"/>
  <c r="K675" i="8"/>
  <c r="K674" i="8"/>
  <c r="K673" i="8"/>
  <c r="K672" i="8"/>
  <c r="K671" i="8"/>
  <c r="K670" i="8"/>
  <c r="K669" i="8"/>
  <c r="K668" i="8"/>
  <c r="K667" i="8"/>
  <c r="K666" i="8"/>
  <c r="K665" i="8"/>
  <c r="K664" i="8"/>
  <c r="K663" i="8"/>
  <c r="K662" i="8"/>
  <c r="K661" i="8"/>
  <c r="K660" i="8"/>
  <c r="K659" i="8"/>
  <c r="K658" i="8"/>
  <c r="K657" i="8"/>
  <c r="K656" i="8"/>
  <c r="K655" i="8"/>
  <c r="K654" i="8"/>
  <c r="K653" i="8"/>
  <c r="K652" i="8"/>
  <c r="K651" i="8"/>
  <c r="K650" i="8"/>
  <c r="K649" i="8"/>
  <c r="K648" i="8"/>
  <c r="K647" i="8"/>
  <c r="K646" i="8"/>
  <c r="K645" i="8"/>
  <c r="K644" i="8"/>
  <c r="K643" i="8"/>
  <c r="K642" i="8"/>
  <c r="K641" i="8"/>
  <c r="K640" i="8"/>
  <c r="K639" i="8"/>
  <c r="K638" i="8"/>
  <c r="K637" i="8"/>
  <c r="K636" i="8"/>
  <c r="K635" i="8"/>
  <c r="K634" i="8"/>
  <c r="K633" i="8"/>
  <c r="K632" i="8"/>
  <c r="K631" i="8"/>
  <c r="K630" i="8"/>
  <c r="K629" i="8"/>
  <c r="K628" i="8"/>
  <c r="K627" i="8"/>
  <c r="K626" i="8"/>
  <c r="K625" i="8"/>
  <c r="K624" i="8"/>
  <c r="K623" i="8"/>
  <c r="K622" i="8"/>
  <c r="K621" i="8"/>
  <c r="K620" i="8"/>
  <c r="K619" i="8"/>
  <c r="K618" i="8"/>
  <c r="K617" i="8"/>
  <c r="K616" i="8"/>
  <c r="K615" i="8"/>
  <c r="K614" i="8"/>
  <c r="K613" i="8"/>
  <c r="K612" i="8"/>
  <c r="K611" i="8"/>
  <c r="K610" i="8"/>
  <c r="K609" i="8"/>
  <c r="K608" i="8"/>
  <c r="K607" i="8"/>
  <c r="K606" i="8"/>
  <c r="K605" i="8"/>
  <c r="K604" i="8"/>
  <c r="K603" i="8"/>
  <c r="K602" i="8"/>
  <c r="K601" i="8"/>
  <c r="K600" i="8"/>
  <c r="K599" i="8"/>
  <c r="K598" i="8"/>
  <c r="K597" i="8"/>
  <c r="K596" i="8"/>
  <c r="K595" i="8"/>
  <c r="K594" i="8"/>
  <c r="K593" i="8"/>
  <c r="K592" i="8"/>
  <c r="K591" i="8"/>
  <c r="K590" i="8"/>
  <c r="K589" i="8"/>
  <c r="K588" i="8"/>
  <c r="K587" i="8"/>
  <c r="K586" i="8"/>
  <c r="K585" i="8"/>
  <c r="K584" i="8"/>
  <c r="K583" i="8"/>
  <c r="K582" i="8"/>
  <c r="K581" i="8"/>
  <c r="K580" i="8"/>
  <c r="K579" i="8"/>
  <c r="K578" i="8"/>
  <c r="K577" i="8"/>
  <c r="K576" i="8"/>
  <c r="K575" i="8"/>
  <c r="K574" i="8"/>
  <c r="K573" i="8"/>
  <c r="K572" i="8"/>
  <c r="K571" i="8"/>
  <c r="K570" i="8"/>
  <c r="K569" i="8"/>
  <c r="K568" i="8"/>
  <c r="K567" i="8"/>
  <c r="K566" i="8"/>
  <c r="K565" i="8"/>
  <c r="K564" i="8"/>
  <c r="K563" i="8"/>
  <c r="K562" i="8"/>
  <c r="K561" i="8"/>
  <c r="K560" i="8"/>
  <c r="K559" i="8"/>
  <c r="K558" i="8"/>
  <c r="K557" i="8"/>
  <c r="K556" i="8"/>
  <c r="K555" i="8"/>
  <c r="K554" i="8"/>
  <c r="K553" i="8"/>
  <c r="K552" i="8"/>
  <c r="K551" i="8"/>
  <c r="K550" i="8"/>
  <c r="K549" i="8"/>
  <c r="K548" i="8"/>
  <c r="K547" i="8"/>
  <c r="K546" i="8"/>
  <c r="K545" i="8"/>
  <c r="K544" i="8"/>
  <c r="K543" i="8"/>
  <c r="K542" i="8"/>
  <c r="K541" i="8"/>
  <c r="K540" i="8"/>
  <c r="K539" i="8"/>
  <c r="K538" i="8"/>
  <c r="K537" i="8"/>
  <c r="K536" i="8"/>
  <c r="K535" i="8"/>
  <c r="K534" i="8"/>
  <c r="K533" i="8"/>
  <c r="K532" i="8"/>
  <c r="K531" i="8"/>
  <c r="K530" i="8"/>
  <c r="K529" i="8"/>
  <c r="K528" i="8"/>
  <c r="K527" i="8"/>
  <c r="K526" i="8"/>
  <c r="K525" i="8"/>
  <c r="K524" i="8"/>
  <c r="K523" i="8"/>
  <c r="K522" i="8"/>
  <c r="K521" i="8"/>
  <c r="K520" i="8"/>
  <c r="K519" i="8"/>
  <c r="K518" i="8"/>
  <c r="K517" i="8"/>
  <c r="K516" i="8"/>
  <c r="K515" i="8"/>
  <c r="K514" i="8"/>
  <c r="K513" i="8"/>
  <c r="K512" i="8"/>
  <c r="K511" i="8"/>
  <c r="K510" i="8"/>
  <c r="K509" i="8"/>
  <c r="K508" i="8"/>
  <c r="K507" i="8"/>
  <c r="K506" i="8"/>
  <c r="K505" i="8"/>
  <c r="K504" i="8"/>
  <c r="K503" i="8"/>
  <c r="K502" i="8"/>
  <c r="K501" i="8"/>
  <c r="K500" i="8"/>
  <c r="K499" i="8"/>
  <c r="K498" i="8"/>
  <c r="K497" i="8"/>
  <c r="K496" i="8"/>
  <c r="K495" i="8"/>
  <c r="K494" i="8"/>
  <c r="K493" i="8"/>
  <c r="K492" i="8"/>
  <c r="K491" i="8"/>
  <c r="K490" i="8"/>
  <c r="K489" i="8"/>
  <c r="K488" i="8"/>
  <c r="K487" i="8"/>
  <c r="K486" i="8"/>
  <c r="K485" i="8"/>
  <c r="K484" i="8"/>
  <c r="K483" i="8"/>
  <c r="K482" i="8"/>
  <c r="K481" i="8"/>
  <c r="K480" i="8"/>
  <c r="K479" i="8"/>
  <c r="K478" i="8"/>
  <c r="K477" i="8"/>
  <c r="K476" i="8"/>
  <c r="K475" i="8"/>
  <c r="K474" i="8"/>
  <c r="K473" i="8"/>
  <c r="K472" i="8"/>
  <c r="K471" i="8"/>
  <c r="K470" i="8"/>
  <c r="K469" i="8"/>
  <c r="K468" i="8"/>
  <c r="K467" i="8"/>
  <c r="K466" i="8"/>
  <c r="K465" i="8"/>
  <c r="K464" i="8"/>
  <c r="K463" i="8"/>
  <c r="K462" i="8"/>
  <c r="K461" i="8"/>
  <c r="K460" i="8"/>
  <c r="K459" i="8"/>
  <c r="K458" i="8"/>
  <c r="K457" i="8"/>
  <c r="K456" i="8"/>
  <c r="K455" i="8"/>
  <c r="K454" i="8"/>
  <c r="K453" i="8"/>
  <c r="K452" i="8"/>
  <c r="K451" i="8"/>
  <c r="K450" i="8"/>
  <c r="K449" i="8"/>
  <c r="K448" i="8"/>
  <c r="K447" i="8"/>
  <c r="K446" i="8"/>
  <c r="K445" i="8"/>
  <c r="K444" i="8"/>
  <c r="K443" i="8"/>
  <c r="K442" i="8"/>
  <c r="K441" i="8"/>
  <c r="K440" i="8"/>
  <c r="K439" i="8"/>
  <c r="K438" i="8"/>
  <c r="K437" i="8"/>
  <c r="K436" i="8"/>
  <c r="K435" i="8"/>
  <c r="K434" i="8"/>
  <c r="K433" i="8"/>
  <c r="K432" i="8"/>
  <c r="K431" i="8"/>
  <c r="K430" i="8"/>
  <c r="K429" i="8"/>
  <c r="K428" i="8"/>
  <c r="K427" i="8"/>
  <c r="K426" i="8"/>
  <c r="K425" i="8"/>
  <c r="K424" i="8"/>
  <c r="K423" i="8"/>
  <c r="K422" i="8"/>
  <c r="K421" i="8"/>
  <c r="K420" i="8"/>
  <c r="K419" i="8"/>
  <c r="K418" i="8"/>
  <c r="K417" i="8"/>
  <c r="K416" i="8"/>
  <c r="K415" i="8"/>
  <c r="K414" i="8"/>
  <c r="K413" i="8"/>
  <c r="K412" i="8"/>
  <c r="K411" i="8"/>
  <c r="K410" i="8"/>
  <c r="K409" i="8"/>
  <c r="K408" i="8"/>
  <c r="K407" i="8"/>
  <c r="K406" i="8"/>
  <c r="K405" i="8"/>
  <c r="K404" i="8"/>
  <c r="K403" i="8"/>
  <c r="K402" i="8"/>
  <c r="K401" i="8"/>
  <c r="K400" i="8"/>
  <c r="K399" i="8"/>
  <c r="K398" i="8"/>
  <c r="K397" i="8"/>
  <c r="K396" i="8"/>
  <c r="K395" i="8"/>
  <c r="K394" i="8"/>
  <c r="K393" i="8"/>
  <c r="K392" i="8"/>
  <c r="K391" i="8"/>
  <c r="K390" i="8"/>
  <c r="K389" i="8"/>
  <c r="K388" i="8"/>
  <c r="K387" i="8"/>
  <c r="K386" i="8"/>
  <c r="K385" i="8"/>
  <c r="K384" i="8"/>
  <c r="K383" i="8"/>
  <c r="K382" i="8"/>
  <c r="K381" i="8"/>
  <c r="K380" i="8"/>
  <c r="K379" i="8"/>
  <c r="K378" i="8"/>
  <c r="K377" i="8"/>
  <c r="K376" i="8"/>
  <c r="K375" i="8"/>
  <c r="K374" i="8"/>
  <c r="K373" i="8"/>
  <c r="K372" i="8"/>
  <c r="K371" i="8"/>
  <c r="K370" i="8"/>
  <c r="K369" i="8"/>
  <c r="K368" i="8"/>
  <c r="K367" i="8"/>
  <c r="K366" i="8"/>
  <c r="K365" i="8"/>
  <c r="K364" i="8"/>
  <c r="K363" i="8"/>
  <c r="K362" i="8"/>
  <c r="K361" i="8"/>
  <c r="K360" i="8"/>
  <c r="K359" i="8"/>
  <c r="K358" i="8"/>
  <c r="K357" i="8"/>
  <c r="K356" i="8"/>
  <c r="K355" i="8"/>
  <c r="K354" i="8"/>
  <c r="K353" i="8"/>
  <c r="K352" i="8"/>
  <c r="K351" i="8"/>
  <c r="K350" i="8"/>
  <c r="K349" i="8"/>
  <c r="K348" i="8"/>
  <c r="K347" i="8"/>
  <c r="K346" i="8"/>
  <c r="K345" i="8"/>
  <c r="K344" i="8"/>
  <c r="K343" i="8"/>
  <c r="K342" i="8"/>
  <c r="K341" i="8"/>
  <c r="K340" i="8"/>
  <c r="K339" i="8"/>
  <c r="K338" i="8"/>
  <c r="K337" i="8"/>
  <c r="K336" i="8"/>
  <c r="K335" i="8"/>
  <c r="K334" i="8"/>
  <c r="K333" i="8"/>
  <c r="K332" i="8"/>
  <c r="K331" i="8"/>
  <c r="K330" i="8"/>
  <c r="K329" i="8"/>
  <c r="K328" i="8"/>
  <c r="K327" i="8"/>
  <c r="K326" i="8"/>
  <c r="K325" i="8"/>
  <c r="K324" i="8"/>
  <c r="K323" i="8"/>
  <c r="K322" i="8"/>
  <c r="K321" i="8"/>
  <c r="K320" i="8"/>
  <c r="K319" i="8"/>
  <c r="K318" i="8"/>
  <c r="K317" i="8"/>
  <c r="K316" i="8"/>
  <c r="K315" i="8"/>
  <c r="K314" i="8"/>
  <c r="K313" i="8"/>
  <c r="K312" i="8"/>
  <c r="K311" i="8"/>
  <c r="K310" i="8"/>
  <c r="K309" i="8"/>
  <c r="K308" i="8"/>
  <c r="K307" i="8"/>
  <c r="K306" i="8"/>
  <c r="K305" i="8"/>
  <c r="K304" i="8"/>
  <c r="K303" i="8"/>
  <c r="K302" i="8"/>
  <c r="K301" i="8"/>
  <c r="K300" i="8"/>
  <c r="K299" i="8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K278" i="8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K263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J1000" i="8"/>
  <c r="J999" i="8"/>
  <c r="J998" i="8"/>
  <c r="J997" i="8"/>
  <c r="J996" i="8"/>
  <c r="J995" i="8"/>
  <c r="J994" i="8"/>
  <c r="J993" i="8"/>
  <c r="J992" i="8"/>
  <c r="J991" i="8"/>
  <c r="J990" i="8"/>
  <c r="J989" i="8"/>
  <c r="J988" i="8"/>
  <c r="J987" i="8"/>
  <c r="J986" i="8"/>
  <c r="J985" i="8"/>
  <c r="J984" i="8"/>
  <c r="J983" i="8"/>
  <c r="J982" i="8"/>
  <c r="J981" i="8"/>
  <c r="J980" i="8"/>
  <c r="J979" i="8"/>
  <c r="J978" i="8"/>
  <c r="J977" i="8"/>
  <c r="J976" i="8"/>
  <c r="J975" i="8"/>
  <c r="J974" i="8"/>
  <c r="J973" i="8"/>
  <c r="J972" i="8"/>
  <c r="J971" i="8"/>
  <c r="J970" i="8"/>
  <c r="J969" i="8"/>
  <c r="J968" i="8"/>
  <c r="J967" i="8"/>
  <c r="J966" i="8"/>
  <c r="J965" i="8"/>
  <c r="J964" i="8"/>
  <c r="J963" i="8"/>
  <c r="J962" i="8"/>
  <c r="J961" i="8"/>
  <c r="J960" i="8"/>
  <c r="J959" i="8"/>
  <c r="J958" i="8"/>
  <c r="J957" i="8"/>
  <c r="J956" i="8"/>
  <c r="J955" i="8"/>
  <c r="J954" i="8"/>
  <c r="J953" i="8"/>
  <c r="J952" i="8"/>
  <c r="J951" i="8"/>
  <c r="J950" i="8"/>
  <c r="J949" i="8"/>
  <c r="J948" i="8"/>
  <c r="J947" i="8"/>
  <c r="J946" i="8"/>
  <c r="J945" i="8"/>
  <c r="J944" i="8"/>
  <c r="J943" i="8"/>
  <c r="J942" i="8"/>
  <c r="J941" i="8"/>
  <c r="J940" i="8"/>
  <c r="J939" i="8"/>
  <c r="J938" i="8"/>
  <c r="J937" i="8"/>
  <c r="J936" i="8"/>
  <c r="J935" i="8"/>
  <c r="J934" i="8"/>
  <c r="J933" i="8"/>
  <c r="J932" i="8"/>
  <c r="J931" i="8"/>
  <c r="J930" i="8"/>
  <c r="J929" i="8"/>
  <c r="J928" i="8"/>
  <c r="J927" i="8"/>
  <c r="J926" i="8"/>
  <c r="J925" i="8"/>
  <c r="J924" i="8"/>
  <c r="J923" i="8"/>
  <c r="J922" i="8"/>
  <c r="J921" i="8"/>
  <c r="J920" i="8"/>
  <c r="J919" i="8"/>
  <c r="J918" i="8"/>
  <c r="J917" i="8"/>
  <c r="J916" i="8"/>
  <c r="J915" i="8"/>
  <c r="J914" i="8"/>
  <c r="J913" i="8"/>
  <c r="J912" i="8"/>
  <c r="J911" i="8"/>
  <c r="J910" i="8"/>
  <c r="J909" i="8"/>
  <c r="J908" i="8"/>
  <c r="J907" i="8"/>
  <c r="J906" i="8"/>
  <c r="J905" i="8"/>
  <c r="J904" i="8"/>
  <c r="J903" i="8"/>
  <c r="J902" i="8"/>
  <c r="J901" i="8"/>
  <c r="J900" i="8"/>
  <c r="J899" i="8"/>
  <c r="J898" i="8"/>
  <c r="J897" i="8"/>
  <c r="J896" i="8"/>
  <c r="J895" i="8"/>
  <c r="J894" i="8"/>
  <c r="J893" i="8"/>
  <c r="J892" i="8"/>
  <c r="J891" i="8"/>
  <c r="J890" i="8"/>
  <c r="J889" i="8"/>
  <c r="J888" i="8"/>
  <c r="J887" i="8"/>
  <c r="J886" i="8"/>
  <c r="J885" i="8"/>
  <c r="J884" i="8"/>
  <c r="J883" i="8"/>
  <c r="J882" i="8"/>
  <c r="J881" i="8"/>
  <c r="J880" i="8"/>
  <c r="J879" i="8"/>
  <c r="J878" i="8"/>
  <c r="J877" i="8"/>
  <c r="J876" i="8"/>
  <c r="J875" i="8"/>
  <c r="J874" i="8"/>
  <c r="J873" i="8"/>
  <c r="J872" i="8"/>
  <c r="J871" i="8"/>
  <c r="J870" i="8"/>
  <c r="J869" i="8"/>
  <c r="J868" i="8"/>
  <c r="J867" i="8"/>
  <c r="J866" i="8"/>
  <c r="J865" i="8"/>
  <c r="J864" i="8"/>
  <c r="J863" i="8"/>
  <c r="J862" i="8"/>
  <c r="J861" i="8"/>
  <c r="J860" i="8"/>
  <c r="J859" i="8"/>
  <c r="J858" i="8"/>
  <c r="J857" i="8"/>
  <c r="J856" i="8"/>
  <c r="J855" i="8"/>
  <c r="J854" i="8"/>
  <c r="J853" i="8"/>
  <c r="J852" i="8"/>
  <c r="J851" i="8"/>
  <c r="J850" i="8"/>
  <c r="J849" i="8"/>
  <c r="J848" i="8"/>
  <c r="J847" i="8"/>
  <c r="J846" i="8"/>
  <c r="J845" i="8"/>
  <c r="J844" i="8"/>
  <c r="J843" i="8"/>
  <c r="J842" i="8"/>
  <c r="J841" i="8"/>
  <c r="J840" i="8"/>
  <c r="J839" i="8"/>
  <c r="J838" i="8"/>
  <c r="J837" i="8"/>
  <c r="J836" i="8"/>
  <c r="J835" i="8"/>
  <c r="J834" i="8"/>
  <c r="J833" i="8"/>
  <c r="J832" i="8"/>
  <c r="J831" i="8"/>
  <c r="J830" i="8"/>
  <c r="J829" i="8"/>
  <c r="J828" i="8"/>
  <c r="J827" i="8"/>
  <c r="J826" i="8"/>
  <c r="J825" i="8"/>
  <c r="J824" i="8"/>
  <c r="J823" i="8"/>
  <c r="J822" i="8"/>
  <c r="J821" i="8"/>
  <c r="J820" i="8"/>
  <c r="J819" i="8"/>
  <c r="J818" i="8"/>
  <c r="J817" i="8"/>
  <c r="J816" i="8"/>
  <c r="J815" i="8"/>
  <c r="J814" i="8"/>
  <c r="J813" i="8"/>
  <c r="J812" i="8"/>
  <c r="J811" i="8"/>
  <c r="J810" i="8"/>
  <c r="J809" i="8"/>
  <c r="J808" i="8"/>
  <c r="J807" i="8"/>
  <c r="J806" i="8"/>
  <c r="J805" i="8"/>
  <c r="J804" i="8"/>
  <c r="J803" i="8"/>
  <c r="J802" i="8"/>
  <c r="J801" i="8"/>
  <c r="J800" i="8"/>
  <c r="J799" i="8"/>
  <c r="J798" i="8"/>
  <c r="J797" i="8"/>
  <c r="J796" i="8"/>
  <c r="J795" i="8"/>
  <c r="J794" i="8"/>
  <c r="J793" i="8"/>
  <c r="J792" i="8"/>
  <c r="J791" i="8"/>
  <c r="J790" i="8"/>
  <c r="J789" i="8"/>
  <c r="J788" i="8"/>
  <c r="J787" i="8"/>
  <c r="J786" i="8"/>
  <c r="J785" i="8"/>
  <c r="J784" i="8"/>
  <c r="J783" i="8"/>
  <c r="J782" i="8"/>
  <c r="J781" i="8"/>
  <c r="J780" i="8"/>
  <c r="J779" i="8"/>
  <c r="J778" i="8"/>
  <c r="J777" i="8"/>
  <c r="J776" i="8"/>
  <c r="J775" i="8"/>
  <c r="J774" i="8"/>
  <c r="J773" i="8"/>
  <c r="J772" i="8"/>
  <c r="J771" i="8"/>
  <c r="J770" i="8"/>
  <c r="J769" i="8"/>
  <c r="J768" i="8"/>
  <c r="J767" i="8"/>
  <c r="J766" i="8"/>
  <c r="J765" i="8"/>
  <c r="J764" i="8"/>
  <c r="J763" i="8"/>
  <c r="J762" i="8"/>
  <c r="J761" i="8"/>
  <c r="J760" i="8"/>
  <c r="J759" i="8"/>
  <c r="J758" i="8"/>
  <c r="J757" i="8"/>
  <c r="J756" i="8"/>
  <c r="J755" i="8"/>
  <c r="J754" i="8"/>
  <c r="J753" i="8"/>
  <c r="J752" i="8"/>
  <c r="J751" i="8"/>
  <c r="J750" i="8"/>
  <c r="J749" i="8"/>
  <c r="J748" i="8"/>
  <c r="J747" i="8"/>
  <c r="J746" i="8"/>
  <c r="J745" i="8"/>
  <c r="J744" i="8"/>
  <c r="J743" i="8"/>
  <c r="J742" i="8"/>
  <c r="J741" i="8"/>
  <c r="J740" i="8"/>
  <c r="J739" i="8"/>
  <c r="J738" i="8"/>
  <c r="J737" i="8"/>
  <c r="J736" i="8"/>
  <c r="J735" i="8"/>
  <c r="J734" i="8"/>
  <c r="J733" i="8"/>
  <c r="J732" i="8"/>
  <c r="J731" i="8"/>
  <c r="J730" i="8"/>
  <c r="J729" i="8"/>
  <c r="J728" i="8"/>
  <c r="J727" i="8"/>
  <c r="J726" i="8"/>
  <c r="J725" i="8"/>
  <c r="J724" i="8"/>
  <c r="J723" i="8"/>
  <c r="J722" i="8"/>
  <c r="J721" i="8"/>
  <c r="J720" i="8"/>
  <c r="J719" i="8"/>
  <c r="J718" i="8"/>
  <c r="J717" i="8"/>
  <c r="J716" i="8"/>
  <c r="J715" i="8"/>
  <c r="J714" i="8"/>
  <c r="J713" i="8"/>
  <c r="J712" i="8"/>
  <c r="J711" i="8"/>
  <c r="J710" i="8"/>
  <c r="J709" i="8"/>
  <c r="J708" i="8"/>
  <c r="J707" i="8"/>
  <c r="J706" i="8"/>
  <c r="J705" i="8"/>
  <c r="J704" i="8"/>
  <c r="J703" i="8"/>
  <c r="J702" i="8"/>
  <c r="J701" i="8"/>
  <c r="J700" i="8"/>
  <c r="J699" i="8"/>
  <c r="J698" i="8"/>
  <c r="J697" i="8"/>
  <c r="J696" i="8"/>
  <c r="J695" i="8"/>
  <c r="J694" i="8"/>
  <c r="J693" i="8"/>
  <c r="J692" i="8"/>
  <c r="J691" i="8"/>
  <c r="J690" i="8"/>
  <c r="J689" i="8"/>
  <c r="J688" i="8"/>
  <c r="J687" i="8"/>
  <c r="J686" i="8"/>
  <c r="J685" i="8"/>
  <c r="J684" i="8"/>
  <c r="J683" i="8"/>
  <c r="J682" i="8"/>
  <c r="J681" i="8"/>
  <c r="J680" i="8"/>
  <c r="J679" i="8"/>
  <c r="J678" i="8"/>
  <c r="J677" i="8"/>
  <c r="J676" i="8"/>
  <c r="J675" i="8"/>
  <c r="J674" i="8"/>
  <c r="J673" i="8"/>
  <c r="J672" i="8"/>
  <c r="J671" i="8"/>
  <c r="J670" i="8"/>
  <c r="J669" i="8"/>
  <c r="J668" i="8"/>
  <c r="J667" i="8"/>
  <c r="J666" i="8"/>
  <c r="J665" i="8"/>
  <c r="J664" i="8"/>
  <c r="J663" i="8"/>
  <c r="J662" i="8"/>
  <c r="J661" i="8"/>
  <c r="J660" i="8"/>
  <c r="J659" i="8"/>
  <c r="J658" i="8"/>
  <c r="J657" i="8"/>
  <c r="J656" i="8"/>
  <c r="J655" i="8"/>
  <c r="J654" i="8"/>
  <c r="J653" i="8"/>
  <c r="J652" i="8"/>
  <c r="J651" i="8"/>
  <c r="J650" i="8"/>
  <c r="J649" i="8"/>
  <c r="J648" i="8"/>
  <c r="J647" i="8"/>
  <c r="J646" i="8"/>
  <c r="J645" i="8"/>
  <c r="J644" i="8"/>
  <c r="J643" i="8"/>
  <c r="J642" i="8"/>
  <c r="J641" i="8"/>
  <c r="J640" i="8"/>
  <c r="J639" i="8"/>
  <c r="J638" i="8"/>
  <c r="J637" i="8"/>
  <c r="J636" i="8"/>
  <c r="J635" i="8"/>
  <c r="J634" i="8"/>
  <c r="J633" i="8"/>
  <c r="J632" i="8"/>
  <c r="J631" i="8"/>
  <c r="J630" i="8"/>
  <c r="J629" i="8"/>
  <c r="J628" i="8"/>
  <c r="J627" i="8"/>
  <c r="J626" i="8"/>
  <c r="J625" i="8"/>
  <c r="J624" i="8"/>
  <c r="J623" i="8"/>
  <c r="J622" i="8"/>
  <c r="J621" i="8"/>
  <c r="J620" i="8"/>
  <c r="J619" i="8"/>
  <c r="J618" i="8"/>
  <c r="J617" i="8"/>
  <c r="J616" i="8"/>
  <c r="J615" i="8"/>
  <c r="J614" i="8"/>
  <c r="J613" i="8"/>
  <c r="J612" i="8"/>
  <c r="J611" i="8"/>
  <c r="J610" i="8"/>
  <c r="J609" i="8"/>
  <c r="J608" i="8"/>
  <c r="J607" i="8"/>
  <c r="J606" i="8"/>
  <c r="J605" i="8"/>
  <c r="J604" i="8"/>
  <c r="J603" i="8"/>
  <c r="J602" i="8"/>
  <c r="J601" i="8"/>
  <c r="J600" i="8"/>
  <c r="J599" i="8"/>
  <c r="J598" i="8"/>
  <c r="J597" i="8"/>
  <c r="J596" i="8"/>
  <c r="J595" i="8"/>
  <c r="J594" i="8"/>
  <c r="J593" i="8"/>
  <c r="J592" i="8"/>
  <c r="J591" i="8"/>
  <c r="J590" i="8"/>
  <c r="J589" i="8"/>
  <c r="J588" i="8"/>
  <c r="J587" i="8"/>
  <c r="J586" i="8"/>
  <c r="J585" i="8"/>
  <c r="J584" i="8"/>
  <c r="J583" i="8"/>
  <c r="J582" i="8"/>
  <c r="J581" i="8"/>
  <c r="J580" i="8"/>
  <c r="J579" i="8"/>
  <c r="J578" i="8"/>
  <c r="J577" i="8"/>
  <c r="J576" i="8"/>
  <c r="J575" i="8"/>
  <c r="J574" i="8"/>
  <c r="J573" i="8"/>
  <c r="J572" i="8"/>
  <c r="J571" i="8"/>
  <c r="J570" i="8"/>
  <c r="J569" i="8"/>
  <c r="J568" i="8"/>
  <c r="J567" i="8"/>
  <c r="J566" i="8"/>
  <c r="J565" i="8"/>
  <c r="J564" i="8"/>
  <c r="J563" i="8"/>
  <c r="J562" i="8"/>
  <c r="J561" i="8"/>
  <c r="J560" i="8"/>
  <c r="J559" i="8"/>
  <c r="J558" i="8"/>
  <c r="J557" i="8"/>
  <c r="J556" i="8"/>
  <c r="J555" i="8"/>
  <c r="J554" i="8"/>
  <c r="J553" i="8"/>
  <c r="J552" i="8"/>
  <c r="J551" i="8"/>
  <c r="J550" i="8"/>
  <c r="J549" i="8"/>
  <c r="J548" i="8"/>
  <c r="J547" i="8"/>
  <c r="J546" i="8"/>
  <c r="J545" i="8"/>
  <c r="J544" i="8"/>
  <c r="J543" i="8"/>
  <c r="J542" i="8"/>
  <c r="J541" i="8"/>
  <c r="J540" i="8"/>
  <c r="J539" i="8"/>
  <c r="J538" i="8"/>
  <c r="J537" i="8"/>
  <c r="J536" i="8"/>
  <c r="J535" i="8"/>
  <c r="J534" i="8"/>
  <c r="J533" i="8"/>
  <c r="J532" i="8"/>
  <c r="J531" i="8"/>
  <c r="J530" i="8"/>
  <c r="J529" i="8"/>
  <c r="J528" i="8"/>
  <c r="J527" i="8"/>
  <c r="J526" i="8"/>
  <c r="J525" i="8"/>
  <c r="J524" i="8"/>
  <c r="J523" i="8"/>
  <c r="J522" i="8"/>
  <c r="J521" i="8"/>
  <c r="J520" i="8"/>
  <c r="J519" i="8"/>
  <c r="J518" i="8"/>
  <c r="J517" i="8"/>
  <c r="J516" i="8"/>
  <c r="J515" i="8"/>
  <c r="J514" i="8"/>
  <c r="J513" i="8"/>
  <c r="J512" i="8"/>
  <c r="J511" i="8"/>
  <c r="J510" i="8"/>
  <c r="J509" i="8"/>
  <c r="J508" i="8"/>
  <c r="J507" i="8"/>
  <c r="J506" i="8"/>
  <c r="J505" i="8"/>
  <c r="J504" i="8"/>
  <c r="J503" i="8"/>
  <c r="J502" i="8"/>
  <c r="J501" i="8"/>
  <c r="J500" i="8"/>
  <c r="J499" i="8"/>
  <c r="J498" i="8"/>
  <c r="J497" i="8"/>
  <c r="J496" i="8"/>
  <c r="J495" i="8"/>
  <c r="J494" i="8"/>
  <c r="J493" i="8"/>
  <c r="J492" i="8"/>
  <c r="J491" i="8"/>
  <c r="J490" i="8"/>
  <c r="J489" i="8"/>
  <c r="J488" i="8"/>
  <c r="J487" i="8"/>
  <c r="J486" i="8"/>
  <c r="J485" i="8"/>
  <c r="J484" i="8"/>
  <c r="J483" i="8"/>
  <c r="J482" i="8"/>
  <c r="J481" i="8"/>
  <c r="J480" i="8"/>
  <c r="J479" i="8"/>
  <c r="J478" i="8"/>
  <c r="J477" i="8"/>
  <c r="J476" i="8"/>
  <c r="J475" i="8"/>
  <c r="J474" i="8"/>
  <c r="J473" i="8"/>
  <c r="J472" i="8"/>
  <c r="J471" i="8"/>
  <c r="J470" i="8"/>
  <c r="J469" i="8"/>
  <c r="J468" i="8"/>
  <c r="J467" i="8"/>
  <c r="J466" i="8"/>
  <c r="J465" i="8"/>
  <c r="J464" i="8"/>
  <c r="J463" i="8"/>
  <c r="J462" i="8"/>
  <c r="J461" i="8"/>
  <c r="J460" i="8"/>
  <c r="J459" i="8"/>
  <c r="J458" i="8"/>
  <c r="J457" i="8"/>
  <c r="J456" i="8"/>
  <c r="J455" i="8"/>
  <c r="J454" i="8"/>
  <c r="J453" i="8"/>
  <c r="J452" i="8"/>
  <c r="J451" i="8"/>
  <c r="J450" i="8"/>
  <c r="J449" i="8"/>
  <c r="J448" i="8"/>
  <c r="J447" i="8"/>
  <c r="J446" i="8"/>
  <c r="J445" i="8"/>
  <c r="J444" i="8"/>
  <c r="J443" i="8"/>
  <c r="J442" i="8"/>
  <c r="J441" i="8"/>
  <c r="J440" i="8"/>
  <c r="J439" i="8"/>
  <c r="J438" i="8"/>
  <c r="J437" i="8"/>
  <c r="J436" i="8"/>
  <c r="J435" i="8"/>
  <c r="J434" i="8"/>
  <c r="J433" i="8"/>
  <c r="J432" i="8"/>
  <c r="J431" i="8"/>
  <c r="J430" i="8"/>
  <c r="J429" i="8"/>
  <c r="J428" i="8"/>
  <c r="J427" i="8"/>
  <c r="J426" i="8"/>
  <c r="J425" i="8"/>
  <c r="J424" i="8"/>
  <c r="J423" i="8"/>
  <c r="J422" i="8"/>
  <c r="J421" i="8"/>
  <c r="J420" i="8"/>
  <c r="J419" i="8"/>
  <c r="J418" i="8"/>
  <c r="J417" i="8"/>
  <c r="J416" i="8"/>
  <c r="J415" i="8"/>
  <c r="J414" i="8"/>
  <c r="J413" i="8"/>
  <c r="J412" i="8"/>
  <c r="J411" i="8"/>
  <c r="J410" i="8"/>
  <c r="J409" i="8"/>
  <c r="J408" i="8"/>
  <c r="J407" i="8"/>
  <c r="J406" i="8"/>
  <c r="J405" i="8"/>
  <c r="J404" i="8"/>
  <c r="J403" i="8"/>
  <c r="J402" i="8"/>
  <c r="J401" i="8"/>
  <c r="J400" i="8"/>
  <c r="J399" i="8"/>
  <c r="J398" i="8"/>
  <c r="J397" i="8"/>
  <c r="J396" i="8"/>
  <c r="J395" i="8"/>
  <c r="J394" i="8"/>
  <c r="J393" i="8"/>
  <c r="J392" i="8"/>
  <c r="J391" i="8"/>
  <c r="J390" i="8"/>
  <c r="J389" i="8"/>
  <c r="J388" i="8"/>
  <c r="J387" i="8"/>
  <c r="J386" i="8"/>
  <c r="J385" i="8"/>
  <c r="J384" i="8"/>
  <c r="J383" i="8"/>
  <c r="J382" i="8"/>
  <c r="J381" i="8"/>
  <c r="J380" i="8"/>
  <c r="J379" i="8"/>
  <c r="J378" i="8"/>
  <c r="J377" i="8"/>
  <c r="J376" i="8"/>
  <c r="J375" i="8"/>
  <c r="J374" i="8"/>
  <c r="J373" i="8"/>
  <c r="J372" i="8"/>
  <c r="J371" i="8"/>
  <c r="J370" i="8"/>
  <c r="J369" i="8"/>
  <c r="J368" i="8"/>
  <c r="J367" i="8"/>
  <c r="J366" i="8"/>
  <c r="J365" i="8"/>
  <c r="J364" i="8"/>
  <c r="J363" i="8"/>
  <c r="J362" i="8"/>
  <c r="J361" i="8"/>
  <c r="J360" i="8"/>
  <c r="J359" i="8"/>
  <c r="J358" i="8"/>
  <c r="J357" i="8"/>
  <c r="J356" i="8"/>
  <c r="J355" i="8"/>
  <c r="J354" i="8"/>
  <c r="J353" i="8"/>
  <c r="J352" i="8"/>
  <c r="J351" i="8"/>
  <c r="J350" i="8"/>
  <c r="J349" i="8"/>
  <c r="J348" i="8"/>
  <c r="J347" i="8"/>
  <c r="J346" i="8"/>
  <c r="J345" i="8"/>
  <c r="J344" i="8"/>
  <c r="J343" i="8"/>
  <c r="J342" i="8"/>
  <c r="J341" i="8"/>
  <c r="J340" i="8"/>
  <c r="J339" i="8"/>
  <c r="J338" i="8"/>
  <c r="J337" i="8"/>
  <c r="J336" i="8"/>
  <c r="J335" i="8"/>
  <c r="J334" i="8"/>
  <c r="J333" i="8"/>
  <c r="J332" i="8"/>
  <c r="J331" i="8"/>
  <c r="J330" i="8"/>
  <c r="J329" i="8"/>
  <c r="J328" i="8"/>
  <c r="J327" i="8"/>
  <c r="J326" i="8"/>
  <c r="J325" i="8"/>
  <c r="J324" i="8"/>
  <c r="J323" i="8"/>
  <c r="J322" i="8"/>
  <c r="J321" i="8"/>
  <c r="J320" i="8"/>
  <c r="J319" i="8"/>
  <c r="J318" i="8"/>
  <c r="J317" i="8"/>
  <c r="J316" i="8"/>
  <c r="J315" i="8"/>
  <c r="J314" i="8"/>
  <c r="J313" i="8"/>
  <c r="J312" i="8"/>
  <c r="J311" i="8"/>
  <c r="J310" i="8"/>
  <c r="J309" i="8"/>
  <c r="J308" i="8"/>
  <c r="J307" i="8"/>
  <c r="J306" i="8"/>
  <c r="J305" i="8"/>
  <c r="J304" i="8"/>
  <c r="J303" i="8"/>
  <c r="J302" i="8"/>
  <c r="J301" i="8"/>
  <c r="J300" i="8"/>
  <c r="J299" i="8"/>
  <c r="J298" i="8"/>
  <c r="J297" i="8"/>
  <c r="J296" i="8"/>
  <c r="J295" i="8"/>
  <c r="J294" i="8"/>
  <c r="J293" i="8"/>
  <c r="J292" i="8"/>
  <c r="J291" i="8"/>
  <c r="J290" i="8"/>
  <c r="J289" i="8"/>
  <c r="J288" i="8"/>
  <c r="J287" i="8"/>
  <c r="J286" i="8"/>
  <c r="J285" i="8"/>
  <c r="J284" i="8"/>
  <c r="J283" i="8"/>
  <c r="J282" i="8"/>
  <c r="J281" i="8"/>
  <c r="J280" i="8"/>
  <c r="J279" i="8"/>
  <c r="J278" i="8"/>
  <c r="J277" i="8"/>
  <c r="J276" i="8"/>
  <c r="J275" i="8"/>
  <c r="J274" i="8"/>
  <c r="J273" i="8"/>
  <c r="J272" i="8"/>
  <c r="J271" i="8"/>
  <c r="J270" i="8"/>
  <c r="J269" i="8"/>
  <c r="J268" i="8"/>
  <c r="J267" i="8"/>
  <c r="J266" i="8"/>
  <c r="J265" i="8"/>
  <c r="J264" i="8"/>
  <c r="J263" i="8"/>
  <c r="J262" i="8"/>
  <c r="J261" i="8"/>
  <c r="J260" i="8"/>
  <c r="J259" i="8"/>
  <c r="J258" i="8"/>
  <c r="J257" i="8"/>
  <c r="J256" i="8"/>
  <c r="J255" i="8"/>
  <c r="J254" i="8"/>
  <c r="J253" i="8"/>
  <c r="J252" i="8"/>
  <c r="J251" i="8"/>
  <c r="J250" i="8"/>
  <c r="J249" i="8"/>
  <c r="J248" i="8"/>
  <c r="J247" i="8"/>
  <c r="J246" i="8"/>
  <c r="J245" i="8"/>
  <c r="J244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I1000" i="8"/>
  <c r="I999" i="8"/>
  <c r="I998" i="8"/>
  <c r="I997" i="8"/>
  <c r="I996" i="8"/>
  <c r="I995" i="8"/>
  <c r="I994" i="8"/>
  <c r="I993" i="8"/>
  <c r="I992" i="8"/>
  <c r="I991" i="8"/>
  <c r="I990" i="8"/>
  <c r="I989" i="8"/>
  <c r="I988" i="8"/>
  <c r="I987" i="8"/>
  <c r="I986" i="8"/>
  <c r="I985" i="8"/>
  <c r="I984" i="8"/>
  <c r="I983" i="8"/>
  <c r="I982" i="8"/>
  <c r="I981" i="8"/>
  <c r="I980" i="8"/>
  <c r="I979" i="8"/>
  <c r="I978" i="8"/>
  <c r="I977" i="8"/>
  <c r="I976" i="8"/>
  <c r="I975" i="8"/>
  <c r="I974" i="8"/>
  <c r="I973" i="8"/>
  <c r="I972" i="8"/>
  <c r="I971" i="8"/>
  <c r="I970" i="8"/>
  <c r="I969" i="8"/>
  <c r="I968" i="8"/>
  <c r="I967" i="8"/>
  <c r="I966" i="8"/>
  <c r="I965" i="8"/>
  <c r="I964" i="8"/>
  <c r="I963" i="8"/>
  <c r="I962" i="8"/>
  <c r="I961" i="8"/>
  <c r="I960" i="8"/>
  <c r="I959" i="8"/>
  <c r="I958" i="8"/>
  <c r="I957" i="8"/>
  <c r="I956" i="8"/>
  <c r="I955" i="8"/>
  <c r="I954" i="8"/>
  <c r="I953" i="8"/>
  <c r="I952" i="8"/>
  <c r="I951" i="8"/>
  <c r="I950" i="8"/>
  <c r="I949" i="8"/>
  <c r="I948" i="8"/>
  <c r="I947" i="8"/>
  <c r="I946" i="8"/>
  <c r="I945" i="8"/>
  <c r="I944" i="8"/>
  <c r="I943" i="8"/>
  <c r="I942" i="8"/>
  <c r="I941" i="8"/>
  <c r="I940" i="8"/>
  <c r="I939" i="8"/>
  <c r="I938" i="8"/>
  <c r="I937" i="8"/>
  <c r="I936" i="8"/>
  <c r="I935" i="8"/>
  <c r="I934" i="8"/>
  <c r="I933" i="8"/>
  <c r="I932" i="8"/>
  <c r="I931" i="8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3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3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H1000" i="8"/>
  <c r="H999" i="8"/>
  <c r="H998" i="8"/>
  <c r="H997" i="8"/>
  <c r="H996" i="8"/>
  <c r="H995" i="8"/>
  <c r="H994" i="8"/>
  <c r="H993" i="8"/>
  <c r="H992" i="8"/>
  <c r="H991" i="8"/>
  <c r="H990" i="8"/>
  <c r="H989" i="8"/>
  <c r="H988" i="8"/>
  <c r="H987" i="8"/>
  <c r="H986" i="8"/>
  <c r="H985" i="8"/>
  <c r="H984" i="8"/>
  <c r="H983" i="8"/>
  <c r="H982" i="8"/>
  <c r="H981" i="8"/>
  <c r="H980" i="8"/>
  <c r="H979" i="8"/>
  <c r="H978" i="8"/>
  <c r="H977" i="8"/>
  <c r="H976" i="8"/>
  <c r="H975" i="8"/>
  <c r="H974" i="8"/>
  <c r="H973" i="8"/>
  <c r="H972" i="8"/>
  <c r="H971" i="8"/>
  <c r="H970" i="8"/>
  <c r="H969" i="8"/>
  <c r="H968" i="8"/>
  <c r="H967" i="8"/>
  <c r="H966" i="8"/>
  <c r="H965" i="8"/>
  <c r="H964" i="8"/>
  <c r="H963" i="8"/>
  <c r="H962" i="8"/>
  <c r="H961" i="8"/>
  <c r="H960" i="8"/>
  <c r="H959" i="8"/>
  <c r="H958" i="8"/>
  <c r="H957" i="8"/>
  <c r="H956" i="8"/>
  <c r="H955" i="8"/>
  <c r="H954" i="8"/>
  <c r="H953" i="8"/>
  <c r="H952" i="8"/>
  <c r="H951" i="8"/>
  <c r="H950" i="8"/>
  <c r="H949" i="8"/>
  <c r="H948" i="8"/>
  <c r="H947" i="8"/>
  <c r="H946" i="8"/>
  <c r="H945" i="8"/>
  <c r="H944" i="8"/>
  <c r="H943" i="8"/>
  <c r="H942" i="8"/>
  <c r="H941" i="8"/>
  <c r="H940" i="8"/>
  <c r="H939" i="8"/>
  <c r="H938" i="8"/>
  <c r="H937" i="8"/>
  <c r="H936" i="8"/>
  <c r="H935" i="8"/>
  <c r="H934" i="8"/>
  <c r="H933" i="8"/>
  <c r="H932" i="8"/>
  <c r="H931" i="8"/>
  <c r="H930" i="8"/>
  <c r="H929" i="8"/>
  <c r="H928" i="8"/>
  <c r="H927" i="8"/>
  <c r="H926" i="8"/>
  <c r="H925" i="8"/>
  <c r="H924" i="8"/>
  <c r="H923" i="8"/>
  <c r="H922" i="8"/>
  <c r="H921" i="8"/>
  <c r="H920" i="8"/>
  <c r="H919" i="8"/>
  <c r="H918" i="8"/>
  <c r="H917" i="8"/>
  <c r="H916" i="8"/>
  <c r="H915" i="8"/>
  <c r="H914" i="8"/>
  <c r="H913" i="8"/>
  <c r="H912" i="8"/>
  <c r="H911" i="8"/>
  <c r="H910" i="8"/>
  <c r="H909" i="8"/>
  <c r="H908" i="8"/>
  <c r="H907" i="8"/>
  <c r="H906" i="8"/>
  <c r="H905" i="8"/>
  <c r="H904" i="8"/>
  <c r="H903" i="8"/>
  <c r="H902" i="8"/>
  <c r="H901" i="8"/>
  <c r="H900" i="8"/>
  <c r="H899" i="8"/>
  <c r="H898" i="8"/>
  <c r="H897" i="8"/>
  <c r="H896" i="8"/>
  <c r="H895" i="8"/>
  <c r="H894" i="8"/>
  <c r="H893" i="8"/>
  <c r="H892" i="8"/>
  <c r="H891" i="8"/>
  <c r="H890" i="8"/>
  <c r="H889" i="8"/>
  <c r="H888" i="8"/>
  <c r="H887" i="8"/>
  <c r="H886" i="8"/>
  <c r="H885" i="8"/>
  <c r="H884" i="8"/>
  <c r="H883" i="8"/>
  <c r="H882" i="8"/>
  <c r="H881" i="8"/>
  <c r="H880" i="8"/>
  <c r="H879" i="8"/>
  <c r="H878" i="8"/>
  <c r="H877" i="8"/>
  <c r="H876" i="8"/>
  <c r="H875" i="8"/>
  <c r="H874" i="8"/>
  <c r="H873" i="8"/>
  <c r="H872" i="8"/>
  <c r="H871" i="8"/>
  <c r="H870" i="8"/>
  <c r="H869" i="8"/>
  <c r="H868" i="8"/>
  <c r="H867" i="8"/>
  <c r="H866" i="8"/>
  <c r="H865" i="8"/>
  <c r="H864" i="8"/>
  <c r="H863" i="8"/>
  <c r="H862" i="8"/>
  <c r="H861" i="8"/>
  <c r="H860" i="8"/>
  <c r="H859" i="8"/>
  <c r="H858" i="8"/>
  <c r="H857" i="8"/>
  <c r="H856" i="8"/>
  <c r="H855" i="8"/>
  <c r="H854" i="8"/>
  <c r="H853" i="8"/>
  <c r="H852" i="8"/>
  <c r="H851" i="8"/>
  <c r="H850" i="8"/>
  <c r="H849" i="8"/>
  <c r="H848" i="8"/>
  <c r="H847" i="8"/>
  <c r="H846" i="8"/>
  <c r="H845" i="8"/>
  <c r="H844" i="8"/>
  <c r="H843" i="8"/>
  <c r="H842" i="8"/>
  <c r="H841" i="8"/>
  <c r="H840" i="8"/>
  <c r="H839" i="8"/>
  <c r="H838" i="8"/>
  <c r="H837" i="8"/>
  <c r="H836" i="8"/>
  <c r="H835" i="8"/>
  <c r="H834" i="8"/>
  <c r="H833" i="8"/>
  <c r="H832" i="8"/>
  <c r="H831" i="8"/>
  <c r="H830" i="8"/>
  <c r="H829" i="8"/>
  <c r="H828" i="8"/>
  <c r="H827" i="8"/>
  <c r="H826" i="8"/>
  <c r="H825" i="8"/>
  <c r="H824" i="8"/>
  <c r="H823" i="8"/>
  <c r="H822" i="8"/>
  <c r="H821" i="8"/>
  <c r="H820" i="8"/>
  <c r="H819" i="8"/>
  <c r="H818" i="8"/>
  <c r="H817" i="8"/>
  <c r="H816" i="8"/>
  <c r="H815" i="8"/>
  <c r="H814" i="8"/>
  <c r="H813" i="8"/>
  <c r="H812" i="8"/>
  <c r="H811" i="8"/>
  <c r="H810" i="8"/>
  <c r="H809" i="8"/>
  <c r="H808" i="8"/>
  <c r="H807" i="8"/>
  <c r="H806" i="8"/>
  <c r="H805" i="8"/>
  <c r="H804" i="8"/>
  <c r="H803" i="8"/>
  <c r="H802" i="8"/>
  <c r="H801" i="8"/>
  <c r="H800" i="8"/>
  <c r="H799" i="8"/>
  <c r="H798" i="8"/>
  <c r="H797" i="8"/>
  <c r="H796" i="8"/>
  <c r="H795" i="8"/>
  <c r="H794" i="8"/>
  <c r="H793" i="8"/>
  <c r="H792" i="8"/>
  <c r="H791" i="8"/>
  <c r="H790" i="8"/>
  <c r="H789" i="8"/>
  <c r="H788" i="8"/>
  <c r="H787" i="8"/>
  <c r="H786" i="8"/>
  <c r="H785" i="8"/>
  <c r="H784" i="8"/>
  <c r="H783" i="8"/>
  <c r="H782" i="8"/>
  <c r="H781" i="8"/>
  <c r="H780" i="8"/>
  <c r="H779" i="8"/>
  <c r="H778" i="8"/>
  <c r="H777" i="8"/>
  <c r="H776" i="8"/>
  <c r="H775" i="8"/>
  <c r="H774" i="8"/>
  <c r="H773" i="8"/>
  <c r="H772" i="8"/>
  <c r="H771" i="8"/>
  <c r="H770" i="8"/>
  <c r="H769" i="8"/>
  <c r="H768" i="8"/>
  <c r="H767" i="8"/>
  <c r="H766" i="8"/>
  <c r="H765" i="8"/>
  <c r="H764" i="8"/>
  <c r="H763" i="8"/>
  <c r="H762" i="8"/>
  <c r="H761" i="8"/>
  <c r="H760" i="8"/>
  <c r="H759" i="8"/>
  <c r="H758" i="8"/>
  <c r="H757" i="8"/>
  <c r="H756" i="8"/>
  <c r="H755" i="8"/>
  <c r="H754" i="8"/>
  <c r="H753" i="8"/>
  <c r="H752" i="8"/>
  <c r="H751" i="8"/>
  <c r="H750" i="8"/>
  <c r="H749" i="8"/>
  <c r="H748" i="8"/>
  <c r="H747" i="8"/>
  <c r="H746" i="8"/>
  <c r="H745" i="8"/>
  <c r="H744" i="8"/>
  <c r="H743" i="8"/>
  <c r="H742" i="8"/>
  <c r="H741" i="8"/>
  <c r="H740" i="8"/>
  <c r="H739" i="8"/>
  <c r="H738" i="8"/>
  <c r="H737" i="8"/>
  <c r="H736" i="8"/>
  <c r="H735" i="8"/>
  <c r="H734" i="8"/>
  <c r="H733" i="8"/>
  <c r="H732" i="8"/>
  <c r="H731" i="8"/>
  <c r="H730" i="8"/>
  <c r="H729" i="8"/>
  <c r="H728" i="8"/>
  <c r="H727" i="8"/>
  <c r="H726" i="8"/>
  <c r="H725" i="8"/>
  <c r="H724" i="8"/>
  <c r="H723" i="8"/>
  <c r="H722" i="8"/>
  <c r="H721" i="8"/>
  <c r="H720" i="8"/>
  <c r="H719" i="8"/>
  <c r="H718" i="8"/>
  <c r="H717" i="8"/>
  <c r="H716" i="8"/>
  <c r="H715" i="8"/>
  <c r="H714" i="8"/>
  <c r="H713" i="8"/>
  <c r="H712" i="8"/>
  <c r="H711" i="8"/>
  <c r="H710" i="8"/>
  <c r="H709" i="8"/>
  <c r="H708" i="8"/>
  <c r="H707" i="8"/>
  <c r="H706" i="8"/>
  <c r="H705" i="8"/>
  <c r="H704" i="8"/>
  <c r="H703" i="8"/>
  <c r="H702" i="8"/>
  <c r="H701" i="8"/>
  <c r="H700" i="8"/>
  <c r="H699" i="8"/>
  <c r="H698" i="8"/>
  <c r="H697" i="8"/>
  <c r="H696" i="8"/>
  <c r="H695" i="8"/>
  <c r="H694" i="8"/>
  <c r="H693" i="8"/>
  <c r="H692" i="8"/>
  <c r="H691" i="8"/>
  <c r="H690" i="8"/>
  <c r="H689" i="8"/>
  <c r="H688" i="8"/>
  <c r="H687" i="8"/>
  <c r="H686" i="8"/>
  <c r="H685" i="8"/>
  <c r="H684" i="8"/>
  <c r="H683" i="8"/>
  <c r="H682" i="8"/>
  <c r="H681" i="8"/>
  <c r="H680" i="8"/>
  <c r="H679" i="8"/>
  <c r="H678" i="8"/>
  <c r="H677" i="8"/>
  <c r="H676" i="8"/>
  <c r="H675" i="8"/>
  <c r="H674" i="8"/>
  <c r="H673" i="8"/>
  <c r="H672" i="8"/>
  <c r="H671" i="8"/>
  <c r="H670" i="8"/>
  <c r="H669" i="8"/>
  <c r="H668" i="8"/>
  <c r="H667" i="8"/>
  <c r="H666" i="8"/>
  <c r="H665" i="8"/>
  <c r="H664" i="8"/>
  <c r="H663" i="8"/>
  <c r="H662" i="8"/>
  <c r="H661" i="8"/>
  <c r="H660" i="8"/>
  <c r="H659" i="8"/>
  <c r="H658" i="8"/>
  <c r="H657" i="8"/>
  <c r="H656" i="8"/>
  <c r="H655" i="8"/>
  <c r="H654" i="8"/>
  <c r="H653" i="8"/>
  <c r="H652" i="8"/>
  <c r="H651" i="8"/>
  <c r="H650" i="8"/>
  <c r="H649" i="8"/>
  <c r="H648" i="8"/>
  <c r="H647" i="8"/>
  <c r="H646" i="8"/>
  <c r="H645" i="8"/>
  <c r="H644" i="8"/>
  <c r="H643" i="8"/>
  <c r="H642" i="8"/>
  <c r="H641" i="8"/>
  <c r="H640" i="8"/>
  <c r="H639" i="8"/>
  <c r="H638" i="8"/>
  <c r="H637" i="8"/>
  <c r="H636" i="8"/>
  <c r="H635" i="8"/>
  <c r="H634" i="8"/>
  <c r="H633" i="8"/>
  <c r="H632" i="8"/>
  <c r="H631" i="8"/>
  <c r="H630" i="8"/>
  <c r="H629" i="8"/>
  <c r="H628" i="8"/>
  <c r="H627" i="8"/>
  <c r="H626" i="8"/>
  <c r="H625" i="8"/>
  <c r="H624" i="8"/>
  <c r="H623" i="8"/>
  <c r="H622" i="8"/>
  <c r="H621" i="8"/>
  <c r="H620" i="8"/>
  <c r="H619" i="8"/>
  <c r="H618" i="8"/>
  <c r="H617" i="8"/>
  <c r="H616" i="8"/>
  <c r="H615" i="8"/>
  <c r="H614" i="8"/>
  <c r="H613" i="8"/>
  <c r="H612" i="8"/>
  <c r="H611" i="8"/>
  <c r="H610" i="8"/>
  <c r="H609" i="8"/>
  <c r="H608" i="8"/>
  <c r="H607" i="8"/>
  <c r="H606" i="8"/>
  <c r="H605" i="8"/>
  <c r="H604" i="8"/>
  <c r="H603" i="8"/>
  <c r="H602" i="8"/>
  <c r="H601" i="8"/>
  <c r="H600" i="8"/>
  <c r="H599" i="8"/>
  <c r="H598" i="8"/>
  <c r="H597" i="8"/>
  <c r="H596" i="8"/>
  <c r="H595" i="8"/>
  <c r="H594" i="8"/>
  <c r="H593" i="8"/>
  <c r="H592" i="8"/>
  <c r="H591" i="8"/>
  <c r="H590" i="8"/>
  <c r="H589" i="8"/>
  <c r="H588" i="8"/>
  <c r="H587" i="8"/>
  <c r="H586" i="8"/>
  <c r="H585" i="8"/>
  <c r="H584" i="8"/>
  <c r="H583" i="8"/>
  <c r="H582" i="8"/>
  <c r="H581" i="8"/>
  <c r="H580" i="8"/>
  <c r="H579" i="8"/>
  <c r="H578" i="8"/>
  <c r="H577" i="8"/>
  <c r="H576" i="8"/>
  <c r="H575" i="8"/>
  <c r="H574" i="8"/>
  <c r="H573" i="8"/>
  <c r="H572" i="8"/>
  <c r="H571" i="8"/>
  <c r="H570" i="8"/>
  <c r="H569" i="8"/>
  <c r="H568" i="8"/>
  <c r="H567" i="8"/>
  <c r="H566" i="8"/>
  <c r="H565" i="8"/>
  <c r="H564" i="8"/>
  <c r="H563" i="8"/>
  <c r="H562" i="8"/>
  <c r="H561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4" i="8"/>
  <c r="H543" i="8"/>
  <c r="H542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5" i="8"/>
  <c r="H524" i="8"/>
  <c r="H523" i="8"/>
  <c r="H522" i="8"/>
  <c r="H521" i="8"/>
  <c r="H520" i="8"/>
  <c r="H519" i="8"/>
  <c r="H518" i="8"/>
  <c r="H517" i="8"/>
  <c r="H516" i="8"/>
  <c r="H515" i="8"/>
  <c r="H514" i="8"/>
  <c r="H513" i="8"/>
  <c r="H512" i="8"/>
  <c r="H511" i="8"/>
  <c r="H510" i="8"/>
  <c r="H509" i="8"/>
  <c r="H508" i="8"/>
  <c r="H507" i="8"/>
  <c r="H506" i="8"/>
  <c r="H505" i="8"/>
  <c r="H504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7" i="8"/>
  <c r="H486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H457" i="8"/>
  <c r="H456" i="8"/>
  <c r="H455" i="8"/>
  <c r="H454" i="8"/>
  <c r="H453" i="8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G1000" i="8"/>
  <c r="G999" i="8"/>
  <c r="G998" i="8"/>
  <c r="G997" i="8"/>
  <c r="G996" i="8"/>
  <c r="G995" i="8"/>
  <c r="G994" i="8"/>
  <c r="G993" i="8"/>
  <c r="G992" i="8"/>
  <c r="G991" i="8"/>
  <c r="G990" i="8"/>
  <c r="G989" i="8"/>
  <c r="G988" i="8"/>
  <c r="G987" i="8"/>
  <c r="G986" i="8"/>
  <c r="G985" i="8"/>
  <c r="G984" i="8"/>
  <c r="G983" i="8"/>
  <c r="G982" i="8"/>
  <c r="G981" i="8"/>
  <c r="G980" i="8"/>
  <c r="G979" i="8"/>
  <c r="G978" i="8"/>
  <c r="G977" i="8"/>
  <c r="G976" i="8"/>
  <c r="G975" i="8"/>
  <c r="G974" i="8"/>
  <c r="G973" i="8"/>
  <c r="G972" i="8"/>
  <c r="G971" i="8"/>
  <c r="G970" i="8"/>
  <c r="G969" i="8"/>
  <c r="G968" i="8"/>
  <c r="G967" i="8"/>
  <c r="G966" i="8"/>
  <c r="G965" i="8"/>
  <c r="G964" i="8"/>
  <c r="G963" i="8"/>
  <c r="G962" i="8"/>
  <c r="G961" i="8"/>
  <c r="G960" i="8"/>
  <c r="G959" i="8"/>
  <c r="G958" i="8"/>
  <c r="G957" i="8"/>
  <c r="G956" i="8"/>
  <c r="G955" i="8"/>
  <c r="G954" i="8"/>
  <c r="G953" i="8"/>
  <c r="G952" i="8"/>
  <c r="G951" i="8"/>
  <c r="G950" i="8"/>
  <c r="G949" i="8"/>
  <c r="G948" i="8"/>
  <c r="G947" i="8"/>
  <c r="G946" i="8"/>
  <c r="G945" i="8"/>
  <c r="G944" i="8"/>
  <c r="G943" i="8"/>
  <c r="G942" i="8"/>
  <c r="G941" i="8"/>
  <c r="G940" i="8"/>
  <c r="G939" i="8"/>
  <c r="G938" i="8"/>
  <c r="G937" i="8"/>
  <c r="G936" i="8"/>
  <c r="G935" i="8"/>
  <c r="G934" i="8"/>
  <c r="G933" i="8"/>
  <c r="G932" i="8"/>
  <c r="G931" i="8"/>
  <c r="G930" i="8"/>
  <c r="G929" i="8"/>
  <c r="G928" i="8"/>
  <c r="G927" i="8"/>
  <c r="G926" i="8"/>
  <c r="G925" i="8"/>
  <c r="G924" i="8"/>
  <c r="G923" i="8"/>
  <c r="G922" i="8"/>
  <c r="G921" i="8"/>
  <c r="G920" i="8"/>
  <c r="G919" i="8"/>
  <c r="G918" i="8"/>
  <c r="G917" i="8"/>
  <c r="G916" i="8"/>
  <c r="G915" i="8"/>
  <c r="G914" i="8"/>
  <c r="G913" i="8"/>
  <c r="G912" i="8"/>
  <c r="G911" i="8"/>
  <c r="G910" i="8"/>
  <c r="G909" i="8"/>
  <c r="G908" i="8"/>
  <c r="G907" i="8"/>
  <c r="G906" i="8"/>
  <c r="G905" i="8"/>
  <c r="G904" i="8"/>
  <c r="G903" i="8"/>
  <c r="G902" i="8"/>
  <c r="G901" i="8"/>
  <c r="G900" i="8"/>
  <c r="G899" i="8"/>
  <c r="G898" i="8"/>
  <c r="G897" i="8"/>
  <c r="G896" i="8"/>
  <c r="G895" i="8"/>
  <c r="G894" i="8"/>
  <c r="G893" i="8"/>
  <c r="G892" i="8"/>
  <c r="G891" i="8"/>
  <c r="G890" i="8"/>
  <c r="G889" i="8"/>
  <c r="G888" i="8"/>
  <c r="G887" i="8"/>
  <c r="G886" i="8"/>
  <c r="G885" i="8"/>
  <c r="G884" i="8"/>
  <c r="G883" i="8"/>
  <c r="G882" i="8"/>
  <c r="G881" i="8"/>
  <c r="G880" i="8"/>
  <c r="G879" i="8"/>
  <c r="G878" i="8"/>
  <c r="G877" i="8"/>
  <c r="G876" i="8"/>
  <c r="G875" i="8"/>
  <c r="G874" i="8"/>
  <c r="G873" i="8"/>
  <c r="G872" i="8"/>
  <c r="G871" i="8"/>
  <c r="G870" i="8"/>
  <c r="G869" i="8"/>
  <c r="G868" i="8"/>
  <c r="G867" i="8"/>
  <c r="G866" i="8"/>
  <c r="G865" i="8"/>
  <c r="G864" i="8"/>
  <c r="G863" i="8"/>
  <c r="G862" i="8"/>
  <c r="G861" i="8"/>
  <c r="G860" i="8"/>
  <c r="G859" i="8"/>
  <c r="G858" i="8"/>
  <c r="G857" i="8"/>
  <c r="G856" i="8"/>
  <c r="G855" i="8"/>
  <c r="G854" i="8"/>
  <c r="G853" i="8"/>
  <c r="G852" i="8"/>
  <c r="G851" i="8"/>
  <c r="G850" i="8"/>
  <c r="G849" i="8"/>
  <c r="G848" i="8"/>
  <c r="G847" i="8"/>
  <c r="G846" i="8"/>
  <c r="G845" i="8"/>
  <c r="G844" i="8"/>
  <c r="G843" i="8"/>
  <c r="G842" i="8"/>
  <c r="G841" i="8"/>
  <c r="G840" i="8"/>
  <c r="G839" i="8"/>
  <c r="G838" i="8"/>
  <c r="G837" i="8"/>
  <c r="G836" i="8"/>
  <c r="G835" i="8"/>
  <c r="G834" i="8"/>
  <c r="G833" i="8"/>
  <c r="G832" i="8"/>
  <c r="G831" i="8"/>
  <c r="G830" i="8"/>
  <c r="G829" i="8"/>
  <c r="G828" i="8"/>
  <c r="G827" i="8"/>
  <c r="G826" i="8"/>
  <c r="G825" i="8"/>
  <c r="G824" i="8"/>
  <c r="G823" i="8"/>
  <c r="G822" i="8"/>
  <c r="G821" i="8"/>
  <c r="G820" i="8"/>
  <c r="G819" i="8"/>
  <c r="G818" i="8"/>
  <c r="G817" i="8"/>
  <c r="G816" i="8"/>
  <c r="G815" i="8"/>
  <c r="G814" i="8"/>
  <c r="G813" i="8"/>
  <c r="G812" i="8"/>
  <c r="G811" i="8"/>
  <c r="G810" i="8"/>
  <c r="G809" i="8"/>
  <c r="G808" i="8"/>
  <c r="G807" i="8"/>
  <c r="G806" i="8"/>
  <c r="G805" i="8"/>
  <c r="G804" i="8"/>
  <c r="G803" i="8"/>
  <c r="G802" i="8"/>
  <c r="G801" i="8"/>
  <c r="G800" i="8"/>
  <c r="G799" i="8"/>
  <c r="G798" i="8"/>
  <c r="G797" i="8"/>
  <c r="G796" i="8"/>
  <c r="G795" i="8"/>
  <c r="G794" i="8"/>
  <c r="G793" i="8"/>
  <c r="G792" i="8"/>
  <c r="G791" i="8"/>
  <c r="G790" i="8"/>
  <c r="G789" i="8"/>
  <c r="G788" i="8"/>
  <c r="G787" i="8"/>
  <c r="G786" i="8"/>
  <c r="G785" i="8"/>
  <c r="G784" i="8"/>
  <c r="G783" i="8"/>
  <c r="G782" i="8"/>
  <c r="G781" i="8"/>
  <c r="G780" i="8"/>
  <c r="G779" i="8"/>
  <c r="G778" i="8"/>
  <c r="G777" i="8"/>
  <c r="G776" i="8"/>
  <c r="G775" i="8"/>
  <c r="G774" i="8"/>
  <c r="G773" i="8"/>
  <c r="G772" i="8"/>
  <c r="G771" i="8"/>
  <c r="G770" i="8"/>
  <c r="G769" i="8"/>
  <c r="G768" i="8"/>
  <c r="G767" i="8"/>
  <c r="G766" i="8"/>
  <c r="G765" i="8"/>
  <c r="G764" i="8"/>
  <c r="G763" i="8"/>
  <c r="G762" i="8"/>
  <c r="G761" i="8"/>
  <c r="G760" i="8"/>
  <c r="G759" i="8"/>
  <c r="G758" i="8"/>
  <c r="G757" i="8"/>
  <c r="G756" i="8"/>
  <c r="G755" i="8"/>
  <c r="G754" i="8"/>
  <c r="G753" i="8"/>
  <c r="G752" i="8"/>
  <c r="G751" i="8"/>
  <c r="G750" i="8"/>
  <c r="G749" i="8"/>
  <c r="G748" i="8"/>
  <c r="G747" i="8"/>
  <c r="G746" i="8"/>
  <c r="G745" i="8"/>
  <c r="G744" i="8"/>
  <c r="G743" i="8"/>
  <c r="G742" i="8"/>
  <c r="G741" i="8"/>
  <c r="G740" i="8"/>
  <c r="G739" i="8"/>
  <c r="G738" i="8"/>
  <c r="G737" i="8"/>
  <c r="G736" i="8"/>
  <c r="G735" i="8"/>
  <c r="G734" i="8"/>
  <c r="G733" i="8"/>
  <c r="G732" i="8"/>
  <c r="G731" i="8"/>
  <c r="G730" i="8"/>
  <c r="G729" i="8"/>
  <c r="G728" i="8"/>
  <c r="G727" i="8"/>
  <c r="G726" i="8"/>
  <c r="G725" i="8"/>
  <c r="G724" i="8"/>
  <c r="G723" i="8"/>
  <c r="G722" i="8"/>
  <c r="G721" i="8"/>
  <c r="G720" i="8"/>
  <c r="G719" i="8"/>
  <c r="G718" i="8"/>
  <c r="G717" i="8"/>
  <c r="G716" i="8"/>
  <c r="G715" i="8"/>
  <c r="G714" i="8"/>
  <c r="G713" i="8"/>
  <c r="G712" i="8"/>
  <c r="G711" i="8"/>
  <c r="G710" i="8"/>
  <c r="G709" i="8"/>
  <c r="G708" i="8"/>
  <c r="G707" i="8"/>
  <c r="G706" i="8"/>
  <c r="G705" i="8"/>
  <c r="G704" i="8"/>
  <c r="G703" i="8"/>
  <c r="G702" i="8"/>
  <c r="G701" i="8"/>
  <c r="G700" i="8"/>
  <c r="G699" i="8"/>
  <c r="G698" i="8"/>
  <c r="G697" i="8"/>
  <c r="G696" i="8"/>
  <c r="G695" i="8"/>
  <c r="G694" i="8"/>
  <c r="G693" i="8"/>
  <c r="G692" i="8"/>
  <c r="G691" i="8"/>
  <c r="G690" i="8"/>
  <c r="G689" i="8"/>
  <c r="G688" i="8"/>
  <c r="G687" i="8"/>
  <c r="G686" i="8"/>
  <c r="G685" i="8"/>
  <c r="G684" i="8"/>
  <c r="G683" i="8"/>
  <c r="G682" i="8"/>
  <c r="G681" i="8"/>
  <c r="G680" i="8"/>
  <c r="G679" i="8"/>
  <c r="G678" i="8"/>
  <c r="G677" i="8"/>
  <c r="G676" i="8"/>
  <c r="G675" i="8"/>
  <c r="G674" i="8"/>
  <c r="G673" i="8"/>
  <c r="G672" i="8"/>
  <c r="G671" i="8"/>
  <c r="G670" i="8"/>
  <c r="G669" i="8"/>
  <c r="G668" i="8"/>
  <c r="G667" i="8"/>
  <c r="G666" i="8"/>
  <c r="G665" i="8"/>
  <c r="G664" i="8"/>
  <c r="G663" i="8"/>
  <c r="G662" i="8"/>
  <c r="G661" i="8"/>
  <c r="G660" i="8"/>
  <c r="G659" i="8"/>
  <c r="G658" i="8"/>
  <c r="G657" i="8"/>
  <c r="G656" i="8"/>
  <c r="G655" i="8"/>
  <c r="G654" i="8"/>
  <c r="G653" i="8"/>
  <c r="G652" i="8"/>
  <c r="G651" i="8"/>
  <c r="G650" i="8"/>
  <c r="G649" i="8"/>
  <c r="G648" i="8"/>
  <c r="G647" i="8"/>
  <c r="G646" i="8"/>
  <c r="G645" i="8"/>
  <c r="G644" i="8"/>
  <c r="G643" i="8"/>
  <c r="G642" i="8"/>
  <c r="G641" i="8"/>
  <c r="G640" i="8"/>
  <c r="G639" i="8"/>
  <c r="G638" i="8"/>
  <c r="G637" i="8"/>
  <c r="G636" i="8"/>
  <c r="G635" i="8"/>
  <c r="G634" i="8"/>
  <c r="G633" i="8"/>
  <c r="G632" i="8"/>
  <c r="G631" i="8"/>
  <c r="G630" i="8"/>
  <c r="G629" i="8"/>
  <c r="G628" i="8"/>
  <c r="G627" i="8"/>
  <c r="G626" i="8"/>
  <c r="G62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11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24" i="8"/>
  <c r="G523" i="8"/>
  <c r="G522" i="8"/>
  <c r="G521" i="8"/>
  <c r="G520" i="8"/>
  <c r="G519" i="8"/>
  <c r="G518" i="8"/>
  <c r="G517" i="8"/>
  <c r="G516" i="8"/>
  <c r="G515" i="8"/>
  <c r="G514" i="8"/>
  <c r="G513" i="8"/>
  <c r="G512" i="8"/>
  <c r="G511" i="8"/>
  <c r="G510" i="8"/>
  <c r="G509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5" i="8"/>
  <c r="G494" i="8"/>
  <c r="G493" i="8"/>
  <c r="G492" i="8"/>
  <c r="G491" i="8"/>
  <c r="G490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E1000" i="8" a="1"/>
  <c r="E1000" i="8" s="1"/>
  <c r="F1000" i="8" s="1"/>
  <c r="E999" i="8" a="1"/>
  <c r="E999" i="8" s="1"/>
  <c r="F999" i="8" s="1"/>
  <c r="E998" i="8" a="1"/>
  <c r="E998" i="8" s="1"/>
  <c r="F998" i="8" s="1"/>
  <c r="E997" i="8" a="1"/>
  <c r="E997" i="8" s="1"/>
  <c r="F997" i="8" s="1"/>
  <c r="E996" i="8" a="1"/>
  <c r="E996" i="8" s="1"/>
  <c r="F996" i="8" s="1"/>
  <c r="E995" i="8" a="1"/>
  <c r="E995" i="8" s="1"/>
  <c r="F995" i="8" s="1"/>
  <c r="E994" i="8" a="1"/>
  <c r="E994" i="8" s="1"/>
  <c r="F994" i="8" s="1"/>
  <c r="E993" i="8" a="1"/>
  <c r="E993" i="8" s="1"/>
  <c r="F993" i="8" s="1"/>
  <c r="E992" i="8" a="1"/>
  <c r="E992" i="8" s="1"/>
  <c r="F992" i="8" s="1"/>
  <c r="E991" i="8" a="1"/>
  <c r="E991" i="8" s="1"/>
  <c r="F991" i="8" s="1"/>
  <c r="E990" i="8" a="1"/>
  <c r="E990" i="8" s="1"/>
  <c r="F990" i="8" s="1"/>
  <c r="E989" i="8" a="1"/>
  <c r="E989" i="8" s="1"/>
  <c r="F989" i="8" s="1"/>
  <c r="E988" i="8" a="1"/>
  <c r="E988" i="8" s="1"/>
  <c r="F988" i="8" s="1"/>
  <c r="E987" i="8" a="1"/>
  <c r="E987" i="8" s="1"/>
  <c r="F987" i="8" s="1"/>
  <c r="E986" i="8" a="1"/>
  <c r="E986" i="8" s="1"/>
  <c r="F986" i="8" s="1"/>
  <c r="E985" i="8" a="1"/>
  <c r="E985" i="8" s="1"/>
  <c r="F985" i="8" s="1"/>
  <c r="E984" i="8" a="1"/>
  <c r="E984" i="8" s="1"/>
  <c r="F984" i="8" s="1"/>
  <c r="E983" i="8" a="1"/>
  <c r="E983" i="8" s="1"/>
  <c r="F983" i="8" s="1"/>
  <c r="E982" i="8" a="1"/>
  <c r="E982" i="8" s="1"/>
  <c r="F982" i="8" s="1"/>
  <c r="E981" i="8" a="1"/>
  <c r="E981" i="8" s="1"/>
  <c r="F981" i="8" s="1"/>
  <c r="E980" i="8" a="1"/>
  <c r="E980" i="8" s="1"/>
  <c r="F980" i="8" s="1"/>
  <c r="E979" i="8" a="1"/>
  <c r="E979" i="8" s="1"/>
  <c r="F979" i="8" s="1"/>
  <c r="E978" i="8" a="1"/>
  <c r="E978" i="8" s="1"/>
  <c r="F978" i="8" s="1"/>
  <c r="E977" i="8" a="1"/>
  <c r="E977" i="8" s="1"/>
  <c r="F977" i="8" s="1"/>
  <c r="E976" i="8" a="1"/>
  <c r="E976" i="8" s="1"/>
  <c r="F976" i="8" s="1"/>
  <c r="E975" i="8" a="1"/>
  <c r="E975" i="8" s="1"/>
  <c r="F975" i="8" s="1"/>
  <c r="E974" i="8" a="1"/>
  <c r="E974" i="8" s="1"/>
  <c r="F974" i="8" s="1"/>
  <c r="E973" i="8" a="1"/>
  <c r="E973" i="8" s="1"/>
  <c r="F973" i="8" s="1"/>
  <c r="E972" i="8" a="1"/>
  <c r="E972" i="8" s="1"/>
  <c r="F972" i="8" s="1"/>
  <c r="E971" i="8" a="1"/>
  <c r="E971" i="8" s="1"/>
  <c r="F971" i="8" s="1"/>
  <c r="E970" i="8" a="1"/>
  <c r="E970" i="8" s="1"/>
  <c r="F970" i="8" s="1"/>
  <c r="E969" i="8" a="1"/>
  <c r="E969" i="8" s="1"/>
  <c r="F969" i="8" s="1"/>
  <c r="E968" i="8" a="1"/>
  <c r="E968" i="8" s="1"/>
  <c r="F968" i="8" s="1"/>
  <c r="E967" i="8" a="1"/>
  <c r="E967" i="8" s="1"/>
  <c r="F967" i="8" s="1"/>
  <c r="E966" i="8" a="1"/>
  <c r="E966" i="8" s="1"/>
  <c r="F966" i="8" s="1"/>
  <c r="E965" i="8" a="1"/>
  <c r="E965" i="8" s="1"/>
  <c r="F965" i="8" s="1"/>
  <c r="E964" i="8" a="1"/>
  <c r="E964" i="8" s="1"/>
  <c r="F964" i="8" s="1"/>
  <c r="E963" i="8" a="1"/>
  <c r="E963" i="8" s="1"/>
  <c r="F963" i="8" s="1"/>
  <c r="E962" i="8" a="1"/>
  <c r="E962" i="8" s="1"/>
  <c r="F962" i="8" s="1"/>
  <c r="E961" i="8" a="1"/>
  <c r="E961" i="8" s="1"/>
  <c r="F961" i="8" s="1"/>
  <c r="E960" i="8" a="1"/>
  <c r="E960" i="8" s="1"/>
  <c r="F960" i="8" s="1"/>
  <c r="E959" i="8" a="1"/>
  <c r="E959" i="8" s="1"/>
  <c r="F959" i="8" s="1"/>
  <c r="E958" i="8" a="1"/>
  <c r="E958" i="8" s="1"/>
  <c r="F958" i="8" s="1"/>
  <c r="E957" i="8" a="1"/>
  <c r="E957" i="8" s="1"/>
  <c r="F957" i="8" s="1"/>
  <c r="E956" i="8" a="1"/>
  <c r="E956" i="8" s="1"/>
  <c r="F956" i="8" s="1"/>
  <c r="E955" i="8" a="1"/>
  <c r="E955" i="8" s="1"/>
  <c r="F955" i="8" s="1"/>
  <c r="E954" i="8" a="1"/>
  <c r="E954" i="8" s="1"/>
  <c r="F954" i="8" s="1"/>
  <c r="E953" i="8" a="1"/>
  <c r="E953" i="8" s="1"/>
  <c r="F953" i="8" s="1"/>
  <c r="E952" i="8" a="1"/>
  <c r="E952" i="8" s="1"/>
  <c r="F952" i="8" s="1"/>
  <c r="E951" i="8" a="1"/>
  <c r="E951" i="8" s="1"/>
  <c r="F951" i="8" s="1"/>
  <c r="E950" i="8" a="1"/>
  <c r="E950" i="8" s="1"/>
  <c r="F950" i="8" s="1"/>
  <c r="E949" i="8" a="1"/>
  <c r="E949" i="8" s="1"/>
  <c r="F949" i="8" s="1"/>
  <c r="E948" i="8" a="1"/>
  <c r="E948" i="8" s="1"/>
  <c r="F948" i="8" s="1"/>
  <c r="E947" i="8" a="1"/>
  <c r="E947" i="8" s="1"/>
  <c r="F947" i="8" s="1"/>
  <c r="E946" i="8" a="1"/>
  <c r="E946" i="8" s="1"/>
  <c r="F946" i="8" s="1"/>
  <c r="E945" i="8" a="1"/>
  <c r="E945" i="8" s="1"/>
  <c r="F945" i="8" s="1"/>
  <c r="E944" i="8" a="1"/>
  <c r="E944" i="8" s="1"/>
  <c r="F944" i="8" s="1"/>
  <c r="E943" i="8" a="1"/>
  <c r="E943" i="8" s="1"/>
  <c r="F943" i="8" s="1"/>
  <c r="E942" i="8" a="1"/>
  <c r="E942" i="8" s="1"/>
  <c r="F942" i="8" s="1"/>
  <c r="E941" i="8" a="1"/>
  <c r="E941" i="8" s="1"/>
  <c r="F941" i="8" s="1"/>
  <c r="E940" i="8" a="1"/>
  <c r="E940" i="8" s="1"/>
  <c r="F940" i="8" s="1"/>
  <c r="E939" i="8" a="1"/>
  <c r="E939" i="8" s="1"/>
  <c r="F939" i="8" s="1"/>
  <c r="E938" i="8" a="1"/>
  <c r="E938" i="8" s="1"/>
  <c r="F938" i="8" s="1"/>
  <c r="E937" i="8" a="1"/>
  <c r="E937" i="8" s="1"/>
  <c r="F937" i="8" s="1"/>
  <c r="E936" i="8" a="1"/>
  <c r="E936" i="8" s="1"/>
  <c r="F936" i="8" s="1"/>
  <c r="E935" i="8" a="1"/>
  <c r="E935" i="8" s="1"/>
  <c r="F935" i="8" s="1"/>
  <c r="E934" i="8" a="1"/>
  <c r="E934" i="8" s="1"/>
  <c r="F934" i="8" s="1"/>
  <c r="E933" i="8" a="1"/>
  <c r="E933" i="8" s="1"/>
  <c r="F933" i="8" s="1"/>
  <c r="E932" i="8" a="1"/>
  <c r="E932" i="8" s="1"/>
  <c r="F932" i="8" s="1"/>
  <c r="E931" i="8" a="1"/>
  <c r="E931" i="8" s="1"/>
  <c r="F931" i="8" s="1"/>
  <c r="E930" i="8" a="1"/>
  <c r="E930" i="8" s="1"/>
  <c r="F930" i="8" s="1"/>
  <c r="E929" i="8" a="1"/>
  <c r="E929" i="8" s="1"/>
  <c r="F929" i="8" s="1"/>
  <c r="E928" i="8" a="1"/>
  <c r="E928" i="8" s="1"/>
  <c r="F928" i="8" s="1"/>
  <c r="E927" i="8" a="1"/>
  <c r="E927" i="8" s="1"/>
  <c r="F927" i="8" s="1"/>
  <c r="E926" i="8" a="1"/>
  <c r="E926" i="8" s="1"/>
  <c r="F926" i="8" s="1"/>
  <c r="E925" i="8" a="1"/>
  <c r="E925" i="8" s="1"/>
  <c r="F925" i="8" s="1"/>
  <c r="E924" i="8" a="1"/>
  <c r="E924" i="8" s="1"/>
  <c r="F924" i="8" s="1"/>
  <c r="E923" i="8" a="1"/>
  <c r="E923" i="8" s="1"/>
  <c r="F923" i="8" s="1"/>
  <c r="E922" i="8" a="1"/>
  <c r="E922" i="8" s="1"/>
  <c r="F922" i="8" s="1"/>
  <c r="E921" i="8" a="1"/>
  <c r="E921" i="8" s="1"/>
  <c r="F921" i="8" s="1"/>
  <c r="E920" i="8" a="1"/>
  <c r="E920" i="8" s="1"/>
  <c r="F920" i="8" s="1"/>
  <c r="E919" i="8" a="1"/>
  <c r="E919" i="8" s="1"/>
  <c r="F919" i="8" s="1"/>
  <c r="E918" i="8" a="1"/>
  <c r="E918" i="8" s="1"/>
  <c r="F918" i="8" s="1"/>
  <c r="E917" i="8" a="1"/>
  <c r="E917" i="8" s="1"/>
  <c r="F917" i="8" s="1"/>
  <c r="E916" i="8" a="1"/>
  <c r="E916" i="8" s="1"/>
  <c r="F916" i="8" s="1"/>
  <c r="E915" i="8" a="1"/>
  <c r="E915" i="8" s="1"/>
  <c r="F915" i="8" s="1"/>
  <c r="E914" i="8" a="1"/>
  <c r="E914" i="8" s="1"/>
  <c r="F914" i="8" s="1"/>
  <c r="E913" i="8" a="1"/>
  <c r="E913" i="8" s="1"/>
  <c r="F913" i="8" s="1"/>
  <c r="E912" i="8" a="1"/>
  <c r="E912" i="8" s="1"/>
  <c r="F912" i="8" s="1"/>
  <c r="E911" i="8" a="1"/>
  <c r="E911" i="8" s="1"/>
  <c r="F911" i="8" s="1"/>
  <c r="E910" i="8" a="1"/>
  <c r="E910" i="8" s="1"/>
  <c r="F910" i="8" s="1"/>
  <c r="E909" i="8" a="1"/>
  <c r="E909" i="8" s="1"/>
  <c r="F909" i="8" s="1"/>
  <c r="E908" i="8" a="1"/>
  <c r="E908" i="8" s="1"/>
  <c r="F908" i="8" s="1"/>
  <c r="E907" i="8" a="1"/>
  <c r="E907" i="8" s="1"/>
  <c r="F907" i="8" s="1"/>
  <c r="E906" i="8" a="1"/>
  <c r="E906" i="8" s="1"/>
  <c r="F906" i="8" s="1"/>
  <c r="E905" i="8" a="1"/>
  <c r="E905" i="8" s="1"/>
  <c r="F905" i="8" s="1"/>
  <c r="E904" i="8" a="1"/>
  <c r="E904" i="8" s="1"/>
  <c r="F904" i="8" s="1"/>
  <c r="E903" i="8" a="1"/>
  <c r="E903" i="8" s="1"/>
  <c r="F903" i="8" s="1"/>
  <c r="E902" i="8" a="1"/>
  <c r="E902" i="8" s="1"/>
  <c r="F902" i="8" s="1"/>
  <c r="E901" i="8" a="1"/>
  <c r="E901" i="8" s="1"/>
  <c r="F901" i="8" s="1"/>
  <c r="E900" i="8" a="1"/>
  <c r="E900" i="8" s="1"/>
  <c r="F900" i="8" s="1"/>
  <c r="E899" i="8" a="1"/>
  <c r="E899" i="8" s="1"/>
  <c r="F899" i="8" s="1"/>
  <c r="E898" i="8" a="1"/>
  <c r="E898" i="8" s="1"/>
  <c r="F898" i="8" s="1"/>
  <c r="E897" i="8" a="1"/>
  <c r="E897" i="8" s="1"/>
  <c r="F897" i="8" s="1"/>
  <c r="E896" i="8" a="1"/>
  <c r="E896" i="8" s="1"/>
  <c r="F896" i="8" s="1"/>
  <c r="E895" i="8" a="1"/>
  <c r="E895" i="8" s="1"/>
  <c r="F895" i="8" s="1"/>
  <c r="E894" i="8" a="1"/>
  <c r="E894" i="8" s="1"/>
  <c r="F894" i="8" s="1"/>
  <c r="E893" i="8" a="1"/>
  <c r="E893" i="8" s="1"/>
  <c r="F893" i="8" s="1"/>
  <c r="E892" i="8" a="1"/>
  <c r="E892" i="8" s="1"/>
  <c r="F892" i="8" s="1"/>
  <c r="E891" i="8" a="1"/>
  <c r="E891" i="8" s="1"/>
  <c r="F891" i="8" s="1"/>
  <c r="E890" i="8" a="1"/>
  <c r="E890" i="8" s="1"/>
  <c r="F890" i="8" s="1"/>
  <c r="E889" i="8" a="1"/>
  <c r="E889" i="8" s="1"/>
  <c r="F889" i="8" s="1"/>
  <c r="E888" i="8" a="1"/>
  <c r="E888" i="8" s="1"/>
  <c r="F888" i="8" s="1"/>
  <c r="E887" i="8" a="1"/>
  <c r="E887" i="8" s="1"/>
  <c r="F887" i="8" s="1"/>
  <c r="E886" i="8" a="1"/>
  <c r="E886" i="8" s="1"/>
  <c r="F886" i="8" s="1"/>
  <c r="E885" i="8" a="1"/>
  <c r="E885" i="8" s="1"/>
  <c r="F885" i="8" s="1"/>
  <c r="E884" i="8" a="1"/>
  <c r="E884" i="8" s="1"/>
  <c r="F884" i="8" s="1"/>
  <c r="E883" i="8" a="1"/>
  <c r="E883" i="8" s="1"/>
  <c r="F883" i="8" s="1"/>
  <c r="E882" i="8" a="1"/>
  <c r="E882" i="8" s="1"/>
  <c r="F882" i="8" s="1"/>
  <c r="E881" i="8" a="1"/>
  <c r="E881" i="8" s="1"/>
  <c r="F881" i="8" s="1"/>
  <c r="E880" i="8" a="1"/>
  <c r="E880" i="8" s="1"/>
  <c r="F880" i="8" s="1"/>
  <c r="E879" i="8" a="1"/>
  <c r="E879" i="8" s="1"/>
  <c r="F879" i="8" s="1"/>
  <c r="E878" i="8" a="1"/>
  <c r="E878" i="8" s="1"/>
  <c r="F878" i="8" s="1"/>
  <c r="E877" i="8" a="1"/>
  <c r="E877" i="8" s="1"/>
  <c r="F877" i="8" s="1"/>
  <c r="E876" i="8" a="1"/>
  <c r="E876" i="8" s="1"/>
  <c r="F876" i="8" s="1"/>
  <c r="E875" i="8" a="1"/>
  <c r="E875" i="8" s="1"/>
  <c r="F875" i="8" s="1"/>
  <c r="E874" i="8" a="1"/>
  <c r="E874" i="8" s="1"/>
  <c r="F874" i="8" s="1"/>
  <c r="E873" i="8" a="1"/>
  <c r="E873" i="8" s="1"/>
  <c r="F873" i="8" s="1"/>
  <c r="E872" i="8" a="1"/>
  <c r="E872" i="8" s="1"/>
  <c r="F872" i="8" s="1"/>
  <c r="E871" i="8" a="1"/>
  <c r="E871" i="8" s="1"/>
  <c r="F871" i="8" s="1"/>
  <c r="E870" i="8" a="1"/>
  <c r="E870" i="8" s="1"/>
  <c r="F870" i="8" s="1"/>
  <c r="E869" i="8" a="1"/>
  <c r="E869" i="8" s="1"/>
  <c r="F869" i="8" s="1"/>
  <c r="E868" i="8" a="1"/>
  <c r="E868" i="8" s="1"/>
  <c r="F868" i="8" s="1"/>
  <c r="E867" i="8" a="1"/>
  <c r="E867" i="8" s="1"/>
  <c r="F867" i="8" s="1"/>
  <c r="E866" i="8" a="1"/>
  <c r="E866" i="8" s="1"/>
  <c r="F866" i="8" s="1"/>
  <c r="E865" i="8" a="1"/>
  <c r="E865" i="8" s="1"/>
  <c r="F865" i="8" s="1"/>
  <c r="E864" i="8" a="1"/>
  <c r="E864" i="8" s="1"/>
  <c r="F864" i="8" s="1"/>
  <c r="E863" i="8" a="1"/>
  <c r="E863" i="8" s="1"/>
  <c r="F863" i="8" s="1"/>
  <c r="E862" i="8" a="1"/>
  <c r="E862" i="8" s="1"/>
  <c r="F862" i="8" s="1"/>
  <c r="E861" i="8" a="1"/>
  <c r="E861" i="8" s="1"/>
  <c r="F861" i="8" s="1"/>
  <c r="E860" i="8" a="1"/>
  <c r="E860" i="8" s="1"/>
  <c r="F860" i="8" s="1"/>
  <c r="E859" i="8" a="1"/>
  <c r="E859" i="8" s="1"/>
  <c r="F859" i="8" s="1"/>
  <c r="E858" i="8" a="1"/>
  <c r="E858" i="8" s="1"/>
  <c r="F858" i="8" s="1"/>
  <c r="E857" i="8" a="1"/>
  <c r="E857" i="8" s="1"/>
  <c r="F857" i="8" s="1"/>
  <c r="E856" i="8" a="1"/>
  <c r="E856" i="8" s="1"/>
  <c r="F856" i="8" s="1"/>
  <c r="E855" i="8" a="1"/>
  <c r="E855" i="8" s="1"/>
  <c r="F855" i="8" s="1"/>
  <c r="E854" i="8" a="1"/>
  <c r="E854" i="8" s="1"/>
  <c r="F854" i="8" s="1"/>
  <c r="E853" i="8" a="1"/>
  <c r="E853" i="8" s="1"/>
  <c r="F853" i="8" s="1"/>
  <c r="E852" i="8" a="1"/>
  <c r="E852" i="8" s="1"/>
  <c r="F852" i="8" s="1"/>
  <c r="E851" i="8" a="1"/>
  <c r="E851" i="8" s="1"/>
  <c r="F851" i="8" s="1"/>
  <c r="E850" i="8" a="1"/>
  <c r="E850" i="8" s="1"/>
  <c r="F850" i="8" s="1"/>
  <c r="E849" i="8" a="1"/>
  <c r="E849" i="8" s="1"/>
  <c r="F849" i="8" s="1"/>
  <c r="E848" i="8" a="1"/>
  <c r="E848" i="8" s="1"/>
  <c r="F848" i="8" s="1"/>
  <c r="E847" i="8" a="1"/>
  <c r="E847" i="8" s="1"/>
  <c r="F847" i="8" s="1"/>
  <c r="E846" i="8" a="1"/>
  <c r="E846" i="8" s="1"/>
  <c r="F846" i="8" s="1"/>
  <c r="E845" i="8" a="1"/>
  <c r="E845" i="8" s="1"/>
  <c r="F845" i="8" s="1"/>
  <c r="E844" i="8" a="1"/>
  <c r="E844" i="8" s="1"/>
  <c r="F844" i="8" s="1"/>
  <c r="E843" i="8" a="1"/>
  <c r="E843" i="8" s="1"/>
  <c r="F843" i="8" s="1"/>
  <c r="E842" i="8" a="1"/>
  <c r="E842" i="8" s="1"/>
  <c r="F842" i="8" s="1"/>
  <c r="E841" i="8" a="1"/>
  <c r="E841" i="8" s="1"/>
  <c r="F841" i="8" s="1"/>
  <c r="E840" i="8" a="1"/>
  <c r="E840" i="8" s="1"/>
  <c r="F840" i="8" s="1"/>
  <c r="E839" i="8" a="1"/>
  <c r="E839" i="8" s="1"/>
  <c r="F839" i="8" s="1"/>
  <c r="E838" i="8" a="1"/>
  <c r="E838" i="8" s="1"/>
  <c r="F838" i="8" s="1"/>
  <c r="E837" i="8" a="1"/>
  <c r="E837" i="8" s="1"/>
  <c r="F837" i="8" s="1"/>
  <c r="E836" i="8" a="1"/>
  <c r="E836" i="8" s="1"/>
  <c r="F836" i="8" s="1"/>
  <c r="E835" i="8" a="1"/>
  <c r="E835" i="8" s="1"/>
  <c r="F835" i="8" s="1"/>
  <c r="E834" i="8" a="1"/>
  <c r="E834" i="8" s="1"/>
  <c r="F834" i="8" s="1"/>
  <c r="E833" i="8" a="1"/>
  <c r="E833" i="8" s="1"/>
  <c r="F833" i="8" s="1"/>
  <c r="E832" i="8" a="1"/>
  <c r="E832" i="8" s="1"/>
  <c r="F832" i="8" s="1"/>
  <c r="E831" i="8" a="1"/>
  <c r="E831" i="8" s="1"/>
  <c r="F831" i="8" s="1"/>
  <c r="E830" i="8" a="1"/>
  <c r="E830" i="8" s="1"/>
  <c r="F830" i="8" s="1"/>
  <c r="E829" i="8" a="1"/>
  <c r="E829" i="8" s="1"/>
  <c r="F829" i="8" s="1"/>
  <c r="E828" i="8" a="1"/>
  <c r="E828" i="8" s="1"/>
  <c r="F828" i="8" s="1"/>
  <c r="E827" i="8" a="1"/>
  <c r="E827" i="8" s="1"/>
  <c r="F827" i="8" s="1"/>
  <c r="E826" i="8" a="1"/>
  <c r="E826" i="8" s="1"/>
  <c r="F826" i="8" s="1"/>
  <c r="E825" i="8" a="1"/>
  <c r="E825" i="8" s="1"/>
  <c r="F825" i="8" s="1"/>
  <c r="E824" i="8" a="1"/>
  <c r="E824" i="8" s="1"/>
  <c r="F824" i="8" s="1"/>
  <c r="E823" i="8" a="1"/>
  <c r="E823" i="8" s="1"/>
  <c r="F823" i="8" s="1"/>
  <c r="E822" i="8" a="1"/>
  <c r="E822" i="8" s="1"/>
  <c r="F822" i="8" s="1"/>
  <c r="E821" i="8" a="1"/>
  <c r="E821" i="8" s="1"/>
  <c r="F821" i="8" s="1"/>
  <c r="E820" i="8" a="1"/>
  <c r="E820" i="8" s="1"/>
  <c r="F820" i="8" s="1"/>
  <c r="E819" i="8" a="1"/>
  <c r="E819" i="8" s="1"/>
  <c r="F819" i="8" s="1"/>
  <c r="E818" i="8" a="1"/>
  <c r="E818" i="8" s="1"/>
  <c r="F818" i="8" s="1"/>
  <c r="E817" i="8" a="1"/>
  <c r="E817" i="8" s="1"/>
  <c r="F817" i="8" s="1"/>
  <c r="E816" i="8" a="1"/>
  <c r="E816" i="8" s="1"/>
  <c r="F816" i="8" s="1"/>
  <c r="E815" i="8" a="1"/>
  <c r="E815" i="8" s="1"/>
  <c r="F815" i="8" s="1"/>
  <c r="E814" i="8" a="1"/>
  <c r="E814" i="8" s="1"/>
  <c r="F814" i="8" s="1"/>
  <c r="E813" i="8" a="1"/>
  <c r="E813" i="8" s="1"/>
  <c r="F813" i="8" s="1"/>
  <c r="E812" i="8" a="1"/>
  <c r="E812" i="8" s="1"/>
  <c r="F812" i="8" s="1"/>
  <c r="E811" i="8" a="1"/>
  <c r="E811" i="8" s="1"/>
  <c r="F811" i="8" s="1"/>
  <c r="E810" i="8" a="1"/>
  <c r="E810" i="8" s="1"/>
  <c r="F810" i="8" s="1"/>
  <c r="E809" i="8" a="1"/>
  <c r="E809" i="8" s="1"/>
  <c r="F809" i="8" s="1"/>
  <c r="E808" i="8" a="1"/>
  <c r="E808" i="8" s="1"/>
  <c r="F808" i="8" s="1"/>
  <c r="E807" i="8" a="1"/>
  <c r="E807" i="8" s="1"/>
  <c r="F807" i="8" s="1"/>
  <c r="E806" i="8" a="1"/>
  <c r="E806" i="8" s="1"/>
  <c r="F806" i="8" s="1"/>
  <c r="E805" i="8" a="1"/>
  <c r="E805" i="8" s="1"/>
  <c r="F805" i="8" s="1"/>
  <c r="E804" i="8" a="1"/>
  <c r="E804" i="8" s="1"/>
  <c r="F804" i="8" s="1"/>
  <c r="E803" i="8" a="1"/>
  <c r="E803" i="8" s="1"/>
  <c r="F803" i="8" s="1"/>
  <c r="E802" i="8" a="1"/>
  <c r="E802" i="8" s="1"/>
  <c r="F802" i="8" s="1"/>
  <c r="E801" i="8" a="1"/>
  <c r="E801" i="8" s="1"/>
  <c r="F801" i="8" s="1"/>
  <c r="E800" i="8" a="1"/>
  <c r="E800" i="8" s="1"/>
  <c r="F800" i="8" s="1"/>
  <c r="E799" i="8" a="1"/>
  <c r="E799" i="8" s="1"/>
  <c r="F799" i="8" s="1"/>
  <c r="E798" i="8" a="1"/>
  <c r="E798" i="8" s="1"/>
  <c r="F798" i="8" s="1"/>
  <c r="E797" i="8" a="1"/>
  <c r="E797" i="8" s="1"/>
  <c r="F797" i="8" s="1"/>
  <c r="E796" i="8" a="1"/>
  <c r="E796" i="8" s="1"/>
  <c r="F796" i="8" s="1"/>
  <c r="E795" i="8" a="1"/>
  <c r="E795" i="8" s="1"/>
  <c r="F795" i="8" s="1"/>
  <c r="E794" i="8" a="1"/>
  <c r="E794" i="8" s="1"/>
  <c r="F794" i="8" s="1"/>
  <c r="E793" i="8" a="1"/>
  <c r="E793" i="8" s="1"/>
  <c r="F793" i="8" s="1"/>
  <c r="E792" i="8" a="1"/>
  <c r="E792" i="8" s="1"/>
  <c r="F792" i="8" s="1"/>
  <c r="E791" i="8" a="1"/>
  <c r="E791" i="8" s="1"/>
  <c r="F791" i="8" s="1"/>
  <c r="E790" i="8" a="1"/>
  <c r="E790" i="8" s="1"/>
  <c r="F790" i="8" s="1"/>
  <c r="E789" i="8" a="1"/>
  <c r="E789" i="8" s="1"/>
  <c r="F789" i="8" s="1"/>
  <c r="E788" i="8" a="1"/>
  <c r="E788" i="8" s="1"/>
  <c r="F788" i="8" s="1"/>
  <c r="E787" i="8" a="1"/>
  <c r="E787" i="8" s="1"/>
  <c r="F787" i="8" s="1"/>
  <c r="E786" i="8" a="1"/>
  <c r="E786" i="8" s="1"/>
  <c r="F786" i="8" s="1"/>
  <c r="E785" i="8" a="1"/>
  <c r="E785" i="8" s="1"/>
  <c r="F785" i="8" s="1"/>
  <c r="E784" i="8" a="1"/>
  <c r="E784" i="8" s="1"/>
  <c r="F784" i="8" s="1"/>
  <c r="E783" i="8" a="1"/>
  <c r="E783" i="8" s="1"/>
  <c r="F783" i="8" s="1"/>
  <c r="E782" i="8" a="1"/>
  <c r="E782" i="8" s="1"/>
  <c r="F782" i="8" s="1"/>
  <c r="E781" i="8" a="1"/>
  <c r="E781" i="8" s="1"/>
  <c r="F781" i="8" s="1"/>
  <c r="E780" i="8" a="1"/>
  <c r="E780" i="8" s="1"/>
  <c r="F780" i="8" s="1"/>
  <c r="E779" i="8" a="1"/>
  <c r="E779" i="8" s="1"/>
  <c r="F779" i="8" s="1"/>
  <c r="E778" i="8" a="1"/>
  <c r="E778" i="8" s="1"/>
  <c r="F778" i="8" s="1"/>
  <c r="E777" i="8" a="1"/>
  <c r="E777" i="8" s="1"/>
  <c r="F777" i="8" s="1"/>
  <c r="E776" i="8" a="1"/>
  <c r="E776" i="8" s="1"/>
  <c r="F776" i="8" s="1"/>
  <c r="E775" i="8" a="1"/>
  <c r="E775" i="8" s="1"/>
  <c r="F775" i="8" s="1"/>
  <c r="E774" i="8" a="1"/>
  <c r="E774" i="8" s="1"/>
  <c r="F774" i="8" s="1"/>
  <c r="E773" i="8" a="1"/>
  <c r="E773" i="8" s="1"/>
  <c r="F773" i="8" s="1"/>
  <c r="E772" i="8" a="1"/>
  <c r="E772" i="8" s="1"/>
  <c r="F772" i="8" s="1"/>
  <c r="E771" i="8" a="1"/>
  <c r="E771" i="8" s="1"/>
  <c r="F771" i="8" s="1"/>
  <c r="E770" i="8" a="1"/>
  <c r="E770" i="8" s="1"/>
  <c r="F770" i="8" s="1"/>
  <c r="E769" i="8" a="1"/>
  <c r="E769" i="8" s="1"/>
  <c r="F769" i="8" s="1"/>
  <c r="E768" i="8" a="1"/>
  <c r="E768" i="8" s="1"/>
  <c r="F768" i="8" s="1"/>
  <c r="E767" i="8" a="1"/>
  <c r="E767" i="8" s="1"/>
  <c r="F767" i="8" s="1"/>
  <c r="E766" i="8" a="1"/>
  <c r="E766" i="8" s="1"/>
  <c r="F766" i="8" s="1"/>
  <c r="E765" i="8" a="1"/>
  <c r="E765" i="8" s="1"/>
  <c r="F765" i="8" s="1"/>
  <c r="E764" i="8" a="1"/>
  <c r="E764" i="8" s="1"/>
  <c r="F764" i="8" s="1"/>
  <c r="E763" i="8" a="1"/>
  <c r="E763" i="8" s="1"/>
  <c r="F763" i="8" s="1"/>
  <c r="E762" i="8" a="1"/>
  <c r="E762" i="8" s="1"/>
  <c r="F762" i="8" s="1"/>
  <c r="E761" i="8" a="1"/>
  <c r="E761" i="8" s="1"/>
  <c r="F761" i="8" s="1"/>
  <c r="E760" i="8" a="1"/>
  <c r="E760" i="8" s="1"/>
  <c r="F760" i="8" s="1"/>
  <c r="E759" i="8" a="1"/>
  <c r="E759" i="8" s="1"/>
  <c r="F759" i="8" s="1"/>
  <c r="E758" i="8" a="1"/>
  <c r="E758" i="8" s="1"/>
  <c r="F758" i="8" s="1"/>
  <c r="E757" i="8" a="1"/>
  <c r="E757" i="8" s="1"/>
  <c r="F757" i="8" s="1"/>
  <c r="E756" i="8" a="1"/>
  <c r="E756" i="8" s="1"/>
  <c r="F756" i="8" s="1"/>
  <c r="E755" i="8" a="1"/>
  <c r="E755" i="8" s="1"/>
  <c r="F755" i="8" s="1"/>
  <c r="E754" i="8" a="1"/>
  <c r="E754" i="8" s="1"/>
  <c r="F754" i="8" s="1"/>
  <c r="E753" i="8" a="1"/>
  <c r="E753" i="8" s="1"/>
  <c r="F753" i="8" s="1"/>
  <c r="E752" i="8" a="1"/>
  <c r="E752" i="8" s="1"/>
  <c r="F752" i="8" s="1"/>
  <c r="E751" i="8" a="1"/>
  <c r="E751" i="8" s="1"/>
  <c r="F751" i="8" s="1"/>
  <c r="E750" i="8" a="1"/>
  <c r="E750" i="8" s="1"/>
  <c r="F750" i="8" s="1"/>
  <c r="E749" i="8" a="1"/>
  <c r="E749" i="8" s="1"/>
  <c r="F749" i="8" s="1"/>
  <c r="E748" i="8" a="1"/>
  <c r="E748" i="8" s="1"/>
  <c r="F748" i="8" s="1"/>
  <c r="E747" i="8" a="1"/>
  <c r="E747" i="8" s="1"/>
  <c r="F747" i="8" s="1"/>
  <c r="E746" i="8" a="1"/>
  <c r="E746" i="8" s="1"/>
  <c r="F746" i="8" s="1"/>
  <c r="E745" i="8" a="1"/>
  <c r="E745" i="8" s="1"/>
  <c r="F745" i="8" s="1"/>
  <c r="E744" i="8" a="1"/>
  <c r="E744" i="8" s="1"/>
  <c r="F744" i="8" s="1"/>
  <c r="E743" i="8" a="1"/>
  <c r="E743" i="8" s="1"/>
  <c r="F743" i="8" s="1"/>
  <c r="E742" i="8" a="1"/>
  <c r="E742" i="8" s="1"/>
  <c r="F742" i="8" s="1"/>
  <c r="E741" i="8" a="1"/>
  <c r="E741" i="8" s="1"/>
  <c r="F741" i="8" s="1"/>
  <c r="E740" i="8" a="1"/>
  <c r="E740" i="8" s="1"/>
  <c r="F740" i="8" s="1"/>
  <c r="E739" i="8" a="1"/>
  <c r="E739" i="8" s="1"/>
  <c r="F739" i="8" s="1"/>
  <c r="E738" i="8" a="1"/>
  <c r="E738" i="8" s="1"/>
  <c r="F738" i="8" s="1"/>
  <c r="E737" i="8" a="1"/>
  <c r="E737" i="8" s="1"/>
  <c r="F737" i="8" s="1"/>
  <c r="E736" i="8" a="1"/>
  <c r="E736" i="8" s="1"/>
  <c r="F736" i="8" s="1"/>
  <c r="E735" i="8" a="1"/>
  <c r="E735" i="8" s="1"/>
  <c r="F735" i="8" s="1"/>
  <c r="E734" i="8" a="1"/>
  <c r="E734" i="8" s="1"/>
  <c r="F734" i="8" s="1"/>
  <c r="E733" i="8" a="1"/>
  <c r="E733" i="8" s="1"/>
  <c r="F733" i="8" s="1"/>
  <c r="E732" i="8" a="1"/>
  <c r="E732" i="8" s="1"/>
  <c r="F732" i="8" s="1"/>
  <c r="E731" i="8" a="1"/>
  <c r="E731" i="8" s="1"/>
  <c r="F731" i="8" s="1"/>
  <c r="E730" i="8" a="1"/>
  <c r="E730" i="8" s="1"/>
  <c r="F730" i="8" s="1"/>
  <c r="E729" i="8" a="1"/>
  <c r="E729" i="8" s="1"/>
  <c r="F729" i="8" s="1"/>
  <c r="E728" i="8" a="1"/>
  <c r="E728" i="8" s="1"/>
  <c r="F728" i="8" s="1"/>
  <c r="E727" i="8" a="1"/>
  <c r="E727" i="8" s="1"/>
  <c r="F727" i="8" s="1"/>
  <c r="E726" i="8" a="1"/>
  <c r="E726" i="8" s="1"/>
  <c r="F726" i="8" s="1"/>
  <c r="E725" i="8" a="1"/>
  <c r="E725" i="8" s="1"/>
  <c r="F725" i="8" s="1"/>
  <c r="E724" i="8" a="1"/>
  <c r="E724" i="8" s="1"/>
  <c r="F724" i="8" s="1"/>
  <c r="E723" i="8" a="1"/>
  <c r="E723" i="8" s="1"/>
  <c r="F723" i="8" s="1"/>
  <c r="E722" i="8" a="1"/>
  <c r="E722" i="8" s="1"/>
  <c r="F722" i="8" s="1"/>
  <c r="E721" i="8" a="1"/>
  <c r="E721" i="8" s="1"/>
  <c r="F721" i="8" s="1"/>
  <c r="E720" i="8" a="1"/>
  <c r="E720" i="8" s="1"/>
  <c r="F720" i="8" s="1"/>
  <c r="E719" i="8" a="1"/>
  <c r="E719" i="8" s="1"/>
  <c r="F719" i="8" s="1"/>
  <c r="E718" i="8" a="1"/>
  <c r="E718" i="8" s="1"/>
  <c r="F718" i="8" s="1"/>
  <c r="E717" i="8" a="1"/>
  <c r="E717" i="8" s="1"/>
  <c r="F717" i="8" s="1"/>
  <c r="E716" i="8" a="1"/>
  <c r="E716" i="8" s="1"/>
  <c r="F716" i="8" s="1"/>
  <c r="E715" i="8" a="1"/>
  <c r="E715" i="8" s="1"/>
  <c r="F715" i="8" s="1"/>
  <c r="E714" i="8" a="1"/>
  <c r="E714" i="8" s="1"/>
  <c r="F714" i="8" s="1"/>
  <c r="E713" i="8" a="1"/>
  <c r="E713" i="8" s="1"/>
  <c r="F713" i="8" s="1"/>
  <c r="E712" i="8" a="1"/>
  <c r="E712" i="8" s="1"/>
  <c r="F712" i="8" s="1"/>
  <c r="E711" i="8" a="1"/>
  <c r="E711" i="8" s="1"/>
  <c r="F711" i="8" s="1"/>
  <c r="E710" i="8" a="1"/>
  <c r="E710" i="8" s="1"/>
  <c r="F710" i="8" s="1"/>
  <c r="E709" i="8" a="1"/>
  <c r="E709" i="8" s="1"/>
  <c r="F709" i="8" s="1"/>
  <c r="E708" i="8" a="1"/>
  <c r="E708" i="8" s="1"/>
  <c r="F708" i="8" s="1"/>
  <c r="E707" i="8" a="1"/>
  <c r="E707" i="8" s="1"/>
  <c r="F707" i="8" s="1"/>
  <c r="E706" i="8" a="1"/>
  <c r="E706" i="8" s="1"/>
  <c r="F706" i="8" s="1"/>
  <c r="E705" i="8" a="1"/>
  <c r="E705" i="8" s="1"/>
  <c r="F705" i="8" s="1"/>
  <c r="E704" i="8" a="1"/>
  <c r="E704" i="8" s="1"/>
  <c r="F704" i="8" s="1"/>
  <c r="E703" i="8" a="1"/>
  <c r="E703" i="8" s="1"/>
  <c r="F703" i="8" s="1"/>
  <c r="E702" i="8" a="1"/>
  <c r="E702" i="8" s="1"/>
  <c r="F702" i="8" s="1"/>
  <c r="E701" i="8" a="1"/>
  <c r="E701" i="8" s="1"/>
  <c r="F701" i="8" s="1"/>
  <c r="E700" i="8" a="1"/>
  <c r="E700" i="8" s="1"/>
  <c r="F700" i="8" s="1"/>
  <c r="E699" i="8" a="1"/>
  <c r="E699" i="8" s="1"/>
  <c r="F699" i="8" s="1"/>
  <c r="E698" i="8" a="1"/>
  <c r="E698" i="8" s="1"/>
  <c r="F698" i="8" s="1"/>
  <c r="E697" i="8" a="1"/>
  <c r="E697" i="8" s="1"/>
  <c r="F697" i="8" s="1"/>
  <c r="E696" i="8" a="1"/>
  <c r="E696" i="8" s="1"/>
  <c r="F696" i="8" s="1"/>
  <c r="E695" i="8" a="1"/>
  <c r="E695" i="8" s="1"/>
  <c r="F695" i="8" s="1"/>
  <c r="E694" i="8" a="1"/>
  <c r="E694" i="8" s="1"/>
  <c r="F694" i="8" s="1"/>
  <c r="E693" i="8" a="1"/>
  <c r="E693" i="8" s="1"/>
  <c r="F693" i="8" s="1"/>
  <c r="E692" i="8" a="1"/>
  <c r="E692" i="8" s="1"/>
  <c r="F692" i="8" s="1"/>
  <c r="E691" i="8" a="1"/>
  <c r="E691" i="8" s="1"/>
  <c r="F691" i="8" s="1"/>
  <c r="E690" i="8" a="1"/>
  <c r="E690" i="8" s="1"/>
  <c r="F690" i="8" s="1"/>
  <c r="E689" i="8" a="1"/>
  <c r="E689" i="8" s="1"/>
  <c r="F689" i="8" s="1"/>
  <c r="E688" i="8" a="1"/>
  <c r="E688" i="8" s="1"/>
  <c r="F688" i="8" s="1"/>
  <c r="E687" i="8" a="1"/>
  <c r="E687" i="8" s="1"/>
  <c r="F687" i="8" s="1"/>
  <c r="E686" i="8" a="1"/>
  <c r="E686" i="8" s="1"/>
  <c r="F686" i="8" s="1"/>
  <c r="E685" i="8" a="1"/>
  <c r="E685" i="8" s="1"/>
  <c r="F685" i="8" s="1"/>
  <c r="E684" i="8" a="1"/>
  <c r="E684" i="8" s="1"/>
  <c r="F684" i="8" s="1"/>
  <c r="E683" i="8" a="1"/>
  <c r="E683" i="8" s="1"/>
  <c r="F683" i="8" s="1"/>
  <c r="E682" i="8" a="1"/>
  <c r="E682" i="8" s="1"/>
  <c r="F682" i="8" s="1"/>
  <c r="E681" i="8" a="1"/>
  <c r="E681" i="8" s="1"/>
  <c r="F681" i="8" s="1"/>
  <c r="E680" i="8" a="1"/>
  <c r="E680" i="8" s="1"/>
  <c r="F680" i="8" s="1"/>
  <c r="E679" i="8" a="1"/>
  <c r="E679" i="8" s="1"/>
  <c r="F679" i="8" s="1"/>
  <c r="E678" i="8" a="1"/>
  <c r="E678" i="8" s="1"/>
  <c r="F678" i="8" s="1"/>
  <c r="E677" i="8" a="1"/>
  <c r="E677" i="8" s="1"/>
  <c r="F677" i="8" s="1"/>
  <c r="E676" i="8" a="1"/>
  <c r="E676" i="8" s="1"/>
  <c r="F676" i="8" s="1"/>
  <c r="E675" i="8" a="1"/>
  <c r="E675" i="8" s="1"/>
  <c r="F675" i="8" s="1"/>
  <c r="E674" i="8" a="1"/>
  <c r="E674" i="8" s="1"/>
  <c r="F674" i="8" s="1"/>
  <c r="E673" i="8" a="1"/>
  <c r="E673" i="8" s="1"/>
  <c r="F673" i="8" s="1"/>
  <c r="E672" i="8" a="1"/>
  <c r="E672" i="8" s="1"/>
  <c r="F672" i="8" s="1"/>
  <c r="E671" i="8" a="1"/>
  <c r="E671" i="8" s="1"/>
  <c r="F671" i="8" s="1"/>
  <c r="E670" i="8" a="1"/>
  <c r="E670" i="8" s="1"/>
  <c r="F670" i="8" s="1"/>
  <c r="E669" i="8" a="1"/>
  <c r="E669" i="8" s="1"/>
  <c r="F669" i="8" s="1"/>
  <c r="E668" i="8" a="1"/>
  <c r="E668" i="8" s="1"/>
  <c r="F668" i="8" s="1"/>
  <c r="E667" i="8" a="1"/>
  <c r="E667" i="8" s="1"/>
  <c r="F667" i="8" s="1"/>
  <c r="E666" i="8" a="1"/>
  <c r="E666" i="8" s="1"/>
  <c r="F666" i="8" s="1"/>
  <c r="E665" i="8" a="1"/>
  <c r="E665" i="8" s="1"/>
  <c r="F665" i="8" s="1"/>
  <c r="E664" i="8" a="1"/>
  <c r="E664" i="8" s="1"/>
  <c r="F664" i="8" s="1"/>
  <c r="E663" i="8" a="1"/>
  <c r="E663" i="8" s="1"/>
  <c r="F663" i="8" s="1"/>
  <c r="E662" i="8" a="1"/>
  <c r="E662" i="8" s="1"/>
  <c r="F662" i="8" s="1"/>
  <c r="E661" i="8" a="1"/>
  <c r="E661" i="8" s="1"/>
  <c r="F661" i="8" s="1"/>
  <c r="E660" i="8" a="1"/>
  <c r="E660" i="8" s="1"/>
  <c r="F660" i="8" s="1"/>
  <c r="E659" i="8" a="1"/>
  <c r="E659" i="8" s="1"/>
  <c r="F659" i="8" s="1"/>
  <c r="E658" i="8" a="1"/>
  <c r="E658" i="8" s="1"/>
  <c r="F658" i="8" s="1"/>
  <c r="E657" i="8" a="1"/>
  <c r="E657" i="8" s="1"/>
  <c r="F657" i="8" s="1"/>
  <c r="E656" i="8" a="1"/>
  <c r="E656" i="8" s="1"/>
  <c r="F656" i="8" s="1"/>
  <c r="E655" i="8" a="1"/>
  <c r="E655" i="8" s="1"/>
  <c r="F655" i="8" s="1"/>
  <c r="E654" i="8" a="1"/>
  <c r="E654" i="8" s="1"/>
  <c r="F654" i="8" s="1"/>
  <c r="E653" i="8" a="1"/>
  <c r="E653" i="8" s="1"/>
  <c r="F653" i="8" s="1"/>
  <c r="E652" i="8" a="1"/>
  <c r="E652" i="8" s="1"/>
  <c r="F652" i="8" s="1"/>
  <c r="E651" i="8" a="1"/>
  <c r="E651" i="8" s="1"/>
  <c r="F651" i="8" s="1"/>
  <c r="E650" i="8" a="1"/>
  <c r="E650" i="8" s="1"/>
  <c r="F650" i="8" s="1"/>
  <c r="E649" i="8" a="1"/>
  <c r="E649" i="8" s="1"/>
  <c r="F649" i="8" s="1"/>
  <c r="E648" i="8" a="1"/>
  <c r="E648" i="8" s="1"/>
  <c r="F648" i="8" s="1"/>
  <c r="E647" i="8" a="1"/>
  <c r="E647" i="8" s="1"/>
  <c r="F647" i="8" s="1"/>
  <c r="E646" i="8" a="1"/>
  <c r="E646" i="8" s="1"/>
  <c r="F646" i="8" s="1"/>
  <c r="E645" i="8" a="1"/>
  <c r="E645" i="8" s="1"/>
  <c r="F645" i="8" s="1"/>
  <c r="E644" i="8" a="1"/>
  <c r="E644" i="8" s="1"/>
  <c r="F644" i="8" s="1"/>
  <c r="E643" i="8" a="1"/>
  <c r="E643" i="8" s="1"/>
  <c r="F643" i="8" s="1"/>
  <c r="E642" i="8" a="1"/>
  <c r="E642" i="8" s="1"/>
  <c r="F642" i="8" s="1"/>
  <c r="E641" i="8" a="1"/>
  <c r="E641" i="8" s="1"/>
  <c r="F641" i="8" s="1"/>
  <c r="E640" i="8" a="1"/>
  <c r="E640" i="8" s="1"/>
  <c r="F640" i="8" s="1"/>
  <c r="E639" i="8" a="1"/>
  <c r="E639" i="8" s="1"/>
  <c r="F639" i="8" s="1"/>
  <c r="E638" i="8" a="1"/>
  <c r="E638" i="8" s="1"/>
  <c r="F638" i="8" s="1"/>
  <c r="E637" i="8" a="1"/>
  <c r="E637" i="8" s="1"/>
  <c r="F637" i="8" s="1"/>
  <c r="E636" i="8" a="1"/>
  <c r="E636" i="8" s="1"/>
  <c r="F636" i="8" s="1"/>
  <c r="E635" i="8" a="1"/>
  <c r="E635" i="8" s="1"/>
  <c r="F635" i="8" s="1"/>
  <c r="E634" i="8" a="1"/>
  <c r="E634" i="8" s="1"/>
  <c r="F634" i="8" s="1"/>
  <c r="E633" i="8" a="1"/>
  <c r="E633" i="8" s="1"/>
  <c r="F633" i="8" s="1"/>
  <c r="E632" i="8" a="1"/>
  <c r="E632" i="8" s="1"/>
  <c r="F632" i="8" s="1"/>
  <c r="E631" i="8" a="1"/>
  <c r="E631" i="8" s="1"/>
  <c r="F631" i="8" s="1"/>
  <c r="E630" i="8" a="1"/>
  <c r="E630" i="8" s="1"/>
  <c r="F630" i="8" s="1"/>
  <c r="E629" i="8" a="1"/>
  <c r="E629" i="8" s="1"/>
  <c r="F629" i="8" s="1"/>
  <c r="E628" i="8" a="1"/>
  <c r="E628" i="8" s="1"/>
  <c r="F628" i="8" s="1"/>
  <c r="E627" i="8" a="1"/>
  <c r="E627" i="8" s="1"/>
  <c r="F627" i="8" s="1"/>
  <c r="E626" i="8" a="1"/>
  <c r="E626" i="8" s="1"/>
  <c r="F626" i="8" s="1"/>
  <c r="E625" i="8" a="1"/>
  <c r="E625" i="8" s="1"/>
  <c r="F625" i="8" s="1"/>
  <c r="E624" i="8" a="1"/>
  <c r="E624" i="8" s="1"/>
  <c r="F624" i="8" s="1"/>
  <c r="E623" i="8" a="1"/>
  <c r="E623" i="8" s="1"/>
  <c r="F623" i="8" s="1"/>
  <c r="E622" i="8" a="1"/>
  <c r="E622" i="8" s="1"/>
  <c r="F622" i="8" s="1"/>
  <c r="E621" i="8" a="1"/>
  <c r="E621" i="8" s="1"/>
  <c r="F621" i="8" s="1"/>
  <c r="E620" i="8" a="1"/>
  <c r="E620" i="8" s="1"/>
  <c r="F620" i="8" s="1"/>
  <c r="E619" i="8" a="1"/>
  <c r="E619" i="8" s="1"/>
  <c r="F619" i="8" s="1"/>
  <c r="E618" i="8" a="1"/>
  <c r="E618" i="8" s="1"/>
  <c r="F618" i="8" s="1"/>
  <c r="E617" i="8" a="1"/>
  <c r="E617" i="8" s="1"/>
  <c r="F617" i="8" s="1"/>
  <c r="E616" i="8" a="1"/>
  <c r="E616" i="8" s="1"/>
  <c r="F616" i="8" s="1"/>
  <c r="E615" i="8" a="1"/>
  <c r="E615" i="8" s="1"/>
  <c r="F615" i="8" s="1"/>
  <c r="E614" i="8" a="1"/>
  <c r="E614" i="8" s="1"/>
  <c r="F614" i="8" s="1"/>
  <c r="E613" i="8" a="1"/>
  <c r="E613" i="8" s="1"/>
  <c r="F613" i="8" s="1"/>
  <c r="E612" i="8" a="1"/>
  <c r="E612" i="8" s="1"/>
  <c r="F612" i="8" s="1"/>
  <c r="E611" i="8" a="1"/>
  <c r="E611" i="8" s="1"/>
  <c r="F611" i="8" s="1"/>
  <c r="E610" i="8" a="1"/>
  <c r="E610" i="8" s="1"/>
  <c r="F610" i="8" s="1"/>
  <c r="E609" i="8" a="1"/>
  <c r="E609" i="8" s="1"/>
  <c r="F609" i="8" s="1"/>
  <c r="E608" i="8" a="1"/>
  <c r="E608" i="8" s="1"/>
  <c r="F608" i="8" s="1"/>
  <c r="E607" i="8" a="1"/>
  <c r="E607" i="8" s="1"/>
  <c r="F607" i="8" s="1"/>
  <c r="E606" i="8" a="1"/>
  <c r="E606" i="8" s="1"/>
  <c r="F606" i="8" s="1"/>
  <c r="E605" i="8" a="1"/>
  <c r="E605" i="8" s="1"/>
  <c r="F605" i="8" s="1"/>
  <c r="E604" i="8" a="1"/>
  <c r="E604" i="8" s="1"/>
  <c r="F604" i="8" s="1"/>
  <c r="E603" i="8" a="1"/>
  <c r="E603" i="8" s="1"/>
  <c r="F603" i="8" s="1"/>
  <c r="E602" i="8" a="1"/>
  <c r="E602" i="8" s="1"/>
  <c r="F602" i="8" s="1"/>
  <c r="E601" i="8" a="1"/>
  <c r="E601" i="8" s="1"/>
  <c r="F601" i="8" s="1"/>
  <c r="E600" i="8" a="1"/>
  <c r="E600" i="8" s="1"/>
  <c r="F600" i="8" s="1"/>
  <c r="E599" i="8" a="1"/>
  <c r="E599" i="8" s="1"/>
  <c r="F599" i="8" s="1"/>
  <c r="E598" i="8" a="1"/>
  <c r="E598" i="8" s="1"/>
  <c r="F598" i="8" s="1"/>
  <c r="E597" i="8" a="1"/>
  <c r="E597" i="8" s="1"/>
  <c r="F597" i="8" s="1"/>
  <c r="E596" i="8" a="1"/>
  <c r="E596" i="8" s="1"/>
  <c r="F596" i="8" s="1"/>
  <c r="E595" i="8" a="1"/>
  <c r="E595" i="8" s="1"/>
  <c r="F595" i="8" s="1"/>
  <c r="E594" i="8" a="1"/>
  <c r="E594" i="8" s="1"/>
  <c r="F594" i="8" s="1"/>
  <c r="E593" i="8" a="1"/>
  <c r="E593" i="8" s="1"/>
  <c r="F593" i="8" s="1"/>
  <c r="E592" i="8" a="1"/>
  <c r="E592" i="8" s="1"/>
  <c r="F592" i="8" s="1"/>
  <c r="E591" i="8" a="1"/>
  <c r="E591" i="8" s="1"/>
  <c r="F591" i="8" s="1"/>
  <c r="E590" i="8" a="1"/>
  <c r="E590" i="8" s="1"/>
  <c r="F590" i="8" s="1"/>
  <c r="E589" i="8" a="1"/>
  <c r="E589" i="8" s="1"/>
  <c r="F589" i="8" s="1"/>
  <c r="E588" i="8" a="1"/>
  <c r="E588" i="8" s="1"/>
  <c r="F588" i="8" s="1"/>
  <c r="E587" i="8" a="1"/>
  <c r="E587" i="8" s="1"/>
  <c r="F587" i="8" s="1"/>
  <c r="E586" i="8" a="1"/>
  <c r="E586" i="8" s="1"/>
  <c r="F586" i="8" s="1"/>
  <c r="E585" i="8" a="1"/>
  <c r="E585" i="8" s="1"/>
  <c r="F585" i="8" s="1"/>
  <c r="E584" i="8" a="1"/>
  <c r="E584" i="8" s="1"/>
  <c r="F584" i="8" s="1"/>
  <c r="E583" i="8" a="1"/>
  <c r="E583" i="8" s="1"/>
  <c r="F583" i="8" s="1"/>
  <c r="E582" i="8" a="1"/>
  <c r="E582" i="8" s="1"/>
  <c r="F582" i="8" s="1"/>
  <c r="E581" i="8" a="1"/>
  <c r="E581" i="8" s="1"/>
  <c r="F581" i="8" s="1"/>
  <c r="E580" i="8" a="1"/>
  <c r="E580" i="8" s="1"/>
  <c r="F580" i="8" s="1"/>
  <c r="E579" i="8" a="1"/>
  <c r="E579" i="8" s="1"/>
  <c r="F579" i="8" s="1"/>
  <c r="E578" i="8" a="1"/>
  <c r="E578" i="8" s="1"/>
  <c r="F578" i="8" s="1"/>
  <c r="E577" i="8" a="1"/>
  <c r="E577" i="8" s="1"/>
  <c r="F577" i="8" s="1"/>
  <c r="E576" i="8" a="1"/>
  <c r="E576" i="8" s="1"/>
  <c r="F576" i="8" s="1"/>
  <c r="E575" i="8" a="1"/>
  <c r="E575" i="8" s="1"/>
  <c r="F575" i="8" s="1"/>
  <c r="E574" i="8" a="1"/>
  <c r="E574" i="8" s="1"/>
  <c r="F574" i="8" s="1"/>
  <c r="E573" i="8" a="1"/>
  <c r="E573" i="8" s="1"/>
  <c r="F573" i="8" s="1"/>
  <c r="E572" i="8" a="1"/>
  <c r="E572" i="8" s="1"/>
  <c r="F572" i="8" s="1"/>
  <c r="E571" i="8" a="1"/>
  <c r="E571" i="8" s="1"/>
  <c r="F571" i="8" s="1"/>
  <c r="E570" i="8" a="1"/>
  <c r="E570" i="8" s="1"/>
  <c r="F570" i="8" s="1"/>
  <c r="E569" i="8" a="1"/>
  <c r="E569" i="8" s="1"/>
  <c r="F569" i="8" s="1"/>
  <c r="E568" i="8" a="1"/>
  <c r="E568" i="8" s="1"/>
  <c r="F568" i="8" s="1"/>
  <c r="E567" i="8" a="1"/>
  <c r="E567" i="8" s="1"/>
  <c r="F567" i="8" s="1"/>
  <c r="E566" i="8" a="1"/>
  <c r="E566" i="8" s="1"/>
  <c r="F566" i="8" s="1"/>
  <c r="E565" i="8" a="1"/>
  <c r="E565" i="8" s="1"/>
  <c r="F565" i="8" s="1"/>
  <c r="E564" i="8" a="1"/>
  <c r="E564" i="8" s="1"/>
  <c r="F564" i="8" s="1"/>
  <c r="E563" i="8" a="1"/>
  <c r="E563" i="8" s="1"/>
  <c r="F563" i="8" s="1"/>
  <c r="E562" i="8" a="1"/>
  <c r="E562" i="8" s="1"/>
  <c r="F562" i="8" s="1"/>
  <c r="E561" i="8" a="1"/>
  <c r="E561" i="8" s="1"/>
  <c r="F561" i="8" s="1"/>
  <c r="E560" i="8" a="1"/>
  <c r="E560" i="8" s="1"/>
  <c r="F560" i="8" s="1"/>
  <c r="E559" i="8" a="1"/>
  <c r="E559" i="8" s="1"/>
  <c r="F559" i="8" s="1"/>
  <c r="E558" i="8" a="1"/>
  <c r="E558" i="8" s="1"/>
  <c r="F558" i="8" s="1"/>
  <c r="E557" i="8" a="1"/>
  <c r="E557" i="8" s="1"/>
  <c r="F557" i="8" s="1"/>
  <c r="E556" i="8" a="1"/>
  <c r="E556" i="8" s="1"/>
  <c r="F556" i="8" s="1"/>
  <c r="E555" i="8" a="1"/>
  <c r="E555" i="8" s="1"/>
  <c r="F555" i="8" s="1"/>
  <c r="E554" i="8" a="1"/>
  <c r="E554" i="8" s="1"/>
  <c r="F554" i="8" s="1"/>
  <c r="E553" i="8" a="1"/>
  <c r="E553" i="8" s="1"/>
  <c r="F553" i="8" s="1"/>
  <c r="E552" i="8" a="1"/>
  <c r="E552" i="8" s="1"/>
  <c r="F552" i="8" s="1"/>
  <c r="E551" i="8" a="1"/>
  <c r="E551" i="8" s="1"/>
  <c r="F551" i="8" s="1"/>
  <c r="E550" i="8" a="1"/>
  <c r="E550" i="8" s="1"/>
  <c r="F550" i="8" s="1"/>
  <c r="E549" i="8" a="1"/>
  <c r="E549" i="8" s="1"/>
  <c r="F549" i="8" s="1"/>
  <c r="E548" i="8" a="1"/>
  <c r="E548" i="8" s="1"/>
  <c r="F548" i="8" s="1"/>
  <c r="E547" i="8" a="1"/>
  <c r="E547" i="8" s="1"/>
  <c r="F547" i="8" s="1"/>
  <c r="E546" i="8" a="1"/>
  <c r="E546" i="8" s="1"/>
  <c r="F546" i="8" s="1"/>
  <c r="E545" i="8" a="1"/>
  <c r="E545" i="8" s="1"/>
  <c r="F545" i="8" s="1"/>
  <c r="E544" i="8" a="1"/>
  <c r="E544" i="8" s="1"/>
  <c r="F544" i="8" s="1"/>
  <c r="E543" i="8" a="1"/>
  <c r="E543" i="8" s="1"/>
  <c r="F543" i="8" s="1"/>
  <c r="E542" i="8" a="1"/>
  <c r="E542" i="8" s="1"/>
  <c r="F542" i="8" s="1"/>
  <c r="E541" i="8" a="1"/>
  <c r="E541" i="8" s="1"/>
  <c r="F541" i="8" s="1"/>
  <c r="E540" i="8" a="1"/>
  <c r="E540" i="8" s="1"/>
  <c r="F540" i="8" s="1"/>
  <c r="E539" i="8" a="1"/>
  <c r="E539" i="8" s="1"/>
  <c r="F539" i="8" s="1"/>
  <c r="E538" i="8" a="1"/>
  <c r="E538" i="8" s="1"/>
  <c r="F538" i="8" s="1"/>
  <c r="E537" i="8" a="1"/>
  <c r="E537" i="8" s="1"/>
  <c r="F537" i="8" s="1"/>
  <c r="E536" i="8" a="1"/>
  <c r="E536" i="8" s="1"/>
  <c r="F536" i="8" s="1"/>
  <c r="E535" i="8" a="1"/>
  <c r="E535" i="8" s="1"/>
  <c r="F535" i="8" s="1"/>
  <c r="E534" i="8" a="1"/>
  <c r="E534" i="8" s="1"/>
  <c r="F534" i="8" s="1"/>
  <c r="E533" i="8" a="1"/>
  <c r="E533" i="8" s="1"/>
  <c r="F533" i="8" s="1"/>
  <c r="E532" i="8" a="1"/>
  <c r="E532" i="8" s="1"/>
  <c r="F532" i="8" s="1"/>
  <c r="E531" i="8" a="1"/>
  <c r="E531" i="8" s="1"/>
  <c r="F531" i="8" s="1"/>
  <c r="E530" i="8" a="1"/>
  <c r="E530" i="8" s="1"/>
  <c r="F530" i="8" s="1"/>
  <c r="E529" i="8" a="1"/>
  <c r="E529" i="8" s="1"/>
  <c r="F529" i="8" s="1"/>
  <c r="E528" i="8" a="1"/>
  <c r="E528" i="8" s="1"/>
  <c r="F528" i="8" s="1"/>
  <c r="E527" i="8" a="1"/>
  <c r="E527" i="8" s="1"/>
  <c r="F527" i="8" s="1"/>
  <c r="E526" i="8" a="1"/>
  <c r="E526" i="8" s="1"/>
  <c r="F526" i="8" s="1"/>
  <c r="E525" i="8" a="1"/>
  <c r="E525" i="8" s="1"/>
  <c r="F525" i="8" s="1"/>
  <c r="E524" i="8" a="1"/>
  <c r="E524" i="8" s="1"/>
  <c r="F524" i="8" s="1"/>
  <c r="E523" i="8" a="1"/>
  <c r="E523" i="8" s="1"/>
  <c r="F523" i="8" s="1"/>
  <c r="E522" i="8" a="1"/>
  <c r="E522" i="8" s="1"/>
  <c r="F522" i="8" s="1"/>
  <c r="E521" i="8" a="1"/>
  <c r="E521" i="8" s="1"/>
  <c r="F521" i="8" s="1"/>
  <c r="E520" i="8" a="1"/>
  <c r="E520" i="8" s="1"/>
  <c r="F520" i="8" s="1"/>
  <c r="E519" i="8" a="1"/>
  <c r="E519" i="8" s="1"/>
  <c r="F519" i="8" s="1"/>
  <c r="E518" i="8" a="1"/>
  <c r="E518" i="8" s="1"/>
  <c r="F518" i="8" s="1"/>
  <c r="E517" i="8" a="1"/>
  <c r="E517" i="8" s="1"/>
  <c r="F517" i="8" s="1"/>
  <c r="E516" i="8" a="1"/>
  <c r="E516" i="8" s="1"/>
  <c r="F516" i="8" s="1"/>
  <c r="E515" i="8" a="1"/>
  <c r="E515" i="8" s="1"/>
  <c r="F515" i="8" s="1"/>
  <c r="E514" i="8" a="1"/>
  <c r="E514" i="8" s="1"/>
  <c r="F514" i="8" s="1"/>
  <c r="E513" i="8" a="1"/>
  <c r="E513" i="8" s="1"/>
  <c r="F513" i="8" s="1"/>
  <c r="E512" i="8" a="1"/>
  <c r="E512" i="8" s="1"/>
  <c r="F512" i="8" s="1"/>
  <c r="E511" i="8" a="1"/>
  <c r="E511" i="8" s="1"/>
  <c r="F511" i="8" s="1"/>
  <c r="E510" i="8" a="1"/>
  <c r="E510" i="8" s="1"/>
  <c r="F510" i="8" s="1"/>
  <c r="E509" i="8" a="1"/>
  <c r="E509" i="8" s="1"/>
  <c r="F509" i="8" s="1"/>
  <c r="E508" i="8" a="1"/>
  <c r="E508" i="8" s="1"/>
  <c r="F508" i="8" s="1"/>
  <c r="E507" i="8" a="1"/>
  <c r="E507" i="8" s="1"/>
  <c r="F507" i="8" s="1"/>
  <c r="E506" i="8" a="1"/>
  <c r="E506" i="8" s="1"/>
  <c r="F506" i="8" s="1"/>
  <c r="E505" i="8" a="1"/>
  <c r="E505" i="8" s="1"/>
  <c r="F505" i="8" s="1"/>
  <c r="E504" i="8" a="1"/>
  <c r="E504" i="8" s="1"/>
  <c r="F504" i="8" s="1"/>
  <c r="E503" i="8" a="1"/>
  <c r="E503" i="8" s="1"/>
  <c r="F503" i="8" s="1"/>
  <c r="E502" i="8" a="1"/>
  <c r="E502" i="8" s="1"/>
  <c r="F502" i="8" s="1"/>
  <c r="E501" i="8" a="1"/>
  <c r="E501" i="8" s="1"/>
  <c r="F501" i="8" s="1"/>
  <c r="E500" i="8" a="1"/>
  <c r="E500" i="8" s="1"/>
  <c r="F500" i="8" s="1"/>
  <c r="E499" i="8" a="1"/>
  <c r="E499" i="8" s="1"/>
  <c r="F499" i="8" s="1"/>
  <c r="E498" i="8" a="1"/>
  <c r="E498" i="8" s="1"/>
  <c r="F498" i="8" s="1"/>
  <c r="E497" i="8" a="1"/>
  <c r="E497" i="8" s="1"/>
  <c r="F497" i="8" s="1"/>
  <c r="E496" i="8" a="1"/>
  <c r="E496" i="8" s="1"/>
  <c r="F496" i="8" s="1"/>
  <c r="E495" i="8" a="1"/>
  <c r="E495" i="8" s="1"/>
  <c r="F495" i="8" s="1"/>
  <c r="E494" i="8" a="1"/>
  <c r="E494" i="8" s="1"/>
  <c r="F494" i="8" s="1"/>
  <c r="E493" i="8" a="1"/>
  <c r="E493" i="8" s="1"/>
  <c r="F493" i="8" s="1"/>
  <c r="E492" i="8" a="1"/>
  <c r="E492" i="8" s="1"/>
  <c r="F492" i="8" s="1"/>
  <c r="E491" i="8" a="1"/>
  <c r="E491" i="8" s="1"/>
  <c r="F491" i="8" s="1"/>
  <c r="E490" i="8" a="1"/>
  <c r="E490" i="8" s="1"/>
  <c r="F490" i="8" s="1"/>
  <c r="E489" i="8" a="1"/>
  <c r="E489" i="8" s="1"/>
  <c r="F489" i="8" s="1"/>
  <c r="E488" i="8" a="1"/>
  <c r="E488" i="8" s="1"/>
  <c r="F488" i="8" s="1"/>
  <c r="E487" i="8" a="1"/>
  <c r="E487" i="8" s="1"/>
  <c r="F487" i="8" s="1"/>
  <c r="E486" i="8" a="1"/>
  <c r="E486" i="8" s="1"/>
  <c r="F486" i="8" s="1"/>
  <c r="E485" i="8" a="1"/>
  <c r="E485" i="8" s="1"/>
  <c r="F485" i="8" s="1"/>
  <c r="E484" i="8" a="1"/>
  <c r="E484" i="8" s="1"/>
  <c r="F484" i="8" s="1"/>
  <c r="E483" i="8" a="1"/>
  <c r="E483" i="8" s="1"/>
  <c r="F483" i="8" s="1"/>
  <c r="E482" i="8" a="1"/>
  <c r="E482" i="8" s="1"/>
  <c r="F482" i="8" s="1"/>
  <c r="E481" i="8" a="1"/>
  <c r="E481" i="8" s="1"/>
  <c r="F481" i="8" s="1"/>
  <c r="E480" i="8" a="1"/>
  <c r="E480" i="8" s="1"/>
  <c r="F480" i="8" s="1"/>
  <c r="E479" i="8" a="1"/>
  <c r="E479" i="8" s="1"/>
  <c r="F479" i="8" s="1"/>
  <c r="E478" i="8" a="1"/>
  <c r="E478" i="8" s="1"/>
  <c r="F478" i="8" s="1"/>
  <c r="E477" i="8" a="1"/>
  <c r="E477" i="8" s="1"/>
  <c r="F477" i="8" s="1"/>
  <c r="E476" i="8" a="1"/>
  <c r="E476" i="8" s="1"/>
  <c r="F476" i="8" s="1"/>
  <c r="E475" i="8" a="1"/>
  <c r="E475" i="8" s="1"/>
  <c r="F475" i="8" s="1"/>
  <c r="E474" i="8" a="1"/>
  <c r="E474" i="8" s="1"/>
  <c r="F474" i="8" s="1"/>
  <c r="E473" i="8" a="1"/>
  <c r="E473" i="8" s="1"/>
  <c r="F473" i="8" s="1"/>
  <c r="E472" i="8" a="1"/>
  <c r="E472" i="8" s="1"/>
  <c r="F472" i="8" s="1"/>
  <c r="E471" i="8" a="1"/>
  <c r="E471" i="8" s="1"/>
  <c r="F471" i="8" s="1"/>
  <c r="E470" i="8" a="1"/>
  <c r="E470" i="8" s="1"/>
  <c r="F470" i="8" s="1"/>
  <c r="E469" i="8" a="1"/>
  <c r="E469" i="8" s="1"/>
  <c r="F469" i="8" s="1"/>
  <c r="E468" i="8" a="1"/>
  <c r="E468" i="8" s="1"/>
  <c r="F468" i="8" s="1"/>
  <c r="E467" i="8" a="1"/>
  <c r="E467" i="8" s="1"/>
  <c r="F467" i="8" s="1"/>
  <c r="E466" i="8" a="1"/>
  <c r="E466" i="8" s="1"/>
  <c r="F466" i="8" s="1"/>
  <c r="E465" i="8" a="1"/>
  <c r="E465" i="8" s="1"/>
  <c r="F465" i="8" s="1"/>
  <c r="E464" i="8" a="1"/>
  <c r="E464" i="8" s="1"/>
  <c r="F464" i="8" s="1"/>
  <c r="E463" i="8" a="1"/>
  <c r="E463" i="8" s="1"/>
  <c r="F463" i="8" s="1"/>
  <c r="E462" i="8" a="1"/>
  <c r="E462" i="8" s="1"/>
  <c r="F462" i="8" s="1"/>
  <c r="E461" i="8" a="1"/>
  <c r="E461" i="8" s="1"/>
  <c r="F461" i="8" s="1"/>
  <c r="E460" i="8" a="1"/>
  <c r="E460" i="8" s="1"/>
  <c r="F460" i="8" s="1"/>
  <c r="E459" i="8" a="1"/>
  <c r="E459" i="8" s="1"/>
  <c r="F459" i="8" s="1"/>
  <c r="E458" i="8" a="1"/>
  <c r="E458" i="8" s="1"/>
  <c r="F458" i="8" s="1"/>
  <c r="E457" i="8" a="1"/>
  <c r="E457" i="8" s="1"/>
  <c r="F457" i="8" s="1"/>
  <c r="E456" i="8" a="1"/>
  <c r="E456" i="8" s="1"/>
  <c r="F456" i="8" s="1"/>
  <c r="E455" i="8" a="1"/>
  <c r="E455" i="8" s="1"/>
  <c r="F455" i="8" s="1"/>
  <c r="E454" i="8" a="1"/>
  <c r="E454" i="8" s="1"/>
  <c r="F454" i="8" s="1"/>
  <c r="E453" i="8" a="1"/>
  <c r="E453" i="8" s="1"/>
  <c r="F453" i="8" s="1"/>
  <c r="E452" i="8" a="1"/>
  <c r="E452" i="8" s="1"/>
  <c r="F452" i="8" s="1"/>
  <c r="E451" i="8" a="1"/>
  <c r="E451" i="8" s="1"/>
  <c r="F451" i="8" s="1"/>
  <c r="E450" i="8" a="1"/>
  <c r="E450" i="8" s="1"/>
  <c r="F450" i="8" s="1"/>
  <c r="E449" i="8" a="1"/>
  <c r="E449" i="8" s="1"/>
  <c r="F449" i="8" s="1"/>
  <c r="E448" i="8" a="1"/>
  <c r="E448" i="8" s="1"/>
  <c r="F448" i="8" s="1"/>
  <c r="E447" i="8" a="1"/>
  <c r="E447" i="8" s="1"/>
  <c r="F447" i="8" s="1"/>
  <c r="E446" i="8" a="1"/>
  <c r="E446" i="8" s="1"/>
  <c r="F446" i="8" s="1"/>
  <c r="E445" i="8" a="1"/>
  <c r="E445" i="8" s="1"/>
  <c r="F445" i="8" s="1"/>
  <c r="E444" i="8" a="1"/>
  <c r="E444" i="8" s="1"/>
  <c r="F444" i="8" s="1"/>
  <c r="E443" i="8" a="1"/>
  <c r="E443" i="8" s="1"/>
  <c r="F443" i="8" s="1"/>
  <c r="E442" i="8" a="1"/>
  <c r="E442" i="8" s="1"/>
  <c r="F442" i="8" s="1"/>
  <c r="E441" i="8" a="1"/>
  <c r="E441" i="8" s="1"/>
  <c r="F441" i="8" s="1"/>
  <c r="E440" i="8" a="1"/>
  <c r="E440" i="8" s="1"/>
  <c r="F440" i="8" s="1"/>
  <c r="E439" i="8" a="1"/>
  <c r="E439" i="8" s="1"/>
  <c r="F439" i="8" s="1"/>
  <c r="E438" i="8" a="1"/>
  <c r="E438" i="8" s="1"/>
  <c r="F438" i="8" s="1"/>
  <c r="E437" i="8" a="1"/>
  <c r="E437" i="8" s="1"/>
  <c r="F437" i="8" s="1"/>
  <c r="E436" i="8" a="1"/>
  <c r="E436" i="8" s="1"/>
  <c r="F436" i="8" s="1"/>
  <c r="E435" i="8" a="1"/>
  <c r="E435" i="8" s="1"/>
  <c r="F435" i="8" s="1"/>
  <c r="E434" i="8" a="1"/>
  <c r="E434" i="8" s="1"/>
  <c r="F434" i="8" s="1"/>
  <c r="E433" i="8" a="1"/>
  <c r="E433" i="8" s="1"/>
  <c r="F433" i="8" s="1"/>
  <c r="E432" i="8" a="1"/>
  <c r="E432" i="8" s="1"/>
  <c r="F432" i="8" s="1"/>
  <c r="E431" i="8" a="1"/>
  <c r="E431" i="8" s="1"/>
  <c r="F431" i="8" s="1"/>
  <c r="E430" i="8" a="1"/>
  <c r="E430" i="8" s="1"/>
  <c r="F430" i="8" s="1"/>
  <c r="E429" i="8" a="1"/>
  <c r="E429" i="8" s="1"/>
  <c r="F429" i="8" s="1"/>
  <c r="E428" i="8" a="1"/>
  <c r="E428" i="8" s="1"/>
  <c r="F428" i="8" s="1"/>
  <c r="E427" i="8" a="1"/>
  <c r="E427" i="8" s="1"/>
  <c r="F427" i="8" s="1"/>
  <c r="E426" i="8" a="1"/>
  <c r="E426" i="8" s="1"/>
  <c r="F426" i="8" s="1"/>
  <c r="E425" i="8" a="1"/>
  <c r="E425" i="8" s="1"/>
  <c r="F425" i="8" s="1"/>
  <c r="E424" i="8" a="1"/>
  <c r="E424" i="8" s="1"/>
  <c r="F424" i="8" s="1"/>
  <c r="E423" i="8" a="1"/>
  <c r="E423" i="8" s="1"/>
  <c r="F423" i="8" s="1"/>
  <c r="E422" i="8" a="1"/>
  <c r="E422" i="8" s="1"/>
  <c r="F422" i="8" s="1"/>
  <c r="E421" i="8" a="1"/>
  <c r="E421" i="8" s="1"/>
  <c r="F421" i="8" s="1"/>
  <c r="E420" i="8" a="1"/>
  <c r="E420" i="8" s="1"/>
  <c r="F420" i="8" s="1"/>
  <c r="E419" i="8" a="1"/>
  <c r="E419" i="8" s="1"/>
  <c r="F419" i="8" s="1"/>
  <c r="E418" i="8" a="1"/>
  <c r="E418" i="8" s="1"/>
  <c r="F418" i="8" s="1"/>
  <c r="E417" i="8" a="1"/>
  <c r="E417" i="8" s="1"/>
  <c r="F417" i="8" s="1"/>
  <c r="E416" i="8" a="1"/>
  <c r="E416" i="8" s="1"/>
  <c r="F416" i="8" s="1"/>
  <c r="E415" i="8" a="1"/>
  <c r="E415" i="8" s="1"/>
  <c r="F415" i="8" s="1"/>
  <c r="E414" i="8" a="1"/>
  <c r="E414" i="8" s="1"/>
  <c r="F414" i="8" s="1"/>
  <c r="E413" i="8" a="1"/>
  <c r="E413" i="8" s="1"/>
  <c r="F413" i="8" s="1"/>
  <c r="E412" i="8" a="1"/>
  <c r="E412" i="8" s="1"/>
  <c r="F412" i="8" s="1"/>
  <c r="E411" i="8" a="1"/>
  <c r="E411" i="8" s="1"/>
  <c r="F411" i="8" s="1"/>
  <c r="E410" i="8" a="1"/>
  <c r="E410" i="8" s="1"/>
  <c r="F410" i="8" s="1"/>
  <c r="E409" i="8" a="1"/>
  <c r="E409" i="8" s="1"/>
  <c r="F409" i="8" s="1"/>
  <c r="E408" i="8" a="1"/>
  <c r="E408" i="8" s="1"/>
  <c r="F408" i="8" s="1"/>
  <c r="E407" i="8" a="1"/>
  <c r="E407" i="8" s="1"/>
  <c r="F407" i="8" s="1"/>
  <c r="E406" i="8" a="1"/>
  <c r="E406" i="8" s="1"/>
  <c r="F406" i="8" s="1"/>
  <c r="E405" i="8" a="1"/>
  <c r="E405" i="8" s="1"/>
  <c r="F405" i="8" s="1"/>
  <c r="E404" i="8" a="1"/>
  <c r="E404" i="8" s="1"/>
  <c r="F404" i="8" s="1"/>
  <c r="E403" i="8" a="1"/>
  <c r="E403" i="8" s="1"/>
  <c r="F403" i="8" s="1"/>
  <c r="E402" i="8" a="1"/>
  <c r="E402" i="8" s="1"/>
  <c r="F402" i="8" s="1"/>
  <c r="E401" i="8" a="1"/>
  <c r="E401" i="8" s="1"/>
  <c r="F401" i="8" s="1"/>
  <c r="E400" i="8" a="1"/>
  <c r="E400" i="8" s="1"/>
  <c r="F400" i="8" s="1"/>
  <c r="E399" i="8" a="1"/>
  <c r="E399" i="8" s="1"/>
  <c r="F399" i="8" s="1"/>
  <c r="E398" i="8" a="1"/>
  <c r="E398" i="8" s="1"/>
  <c r="F398" i="8" s="1"/>
  <c r="E397" i="8" a="1"/>
  <c r="E397" i="8" s="1"/>
  <c r="F397" i="8" s="1"/>
  <c r="E396" i="8" a="1"/>
  <c r="E396" i="8" s="1"/>
  <c r="F396" i="8" s="1"/>
  <c r="E395" i="8" a="1"/>
  <c r="E395" i="8" s="1"/>
  <c r="F395" i="8" s="1"/>
  <c r="E394" i="8" a="1"/>
  <c r="E394" i="8" s="1"/>
  <c r="F394" i="8" s="1"/>
  <c r="E393" i="8" a="1"/>
  <c r="E393" i="8" s="1"/>
  <c r="F393" i="8" s="1"/>
  <c r="E392" i="8" a="1"/>
  <c r="E392" i="8" s="1"/>
  <c r="F392" i="8" s="1"/>
  <c r="E391" i="8" a="1"/>
  <c r="E391" i="8" s="1"/>
  <c r="F391" i="8" s="1"/>
  <c r="E390" i="8" a="1"/>
  <c r="E390" i="8" s="1"/>
  <c r="F390" i="8" s="1"/>
  <c r="E389" i="8" a="1"/>
  <c r="E389" i="8" s="1"/>
  <c r="F389" i="8" s="1"/>
  <c r="E388" i="8" a="1"/>
  <c r="E388" i="8" s="1"/>
  <c r="F388" i="8" s="1"/>
  <c r="E387" i="8" a="1"/>
  <c r="E387" i="8" s="1"/>
  <c r="F387" i="8" s="1"/>
  <c r="E386" i="8" a="1"/>
  <c r="E386" i="8" s="1"/>
  <c r="F386" i="8" s="1"/>
  <c r="E385" i="8" a="1"/>
  <c r="E385" i="8" s="1"/>
  <c r="F385" i="8" s="1"/>
  <c r="E384" i="8" a="1"/>
  <c r="E384" i="8" s="1"/>
  <c r="F384" i="8" s="1"/>
  <c r="E383" i="8" a="1"/>
  <c r="E383" i="8" s="1"/>
  <c r="F383" i="8" s="1"/>
  <c r="E382" i="8" a="1"/>
  <c r="E382" i="8" s="1"/>
  <c r="F382" i="8" s="1"/>
  <c r="E381" i="8" a="1"/>
  <c r="E381" i="8" s="1"/>
  <c r="F381" i="8" s="1"/>
  <c r="E380" i="8" a="1"/>
  <c r="E380" i="8" s="1"/>
  <c r="F380" i="8" s="1"/>
  <c r="E379" i="8" a="1"/>
  <c r="E379" i="8" s="1"/>
  <c r="F379" i="8" s="1"/>
  <c r="E378" i="8" a="1"/>
  <c r="E378" i="8" s="1"/>
  <c r="F378" i="8" s="1"/>
  <c r="E377" i="8" a="1"/>
  <c r="E377" i="8" s="1"/>
  <c r="F377" i="8" s="1"/>
  <c r="E376" i="8" a="1"/>
  <c r="E376" i="8" s="1"/>
  <c r="F376" i="8" s="1"/>
  <c r="E375" i="8" a="1"/>
  <c r="E375" i="8" s="1"/>
  <c r="F375" i="8" s="1"/>
  <c r="E374" i="8" a="1"/>
  <c r="E374" i="8" s="1"/>
  <c r="F374" i="8" s="1"/>
  <c r="E373" i="8" a="1"/>
  <c r="E373" i="8" s="1"/>
  <c r="F373" i="8" s="1"/>
  <c r="E372" i="8" a="1"/>
  <c r="E372" i="8" s="1"/>
  <c r="F372" i="8" s="1"/>
  <c r="E371" i="8" a="1"/>
  <c r="E371" i="8" s="1"/>
  <c r="F371" i="8" s="1"/>
  <c r="E370" i="8" a="1"/>
  <c r="E370" i="8" s="1"/>
  <c r="F370" i="8" s="1"/>
  <c r="E369" i="8" a="1"/>
  <c r="E369" i="8" s="1"/>
  <c r="F369" i="8" s="1"/>
  <c r="E368" i="8" a="1"/>
  <c r="E368" i="8" s="1"/>
  <c r="F368" i="8" s="1"/>
  <c r="E367" i="8" a="1"/>
  <c r="E367" i="8" s="1"/>
  <c r="F367" i="8" s="1"/>
  <c r="E366" i="8" a="1"/>
  <c r="E366" i="8" s="1"/>
  <c r="F366" i="8" s="1"/>
  <c r="E365" i="8" a="1"/>
  <c r="E365" i="8" s="1"/>
  <c r="F365" i="8" s="1"/>
  <c r="E364" i="8" a="1"/>
  <c r="E364" i="8" s="1"/>
  <c r="F364" i="8" s="1"/>
  <c r="E363" i="8" a="1"/>
  <c r="E363" i="8" s="1"/>
  <c r="F363" i="8" s="1"/>
  <c r="E362" i="8" a="1"/>
  <c r="E362" i="8" s="1"/>
  <c r="F362" i="8" s="1"/>
  <c r="E361" i="8" a="1"/>
  <c r="E361" i="8" s="1"/>
  <c r="F361" i="8" s="1"/>
  <c r="E360" i="8" a="1"/>
  <c r="E360" i="8" s="1"/>
  <c r="F360" i="8" s="1"/>
  <c r="E359" i="8" a="1"/>
  <c r="E359" i="8" s="1"/>
  <c r="F359" i="8" s="1"/>
  <c r="E358" i="8" a="1"/>
  <c r="E358" i="8" s="1"/>
  <c r="F358" i="8" s="1"/>
  <c r="E357" i="8" a="1"/>
  <c r="E357" i="8" s="1"/>
  <c r="F357" i="8" s="1"/>
  <c r="E356" i="8" a="1"/>
  <c r="E356" i="8" s="1"/>
  <c r="F356" i="8" s="1"/>
  <c r="E355" i="8" a="1"/>
  <c r="E355" i="8" s="1"/>
  <c r="F355" i="8" s="1"/>
  <c r="E354" i="8" a="1"/>
  <c r="E354" i="8" s="1"/>
  <c r="F354" i="8" s="1"/>
  <c r="E353" i="8" a="1"/>
  <c r="E353" i="8" s="1"/>
  <c r="F353" i="8" s="1"/>
  <c r="E352" i="8" a="1"/>
  <c r="E352" i="8" s="1"/>
  <c r="F352" i="8" s="1"/>
  <c r="E351" i="8" a="1"/>
  <c r="E351" i="8" s="1"/>
  <c r="F351" i="8" s="1"/>
  <c r="E350" i="8" a="1"/>
  <c r="E350" i="8" s="1"/>
  <c r="F350" i="8" s="1"/>
  <c r="E349" i="8" a="1"/>
  <c r="E349" i="8" s="1"/>
  <c r="F349" i="8" s="1"/>
  <c r="E348" i="8" a="1"/>
  <c r="E348" i="8" s="1"/>
  <c r="F348" i="8" s="1"/>
  <c r="E347" i="8" a="1"/>
  <c r="E347" i="8" s="1"/>
  <c r="F347" i="8" s="1"/>
  <c r="E346" i="8" a="1"/>
  <c r="E346" i="8" s="1"/>
  <c r="F346" i="8" s="1"/>
  <c r="E345" i="8" a="1"/>
  <c r="E345" i="8" s="1"/>
  <c r="F345" i="8" s="1"/>
  <c r="E344" i="8" a="1"/>
  <c r="E344" i="8" s="1"/>
  <c r="F344" i="8" s="1"/>
  <c r="E343" i="8" a="1"/>
  <c r="E343" i="8" s="1"/>
  <c r="F343" i="8" s="1"/>
  <c r="E342" i="8" a="1"/>
  <c r="E342" i="8" s="1"/>
  <c r="F342" i="8" s="1"/>
  <c r="E341" i="8" a="1"/>
  <c r="E341" i="8" s="1"/>
  <c r="F341" i="8" s="1"/>
  <c r="E340" i="8" a="1"/>
  <c r="E340" i="8" s="1"/>
  <c r="F340" i="8" s="1"/>
  <c r="E339" i="8" a="1"/>
  <c r="E339" i="8" s="1"/>
  <c r="F339" i="8" s="1"/>
  <c r="E338" i="8" a="1"/>
  <c r="E338" i="8" s="1"/>
  <c r="F338" i="8" s="1"/>
  <c r="E337" i="8" a="1"/>
  <c r="E337" i="8" s="1"/>
  <c r="F337" i="8" s="1"/>
  <c r="E336" i="8" a="1"/>
  <c r="E336" i="8" s="1"/>
  <c r="F336" i="8" s="1"/>
  <c r="E335" i="8" a="1"/>
  <c r="E335" i="8" s="1"/>
  <c r="F335" i="8" s="1"/>
  <c r="E334" i="8" a="1"/>
  <c r="E334" i="8" s="1"/>
  <c r="F334" i="8" s="1"/>
  <c r="E333" i="8" a="1"/>
  <c r="E333" i="8" s="1"/>
  <c r="F333" i="8" s="1"/>
  <c r="E332" i="8" a="1"/>
  <c r="E332" i="8" s="1"/>
  <c r="F332" i="8" s="1"/>
  <c r="E331" i="8" a="1"/>
  <c r="E331" i="8" s="1"/>
  <c r="F331" i="8" s="1"/>
  <c r="E330" i="8" a="1"/>
  <c r="E330" i="8" s="1"/>
  <c r="F330" i="8" s="1"/>
  <c r="E329" i="8" a="1"/>
  <c r="E329" i="8" s="1"/>
  <c r="F329" i="8" s="1"/>
  <c r="E328" i="8" a="1"/>
  <c r="E328" i="8" s="1"/>
  <c r="F328" i="8" s="1"/>
  <c r="E327" i="8" a="1"/>
  <c r="E327" i="8" s="1"/>
  <c r="F327" i="8" s="1"/>
  <c r="E326" i="8" a="1"/>
  <c r="E326" i="8" s="1"/>
  <c r="F326" i="8" s="1"/>
  <c r="E325" i="8" a="1"/>
  <c r="E325" i="8" s="1"/>
  <c r="F325" i="8" s="1"/>
  <c r="E324" i="8" a="1"/>
  <c r="E324" i="8" s="1"/>
  <c r="F324" i="8" s="1"/>
  <c r="E323" i="8" a="1"/>
  <c r="E323" i="8" s="1"/>
  <c r="F323" i="8" s="1"/>
  <c r="E322" i="8" a="1"/>
  <c r="E322" i="8" s="1"/>
  <c r="F322" i="8" s="1"/>
  <c r="E321" i="8" a="1"/>
  <c r="E321" i="8" s="1"/>
  <c r="F321" i="8" s="1"/>
  <c r="E320" i="8" a="1"/>
  <c r="E320" i="8" s="1"/>
  <c r="F320" i="8" s="1"/>
  <c r="E319" i="8" a="1"/>
  <c r="E319" i="8" s="1"/>
  <c r="F319" i="8" s="1"/>
  <c r="E318" i="8" a="1"/>
  <c r="E318" i="8" s="1"/>
  <c r="F318" i="8" s="1"/>
  <c r="E317" i="8" a="1"/>
  <c r="E317" i="8" s="1"/>
  <c r="F317" i="8" s="1"/>
  <c r="E316" i="8" a="1"/>
  <c r="E316" i="8" s="1"/>
  <c r="F316" i="8" s="1"/>
  <c r="E315" i="8" a="1"/>
  <c r="E315" i="8" s="1"/>
  <c r="F315" i="8" s="1"/>
  <c r="E314" i="8" a="1"/>
  <c r="E314" i="8" s="1"/>
  <c r="F314" i="8" s="1"/>
  <c r="E313" i="8" a="1"/>
  <c r="E313" i="8" s="1"/>
  <c r="F313" i="8" s="1"/>
  <c r="E312" i="8" a="1"/>
  <c r="E312" i="8" s="1"/>
  <c r="F312" i="8" s="1"/>
  <c r="E311" i="8" a="1"/>
  <c r="E311" i="8" s="1"/>
  <c r="F311" i="8" s="1"/>
  <c r="E310" i="8" a="1"/>
  <c r="E310" i="8" s="1"/>
  <c r="F310" i="8" s="1"/>
  <c r="E309" i="8" a="1"/>
  <c r="E309" i="8" s="1"/>
  <c r="F309" i="8" s="1"/>
  <c r="E308" i="8" a="1"/>
  <c r="E308" i="8" s="1"/>
  <c r="F308" i="8" s="1"/>
  <c r="E307" i="8" a="1"/>
  <c r="E307" i="8" s="1"/>
  <c r="F307" i="8" s="1"/>
  <c r="E306" i="8" a="1"/>
  <c r="E306" i="8" s="1"/>
  <c r="F306" i="8" s="1"/>
  <c r="E305" i="8" a="1"/>
  <c r="E305" i="8" s="1"/>
  <c r="F305" i="8" s="1"/>
  <c r="E304" i="8" a="1"/>
  <c r="E304" i="8" s="1"/>
  <c r="F304" i="8" s="1"/>
  <c r="E303" i="8" a="1"/>
  <c r="E303" i="8" s="1"/>
  <c r="F303" i="8" s="1"/>
  <c r="E302" i="8" a="1"/>
  <c r="E302" i="8" s="1"/>
  <c r="F302" i="8" s="1"/>
  <c r="E301" i="8" a="1"/>
  <c r="E301" i="8" s="1"/>
  <c r="F301" i="8" s="1"/>
  <c r="E300" i="8" a="1"/>
  <c r="E300" i="8" s="1"/>
  <c r="F300" i="8" s="1"/>
  <c r="E299" i="8" a="1"/>
  <c r="E299" i="8" s="1"/>
  <c r="F299" i="8" s="1"/>
  <c r="E298" i="8" a="1"/>
  <c r="E298" i="8" s="1"/>
  <c r="F298" i="8" s="1"/>
  <c r="E297" i="8" a="1"/>
  <c r="E297" i="8" s="1"/>
  <c r="F297" i="8" s="1"/>
  <c r="E296" i="8" a="1"/>
  <c r="E296" i="8" s="1"/>
  <c r="F296" i="8" s="1"/>
  <c r="E295" i="8" a="1"/>
  <c r="E295" i="8" s="1"/>
  <c r="F295" i="8" s="1"/>
  <c r="E294" i="8" a="1"/>
  <c r="E294" i="8" s="1"/>
  <c r="F294" i="8" s="1"/>
  <c r="E293" i="8" a="1"/>
  <c r="E293" i="8" s="1"/>
  <c r="F293" i="8" s="1"/>
  <c r="E292" i="8" a="1"/>
  <c r="E292" i="8" s="1"/>
  <c r="F292" i="8" s="1"/>
  <c r="E291" i="8" a="1"/>
  <c r="E291" i="8" s="1"/>
  <c r="F291" i="8" s="1"/>
  <c r="E290" i="8" a="1"/>
  <c r="E290" i="8" s="1"/>
  <c r="F290" i="8" s="1"/>
  <c r="E289" i="8" a="1"/>
  <c r="E289" i="8" s="1"/>
  <c r="F289" i="8" s="1"/>
  <c r="E288" i="8" a="1"/>
  <c r="E288" i="8" s="1"/>
  <c r="F288" i="8" s="1"/>
  <c r="E287" i="8" a="1"/>
  <c r="E287" i="8" s="1"/>
  <c r="F287" i="8" s="1"/>
  <c r="E286" i="8" a="1"/>
  <c r="E286" i="8" s="1"/>
  <c r="F286" i="8" s="1"/>
  <c r="E285" i="8" a="1"/>
  <c r="E285" i="8" s="1"/>
  <c r="F285" i="8" s="1"/>
  <c r="E284" i="8" a="1"/>
  <c r="E284" i="8" s="1"/>
  <c r="F284" i="8" s="1"/>
  <c r="E283" i="8" a="1"/>
  <c r="E283" i="8" s="1"/>
  <c r="F283" i="8" s="1"/>
  <c r="E282" i="8" a="1"/>
  <c r="E282" i="8" s="1"/>
  <c r="F282" i="8" s="1"/>
  <c r="E281" i="8" a="1"/>
  <c r="E281" i="8" s="1"/>
  <c r="F281" i="8" s="1"/>
  <c r="E280" i="8" a="1"/>
  <c r="E280" i="8" s="1"/>
  <c r="F280" i="8" s="1"/>
  <c r="E279" i="8" a="1"/>
  <c r="E279" i="8" s="1"/>
  <c r="F279" i="8" s="1"/>
  <c r="E278" i="8" a="1"/>
  <c r="E278" i="8" s="1"/>
  <c r="F278" i="8" s="1"/>
  <c r="E277" i="8" a="1"/>
  <c r="E277" i="8" s="1"/>
  <c r="F277" i="8" s="1"/>
  <c r="E276" i="8" a="1"/>
  <c r="E276" i="8" s="1"/>
  <c r="F276" i="8" s="1"/>
  <c r="E275" i="8" a="1"/>
  <c r="E275" i="8" s="1"/>
  <c r="F275" i="8" s="1"/>
  <c r="E274" i="8" a="1"/>
  <c r="E274" i="8" s="1"/>
  <c r="F274" i="8" s="1"/>
  <c r="E273" i="8" a="1"/>
  <c r="E273" i="8" s="1"/>
  <c r="F273" i="8" s="1"/>
  <c r="E272" i="8" a="1"/>
  <c r="E272" i="8" s="1"/>
  <c r="F272" i="8" s="1"/>
  <c r="E271" i="8" a="1"/>
  <c r="E271" i="8" s="1"/>
  <c r="F271" i="8" s="1"/>
  <c r="E270" i="8" a="1"/>
  <c r="E270" i="8" s="1"/>
  <c r="F270" i="8" s="1"/>
  <c r="E269" i="8" a="1"/>
  <c r="E269" i="8" s="1"/>
  <c r="F269" i="8" s="1"/>
  <c r="E268" i="8" a="1"/>
  <c r="E268" i="8" s="1"/>
  <c r="F268" i="8" s="1"/>
  <c r="E267" i="8" a="1"/>
  <c r="E267" i="8" s="1"/>
  <c r="F267" i="8" s="1"/>
  <c r="E266" i="8" a="1"/>
  <c r="E266" i="8" s="1"/>
  <c r="F266" i="8" s="1"/>
  <c r="E265" i="8" a="1"/>
  <c r="E265" i="8" s="1"/>
  <c r="F265" i="8" s="1"/>
  <c r="E264" i="8" a="1"/>
  <c r="E264" i="8" s="1"/>
  <c r="F264" i="8" s="1"/>
  <c r="E263" i="8" a="1"/>
  <c r="E263" i="8" s="1"/>
  <c r="F263" i="8" s="1"/>
  <c r="E262" i="8" a="1"/>
  <c r="E262" i="8" s="1"/>
  <c r="F262" i="8" s="1"/>
  <c r="E261" i="8" a="1"/>
  <c r="E261" i="8" s="1"/>
  <c r="F261" i="8" s="1"/>
  <c r="E260" i="8" a="1"/>
  <c r="E260" i="8" s="1"/>
  <c r="F260" i="8" s="1"/>
  <c r="E259" i="8" a="1"/>
  <c r="E259" i="8" s="1"/>
  <c r="F259" i="8" s="1"/>
  <c r="E258" i="8" a="1"/>
  <c r="E258" i="8" s="1"/>
  <c r="F258" i="8" s="1"/>
  <c r="E257" i="8" a="1"/>
  <c r="E257" i="8" s="1"/>
  <c r="F257" i="8" s="1"/>
  <c r="E256" i="8" a="1"/>
  <c r="E256" i="8" s="1"/>
  <c r="F256" i="8" s="1"/>
  <c r="E255" i="8" a="1"/>
  <c r="E255" i="8" s="1"/>
  <c r="F255" i="8" s="1"/>
  <c r="E254" i="8" a="1"/>
  <c r="E254" i="8" s="1"/>
  <c r="F254" i="8" s="1"/>
  <c r="E253" i="8" a="1"/>
  <c r="E253" i="8" s="1"/>
  <c r="F253" i="8" s="1"/>
  <c r="E252" i="8" a="1"/>
  <c r="E252" i="8" s="1"/>
  <c r="F252" i="8" s="1"/>
  <c r="E251" i="8" a="1"/>
  <c r="E251" i="8" s="1"/>
  <c r="F251" i="8" s="1"/>
  <c r="E250" i="8" a="1"/>
  <c r="E250" i="8" s="1"/>
  <c r="F250" i="8" s="1"/>
  <c r="E249" i="8" a="1"/>
  <c r="E249" i="8" s="1"/>
  <c r="F249" i="8" s="1"/>
  <c r="E248" i="8" a="1"/>
  <c r="E248" i="8" s="1"/>
  <c r="F248" i="8" s="1"/>
  <c r="E247" i="8" a="1"/>
  <c r="E247" i="8" s="1"/>
  <c r="F247" i="8" s="1"/>
  <c r="E246" i="8" a="1"/>
  <c r="E246" i="8" s="1"/>
  <c r="F246" i="8" s="1"/>
  <c r="E245" i="8" a="1"/>
  <c r="E245" i="8" s="1"/>
  <c r="F245" i="8" s="1"/>
  <c r="E244" i="8" a="1"/>
  <c r="E244" i="8" s="1"/>
  <c r="F244" i="8" s="1"/>
  <c r="E243" i="8" a="1"/>
  <c r="E243" i="8" s="1"/>
  <c r="F243" i="8" s="1"/>
  <c r="E242" i="8" a="1"/>
  <c r="E242" i="8" s="1"/>
  <c r="F242" i="8" s="1"/>
  <c r="E241" i="8" a="1"/>
  <c r="E241" i="8" s="1"/>
  <c r="F241" i="8" s="1"/>
  <c r="E240" i="8" a="1"/>
  <c r="E240" i="8" s="1"/>
  <c r="F240" i="8" s="1"/>
  <c r="E239" i="8" a="1"/>
  <c r="E239" i="8" s="1"/>
  <c r="F239" i="8" s="1"/>
  <c r="E238" i="8" a="1"/>
  <c r="E238" i="8" s="1"/>
  <c r="F238" i="8" s="1"/>
  <c r="E237" i="8" a="1"/>
  <c r="E237" i="8" s="1"/>
  <c r="F237" i="8" s="1"/>
  <c r="E236" i="8" a="1"/>
  <c r="E236" i="8" s="1"/>
  <c r="F236" i="8" s="1"/>
  <c r="E235" i="8" a="1"/>
  <c r="E235" i="8" s="1"/>
  <c r="F235" i="8" s="1"/>
  <c r="E234" i="8" a="1"/>
  <c r="E234" i="8" s="1"/>
  <c r="F234" i="8" s="1"/>
  <c r="E233" i="8" a="1"/>
  <c r="E233" i="8" s="1"/>
  <c r="F233" i="8" s="1"/>
  <c r="E232" i="8" a="1"/>
  <c r="E232" i="8" s="1"/>
  <c r="F232" i="8" s="1"/>
  <c r="E231" i="8" a="1"/>
  <c r="E231" i="8" s="1"/>
  <c r="F231" i="8" s="1"/>
  <c r="E230" i="8" a="1"/>
  <c r="E230" i="8" s="1"/>
  <c r="F230" i="8" s="1"/>
  <c r="E229" i="8" a="1"/>
  <c r="E229" i="8" s="1"/>
  <c r="F229" i="8" s="1"/>
  <c r="E228" i="8" a="1"/>
  <c r="E228" i="8" s="1"/>
  <c r="F228" i="8" s="1"/>
  <c r="E227" i="8" a="1"/>
  <c r="E227" i="8" s="1"/>
  <c r="F227" i="8" s="1"/>
  <c r="E226" i="8" a="1"/>
  <c r="E226" i="8" s="1"/>
  <c r="F226" i="8" s="1"/>
  <c r="E225" i="8" a="1"/>
  <c r="E225" i="8" s="1"/>
  <c r="F225" i="8" s="1"/>
  <c r="E224" i="8" a="1"/>
  <c r="E224" i="8" s="1"/>
  <c r="F224" i="8" s="1"/>
  <c r="E223" i="8" a="1"/>
  <c r="E223" i="8" s="1"/>
  <c r="F223" i="8" s="1"/>
  <c r="E222" i="8" a="1"/>
  <c r="E222" i="8" s="1"/>
  <c r="F222" i="8" s="1"/>
  <c r="E221" i="8" a="1"/>
  <c r="E221" i="8" s="1"/>
  <c r="F221" i="8" s="1"/>
  <c r="E220" i="8" a="1"/>
  <c r="E220" i="8" s="1"/>
  <c r="F220" i="8" s="1"/>
  <c r="E219" i="8" a="1"/>
  <c r="E219" i="8" s="1"/>
  <c r="F219" i="8" s="1"/>
  <c r="E218" i="8" a="1"/>
  <c r="E218" i="8" s="1"/>
  <c r="F218" i="8" s="1"/>
  <c r="E217" i="8" a="1"/>
  <c r="E217" i="8" s="1"/>
  <c r="F217" i="8" s="1"/>
  <c r="E216" i="8" a="1"/>
  <c r="E216" i="8" s="1"/>
  <c r="F216" i="8" s="1"/>
  <c r="E215" i="8" a="1"/>
  <c r="E215" i="8" s="1"/>
  <c r="F215" i="8" s="1"/>
  <c r="E214" i="8" a="1"/>
  <c r="E214" i="8" s="1"/>
  <c r="F214" i="8" s="1"/>
  <c r="E213" i="8" a="1"/>
  <c r="E213" i="8" s="1"/>
  <c r="F213" i="8" s="1"/>
  <c r="E212" i="8" a="1"/>
  <c r="E212" i="8" s="1"/>
  <c r="F212" i="8" s="1"/>
  <c r="E211" i="8" a="1"/>
  <c r="E211" i="8" s="1"/>
  <c r="F211" i="8" s="1"/>
  <c r="E210" i="8" a="1"/>
  <c r="E210" i="8" s="1"/>
  <c r="F210" i="8" s="1"/>
  <c r="E209" i="8" a="1"/>
  <c r="E209" i="8" s="1"/>
  <c r="F209" i="8" s="1"/>
  <c r="E208" i="8" a="1"/>
  <c r="E208" i="8" s="1"/>
  <c r="F208" i="8" s="1"/>
  <c r="E207" i="8" a="1"/>
  <c r="E207" i="8" s="1"/>
  <c r="F207" i="8" s="1"/>
  <c r="E206" i="8" a="1"/>
  <c r="E206" i="8" s="1"/>
  <c r="F206" i="8" s="1"/>
  <c r="E205" i="8" a="1"/>
  <c r="E205" i="8" s="1"/>
  <c r="F205" i="8" s="1"/>
  <c r="E204" i="8" a="1"/>
  <c r="E204" i="8" s="1"/>
  <c r="F204" i="8" s="1"/>
  <c r="E203" i="8" a="1"/>
  <c r="E203" i="8" s="1"/>
  <c r="F203" i="8" s="1"/>
  <c r="E202" i="8" a="1"/>
  <c r="E202" i="8" s="1"/>
  <c r="F202" i="8" s="1"/>
  <c r="E201" i="8" a="1"/>
  <c r="E201" i="8" s="1"/>
  <c r="F201" i="8" s="1"/>
  <c r="E200" i="8" a="1"/>
  <c r="E200" i="8" s="1"/>
  <c r="F200" i="8" s="1"/>
  <c r="E199" i="8" a="1"/>
  <c r="E199" i="8" s="1"/>
  <c r="F199" i="8" s="1"/>
  <c r="E198" i="8" a="1"/>
  <c r="E198" i="8" s="1"/>
  <c r="F198" i="8" s="1"/>
  <c r="E197" i="8" a="1"/>
  <c r="E197" i="8" s="1"/>
  <c r="F197" i="8" s="1"/>
  <c r="E196" i="8" a="1"/>
  <c r="E196" i="8" s="1"/>
  <c r="F196" i="8" s="1"/>
  <c r="E195" i="8" a="1"/>
  <c r="E195" i="8" s="1"/>
  <c r="F195" i="8" s="1"/>
  <c r="E194" i="8" a="1"/>
  <c r="E194" i="8" s="1"/>
  <c r="F194" i="8" s="1"/>
  <c r="E193" i="8" a="1"/>
  <c r="E193" i="8" s="1"/>
  <c r="F193" i="8" s="1"/>
  <c r="E192" i="8" a="1"/>
  <c r="E192" i="8" s="1"/>
  <c r="F192" i="8" s="1"/>
  <c r="E191" i="8" a="1"/>
  <c r="E191" i="8" s="1"/>
  <c r="F191" i="8" s="1"/>
  <c r="E190" i="8" a="1"/>
  <c r="E190" i="8" s="1"/>
  <c r="F190" i="8" s="1"/>
  <c r="E189" i="8" a="1"/>
  <c r="E189" i="8" s="1"/>
  <c r="F189" i="8" s="1"/>
  <c r="E188" i="8" a="1"/>
  <c r="E188" i="8" s="1"/>
  <c r="F188" i="8" s="1"/>
  <c r="E187" i="8" a="1"/>
  <c r="E187" i="8" s="1"/>
  <c r="F187" i="8" s="1"/>
  <c r="E186" i="8" a="1"/>
  <c r="E186" i="8" s="1"/>
  <c r="F186" i="8" s="1"/>
  <c r="E185" i="8" a="1"/>
  <c r="E185" i="8" s="1"/>
  <c r="F185" i="8" s="1"/>
  <c r="E184" i="8" a="1"/>
  <c r="E184" i="8" s="1"/>
  <c r="F184" i="8" s="1"/>
  <c r="E183" i="8" a="1"/>
  <c r="E183" i="8" s="1"/>
  <c r="F183" i="8" s="1"/>
  <c r="E182" i="8" a="1"/>
  <c r="E182" i="8" s="1"/>
  <c r="F182" i="8" s="1"/>
  <c r="E181" i="8" a="1"/>
  <c r="E181" i="8" s="1"/>
  <c r="F181" i="8" s="1"/>
  <c r="E180" i="8" a="1"/>
  <c r="E180" i="8" s="1"/>
  <c r="F180" i="8" s="1"/>
  <c r="E179" i="8" a="1"/>
  <c r="E179" i="8" s="1"/>
  <c r="F179" i="8" s="1"/>
  <c r="E178" i="8" a="1"/>
  <c r="E178" i="8" s="1"/>
  <c r="F178" i="8" s="1"/>
  <c r="E177" i="8" a="1"/>
  <c r="E177" i="8" s="1"/>
  <c r="F177" i="8" s="1"/>
  <c r="E176" i="8" a="1"/>
  <c r="E176" i="8" s="1"/>
  <c r="F176" i="8" s="1"/>
  <c r="E175" i="8" a="1"/>
  <c r="E175" i="8" s="1"/>
  <c r="F175" i="8" s="1"/>
  <c r="E174" i="8" a="1"/>
  <c r="E174" i="8" s="1"/>
  <c r="F174" i="8" s="1"/>
  <c r="E173" i="8" a="1"/>
  <c r="E173" i="8" s="1"/>
  <c r="F173" i="8" s="1"/>
  <c r="E172" i="8" a="1"/>
  <c r="E172" i="8" s="1"/>
  <c r="F172" i="8" s="1"/>
  <c r="E171" i="8" a="1"/>
  <c r="E171" i="8" s="1"/>
  <c r="F171" i="8" s="1"/>
  <c r="E170" i="8" a="1"/>
  <c r="E170" i="8" s="1"/>
  <c r="F170" i="8" s="1"/>
  <c r="E169" i="8" a="1"/>
  <c r="E169" i="8" s="1"/>
  <c r="F169" i="8" s="1"/>
  <c r="E168" i="8" a="1"/>
  <c r="E168" i="8" s="1"/>
  <c r="F168" i="8" s="1"/>
  <c r="E167" i="8" a="1"/>
  <c r="E167" i="8" s="1"/>
  <c r="F167" i="8" s="1"/>
  <c r="E166" i="8" a="1"/>
  <c r="E166" i="8" s="1"/>
  <c r="F166" i="8" s="1"/>
  <c r="E165" i="8" a="1"/>
  <c r="E165" i="8" s="1"/>
  <c r="F165" i="8" s="1"/>
  <c r="E164" i="8" a="1"/>
  <c r="E164" i="8" s="1"/>
  <c r="F164" i="8" s="1"/>
  <c r="E163" i="8" a="1"/>
  <c r="E163" i="8" s="1"/>
  <c r="F163" i="8" s="1"/>
  <c r="E162" i="8" a="1"/>
  <c r="E162" i="8" s="1"/>
  <c r="F162" i="8" s="1"/>
  <c r="E161" i="8" a="1"/>
  <c r="E161" i="8" s="1"/>
  <c r="F161" i="8" s="1"/>
  <c r="E160" i="8" a="1"/>
  <c r="E160" i="8" s="1"/>
  <c r="F160" i="8" s="1"/>
  <c r="E159" i="8" a="1"/>
  <c r="E159" i="8" s="1"/>
  <c r="F159" i="8" s="1"/>
  <c r="E158" i="8" a="1"/>
  <c r="E158" i="8" s="1"/>
  <c r="F158" i="8" s="1"/>
  <c r="E157" i="8" a="1"/>
  <c r="E157" i="8" s="1"/>
  <c r="F157" i="8" s="1"/>
  <c r="E156" i="8" a="1"/>
  <c r="E156" i="8" s="1"/>
  <c r="F156" i="8" s="1"/>
  <c r="E155" i="8" a="1"/>
  <c r="E155" i="8" s="1"/>
  <c r="F155" i="8" s="1"/>
  <c r="E154" i="8" a="1"/>
  <c r="E154" i="8" s="1"/>
  <c r="F154" i="8" s="1"/>
  <c r="E153" i="8" a="1"/>
  <c r="E153" i="8" s="1"/>
  <c r="F153" i="8" s="1"/>
  <c r="E152" i="8" a="1"/>
  <c r="E152" i="8" s="1"/>
  <c r="F152" i="8" s="1"/>
  <c r="E151" i="8" a="1"/>
  <c r="E151" i="8" s="1"/>
  <c r="F151" i="8" s="1"/>
  <c r="E150" i="8" a="1"/>
  <c r="E150" i="8" s="1"/>
  <c r="F150" i="8" s="1"/>
  <c r="E149" i="8" a="1"/>
  <c r="E149" i="8" s="1"/>
  <c r="F149" i="8" s="1"/>
  <c r="E148" i="8" a="1"/>
  <c r="E148" i="8" s="1"/>
  <c r="F148" i="8" s="1"/>
  <c r="E147" i="8" a="1"/>
  <c r="E147" i="8" s="1"/>
  <c r="F147" i="8" s="1"/>
  <c r="E146" i="8" a="1"/>
  <c r="E146" i="8" s="1"/>
  <c r="F146" i="8" s="1"/>
  <c r="E145" i="8" a="1"/>
  <c r="E145" i="8" s="1"/>
  <c r="F145" i="8" s="1"/>
  <c r="E144" i="8" a="1"/>
  <c r="E144" i="8" s="1"/>
  <c r="F144" i="8" s="1"/>
  <c r="E143" i="8" a="1"/>
  <c r="E143" i="8" s="1"/>
  <c r="F143" i="8" s="1"/>
  <c r="E142" i="8" a="1"/>
  <c r="E142" i="8" s="1"/>
  <c r="F142" i="8" s="1"/>
  <c r="E141" i="8" a="1"/>
  <c r="E141" i="8" s="1"/>
  <c r="F141" i="8" s="1"/>
  <c r="E140" i="8" a="1"/>
  <c r="E140" i="8" s="1"/>
  <c r="F140" i="8" s="1"/>
  <c r="E139" i="8" a="1"/>
  <c r="E139" i="8" s="1"/>
  <c r="F139" i="8" s="1"/>
  <c r="E138" i="8" a="1"/>
  <c r="E138" i="8" s="1"/>
  <c r="F138" i="8" s="1"/>
  <c r="E137" i="8" a="1"/>
  <c r="E137" i="8" s="1"/>
  <c r="F137" i="8" s="1"/>
  <c r="E136" i="8" a="1"/>
  <c r="E136" i="8" s="1"/>
  <c r="F136" i="8" s="1"/>
  <c r="E135" i="8" a="1"/>
  <c r="E135" i="8" s="1"/>
  <c r="F135" i="8" s="1"/>
  <c r="E134" i="8" a="1"/>
  <c r="E134" i="8" s="1"/>
  <c r="F134" i="8" s="1"/>
  <c r="E133" i="8" a="1"/>
  <c r="E133" i="8" s="1"/>
  <c r="F133" i="8" s="1"/>
  <c r="E132" i="8" a="1"/>
  <c r="E132" i="8" s="1"/>
  <c r="F132" i="8" s="1"/>
  <c r="E131" i="8" a="1"/>
  <c r="E131" i="8" s="1"/>
  <c r="F131" i="8" s="1"/>
  <c r="E130" i="8" a="1"/>
  <c r="E130" i="8" s="1"/>
  <c r="F130" i="8" s="1"/>
  <c r="E129" i="8" a="1"/>
  <c r="E129" i="8" s="1"/>
  <c r="F129" i="8" s="1"/>
  <c r="E128" i="8" a="1"/>
  <c r="E128" i="8" s="1"/>
  <c r="F128" i="8" s="1"/>
  <c r="E127" i="8" a="1"/>
  <c r="E127" i="8" s="1"/>
  <c r="F127" i="8" s="1"/>
  <c r="E126" i="8" a="1"/>
  <c r="E126" i="8" s="1"/>
  <c r="F126" i="8" s="1"/>
  <c r="E125" i="8" a="1"/>
  <c r="E125" i="8" s="1"/>
  <c r="F125" i="8" s="1"/>
  <c r="E124" i="8" a="1"/>
  <c r="E124" i="8" s="1"/>
  <c r="F124" i="8" s="1"/>
  <c r="E123" i="8" a="1"/>
  <c r="E123" i="8" s="1"/>
  <c r="F123" i="8" s="1"/>
  <c r="E122" i="8" a="1"/>
  <c r="E122" i="8" s="1"/>
  <c r="F122" i="8" s="1"/>
  <c r="E121" i="8" a="1"/>
  <c r="E121" i="8" s="1"/>
  <c r="F121" i="8" s="1"/>
  <c r="E120" i="8" a="1"/>
  <c r="E120" i="8" s="1"/>
  <c r="F120" i="8" s="1"/>
  <c r="E119" i="8" a="1"/>
  <c r="E119" i="8" s="1"/>
  <c r="F119" i="8" s="1"/>
  <c r="E118" i="8" a="1"/>
  <c r="E118" i="8" s="1"/>
  <c r="F118" i="8" s="1"/>
  <c r="E117" i="8" a="1"/>
  <c r="E117" i="8" s="1"/>
  <c r="F117" i="8" s="1"/>
  <c r="E116" i="8" a="1"/>
  <c r="E116" i="8" s="1"/>
  <c r="F116" i="8" s="1"/>
  <c r="E115" i="8" a="1"/>
  <c r="E115" i="8" s="1"/>
  <c r="F115" i="8" s="1"/>
  <c r="E114" i="8" a="1"/>
  <c r="E114" i="8" s="1"/>
  <c r="F114" i="8" s="1"/>
  <c r="E113" i="8" a="1"/>
  <c r="E113" i="8" s="1"/>
  <c r="F113" i="8" s="1"/>
  <c r="E112" i="8" a="1"/>
  <c r="E112" i="8" s="1"/>
  <c r="F112" i="8" s="1"/>
  <c r="E111" i="8" a="1"/>
  <c r="E111" i="8" s="1"/>
  <c r="F111" i="8" s="1"/>
  <c r="E110" i="8" a="1"/>
  <c r="E110" i="8" s="1"/>
  <c r="F110" i="8" s="1"/>
  <c r="E109" i="8" a="1"/>
  <c r="E109" i="8" s="1"/>
  <c r="F109" i="8" s="1"/>
  <c r="E108" i="8" a="1"/>
  <c r="E108" i="8" s="1"/>
  <c r="F108" i="8" s="1"/>
  <c r="E107" i="8" a="1"/>
  <c r="E107" i="8" s="1"/>
  <c r="F107" i="8" s="1"/>
  <c r="E106" i="8" a="1"/>
  <c r="E106" i="8" s="1"/>
  <c r="F106" i="8" s="1"/>
  <c r="E105" i="8" a="1"/>
  <c r="E105" i="8" s="1"/>
  <c r="F105" i="8" s="1"/>
  <c r="E104" i="8" a="1"/>
  <c r="E104" i="8" s="1"/>
  <c r="F104" i="8" s="1"/>
  <c r="E103" i="8" a="1"/>
  <c r="E103" i="8" s="1"/>
  <c r="F103" i="8" s="1"/>
  <c r="E102" i="8" a="1"/>
  <c r="E102" i="8" s="1"/>
  <c r="F102" i="8" s="1"/>
  <c r="E101" i="8" a="1"/>
  <c r="E101" i="8" s="1"/>
  <c r="F101" i="8" s="1"/>
  <c r="E100" i="8" a="1"/>
  <c r="E100" i="8" s="1"/>
  <c r="F100" i="8" s="1"/>
  <c r="E99" i="8" a="1"/>
  <c r="E99" i="8" s="1"/>
  <c r="F99" i="8" s="1"/>
  <c r="E98" i="8" a="1"/>
  <c r="E98" i="8" s="1"/>
  <c r="F98" i="8" s="1"/>
  <c r="E97" i="8" a="1"/>
  <c r="E97" i="8" s="1"/>
  <c r="F97" i="8" s="1"/>
  <c r="E96" i="8" a="1"/>
  <c r="E96" i="8" s="1"/>
  <c r="F96" i="8" s="1"/>
  <c r="E95" i="8" a="1"/>
  <c r="E95" i="8" s="1"/>
  <c r="F95" i="8" s="1"/>
  <c r="E94" i="8" a="1"/>
  <c r="E94" i="8" s="1"/>
  <c r="F94" i="8" s="1"/>
  <c r="E93" i="8" a="1"/>
  <c r="E93" i="8" s="1"/>
  <c r="F93" i="8" s="1"/>
  <c r="E92" i="8" a="1"/>
  <c r="E92" i="8" s="1"/>
  <c r="F92" i="8" s="1"/>
  <c r="E91" i="8" a="1"/>
  <c r="E91" i="8" s="1"/>
  <c r="F91" i="8" s="1"/>
  <c r="E90" i="8" a="1"/>
  <c r="E90" i="8" s="1"/>
  <c r="F90" i="8" s="1"/>
  <c r="E89" i="8" a="1"/>
  <c r="E89" i="8" s="1"/>
  <c r="F89" i="8" s="1"/>
  <c r="E88" i="8" a="1"/>
  <c r="E88" i="8" s="1"/>
  <c r="F88" i="8" s="1"/>
  <c r="E87" i="8" a="1"/>
  <c r="E87" i="8" s="1"/>
  <c r="F87" i="8" s="1"/>
  <c r="E86" i="8" a="1"/>
  <c r="E86" i="8" s="1"/>
  <c r="F86" i="8" s="1"/>
  <c r="E85" i="8" a="1"/>
  <c r="E85" i="8" s="1"/>
  <c r="F85" i="8" s="1"/>
  <c r="E84" i="8" a="1"/>
  <c r="E84" i="8" s="1"/>
  <c r="F84" i="8" s="1"/>
  <c r="E83" i="8" a="1"/>
  <c r="E83" i="8" s="1"/>
  <c r="F83" i="8" s="1"/>
  <c r="E82" i="8" a="1"/>
  <c r="E82" i="8" s="1"/>
  <c r="F82" i="8" s="1"/>
  <c r="E81" i="8" a="1"/>
  <c r="E81" i="8" s="1"/>
  <c r="F81" i="8" s="1"/>
  <c r="E80" i="8" a="1"/>
  <c r="E80" i="8" s="1"/>
  <c r="F80" i="8" s="1"/>
  <c r="E79" i="8" a="1"/>
  <c r="E79" i="8" s="1"/>
  <c r="F79" i="8" s="1"/>
  <c r="E78" i="8" a="1"/>
  <c r="E78" i="8" s="1"/>
  <c r="F78" i="8" s="1"/>
  <c r="E77" i="8" a="1"/>
  <c r="E77" i="8" s="1"/>
  <c r="F77" i="8" s="1"/>
  <c r="E76" i="8" a="1"/>
  <c r="E76" i="8" s="1"/>
  <c r="F76" i="8" s="1"/>
  <c r="E75" i="8" a="1"/>
  <c r="E75" i="8" s="1"/>
  <c r="F75" i="8" s="1"/>
  <c r="E74" i="8" a="1"/>
  <c r="E74" i="8" s="1"/>
  <c r="F74" i="8" s="1"/>
  <c r="E73" i="8" a="1"/>
  <c r="E73" i="8" s="1"/>
  <c r="F73" i="8" s="1"/>
  <c r="E72" i="8" a="1"/>
  <c r="E72" i="8" s="1"/>
  <c r="F72" i="8" s="1"/>
  <c r="E71" i="8" a="1"/>
  <c r="E71" i="8" s="1"/>
  <c r="F71" i="8" s="1"/>
  <c r="E70" i="8" a="1"/>
  <c r="E70" i="8" s="1"/>
  <c r="F70" i="8" s="1"/>
  <c r="E69" i="8" a="1"/>
  <c r="E69" i="8" s="1"/>
  <c r="F69" i="8" s="1"/>
  <c r="E68" i="8" a="1"/>
  <c r="E68" i="8" s="1"/>
  <c r="F68" i="8" s="1"/>
  <c r="E67" i="8" a="1"/>
  <c r="E67" i="8" s="1"/>
  <c r="F67" i="8" s="1"/>
  <c r="E66" i="8" a="1"/>
  <c r="E66" i="8" s="1"/>
  <c r="F66" i="8" s="1"/>
  <c r="E65" i="8" a="1"/>
  <c r="E65" i="8" s="1"/>
  <c r="F65" i="8" s="1"/>
  <c r="E64" i="8" a="1"/>
  <c r="E64" i="8" s="1"/>
  <c r="F64" i="8" s="1"/>
  <c r="E63" i="8" a="1"/>
  <c r="E63" i="8" s="1"/>
  <c r="F63" i="8" s="1"/>
  <c r="E62" i="8" a="1"/>
  <c r="E62" i="8" s="1"/>
  <c r="F62" i="8" s="1"/>
  <c r="E61" i="8" a="1"/>
  <c r="E61" i="8" s="1"/>
  <c r="F61" i="8" s="1"/>
  <c r="E60" i="8" a="1"/>
  <c r="E60" i="8" s="1"/>
  <c r="F60" i="8" s="1"/>
  <c r="E59" i="8" a="1"/>
  <c r="E59" i="8" s="1"/>
  <c r="F59" i="8" s="1"/>
  <c r="E58" i="8" a="1"/>
  <c r="E58" i="8" s="1"/>
  <c r="F58" i="8" s="1"/>
  <c r="E57" i="8" a="1"/>
  <c r="E57" i="8" s="1"/>
  <c r="F57" i="8" s="1"/>
  <c r="E56" i="8" a="1"/>
  <c r="E56" i="8" s="1"/>
  <c r="F56" i="8" s="1"/>
  <c r="E55" i="8" a="1"/>
  <c r="E55" i="8" s="1"/>
  <c r="F55" i="8" s="1"/>
  <c r="E54" i="8" a="1"/>
  <c r="E54" i="8" s="1"/>
  <c r="F54" i="8" s="1"/>
  <c r="E53" i="8" a="1"/>
  <c r="E53" i="8" s="1"/>
  <c r="F53" i="8" s="1"/>
  <c r="E52" i="8" a="1"/>
  <c r="E52" i="8" s="1"/>
  <c r="F52" i="8" s="1"/>
  <c r="E51" i="8" a="1"/>
  <c r="E51" i="8" s="1"/>
  <c r="F51" i="8" s="1"/>
  <c r="E50" i="8" a="1"/>
  <c r="E50" i="8" s="1"/>
  <c r="F50" i="8" s="1"/>
  <c r="E49" i="8" a="1"/>
  <c r="E49" i="8" s="1"/>
  <c r="F49" i="8" s="1"/>
  <c r="E48" i="8" a="1"/>
  <c r="E48" i="8" s="1"/>
  <c r="F48" i="8" s="1"/>
  <c r="E47" i="8" a="1"/>
  <c r="E47" i="8" s="1"/>
  <c r="F47" i="8" s="1"/>
  <c r="E46" i="8" a="1"/>
  <c r="E46" i="8" s="1"/>
  <c r="F46" i="8" s="1"/>
  <c r="E45" i="8" a="1"/>
  <c r="E45" i="8" s="1"/>
  <c r="F45" i="8" s="1"/>
  <c r="E44" i="8" a="1"/>
  <c r="E44" i="8" s="1"/>
  <c r="F44" i="8" s="1"/>
  <c r="E43" i="8" a="1"/>
  <c r="E43" i="8" s="1"/>
  <c r="F43" i="8" s="1"/>
  <c r="E42" i="8" a="1"/>
  <c r="E42" i="8" s="1"/>
  <c r="F42" i="8" s="1"/>
  <c r="E41" i="8" a="1"/>
  <c r="E41" i="8" s="1"/>
  <c r="F41" i="8" s="1"/>
  <c r="E40" i="8" a="1"/>
  <c r="E40" i="8" s="1"/>
  <c r="F40" i="8" s="1"/>
  <c r="E39" i="8" a="1"/>
  <c r="E39" i="8" s="1"/>
  <c r="F39" i="8" s="1"/>
  <c r="E38" i="8" a="1"/>
  <c r="E38" i="8" s="1"/>
  <c r="F38" i="8" s="1"/>
  <c r="E37" i="8" a="1"/>
  <c r="E37" i="8" s="1"/>
  <c r="F37" i="8" s="1"/>
  <c r="D1000" i="8"/>
  <c r="D999" i="8"/>
  <c r="D998" i="8"/>
  <c r="D997" i="8"/>
  <c r="D996" i="8"/>
  <c r="D995" i="8"/>
  <c r="D994" i="8"/>
  <c r="D993" i="8"/>
  <c r="D992" i="8"/>
  <c r="D991" i="8"/>
  <c r="D990" i="8"/>
  <c r="D989" i="8"/>
  <c r="D988" i="8"/>
  <c r="D987" i="8"/>
  <c r="D986" i="8"/>
  <c r="D985" i="8"/>
  <c r="D984" i="8"/>
  <c r="D983" i="8"/>
  <c r="D982" i="8"/>
  <c r="D981" i="8"/>
  <c r="D980" i="8"/>
  <c r="D979" i="8"/>
  <c r="D978" i="8"/>
  <c r="D977" i="8"/>
  <c r="D976" i="8"/>
  <c r="D975" i="8"/>
  <c r="D974" i="8"/>
  <c r="D973" i="8"/>
  <c r="D972" i="8"/>
  <c r="D971" i="8"/>
  <c r="D970" i="8"/>
  <c r="D969" i="8"/>
  <c r="D968" i="8"/>
  <c r="D967" i="8"/>
  <c r="D966" i="8"/>
  <c r="D965" i="8"/>
  <c r="D964" i="8"/>
  <c r="D963" i="8"/>
  <c r="D962" i="8"/>
  <c r="D961" i="8"/>
  <c r="D960" i="8"/>
  <c r="D959" i="8"/>
  <c r="D958" i="8"/>
  <c r="D957" i="8"/>
  <c r="D956" i="8"/>
  <c r="D955" i="8"/>
  <c r="D954" i="8"/>
  <c r="D953" i="8"/>
  <c r="D952" i="8"/>
  <c r="D951" i="8"/>
  <c r="D950" i="8"/>
  <c r="D949" i="8"/>
  <c r="D948" i="8"/>
  <c r="D947" i="8"/>
  <c r="D946" i="8"/>
  <c r="D945" i="8"/>
  <c r="D944" i="8"/>
  <c r="D943" i="8"/>
  <c r="D942" i="8"/>
  <c r="D941" i="8"/>
  <c r="D940" i="8"/>
  <c r="D939" i="8"/>
  <c r="D938" i="8"/>
  <c r="D937" i="8"/>
  <c r="D936" i="8"/>
  <c r="D935" i="8"/>
  <c r="D934" i="8"/>
  <c r="D933" i="8"/>
  <c r="D932" i="8"/>
  <c r="D931" i="8"/>
  <c r="D930" i="8"/>
  <c r="D929" i="8"/>
  <c r="D928" i="8"/>
  <c r="D927" i="8"/>
  <c r="D926" i="8"/>
  <c r="D925" i="8"/>
  <c r="D924" i="8"/>
  <c r="D923" i="8"/>
  <c r="D922" i="8"/>
  <c r="D921" i="8"/>
  <c r="D920" i="8"/>
  <c r="D919" i="8"/>
  <c r="D918" i="8"/>
  <c r="D917" i="8"/>
  <c r="D916" i="8"/>
  <c r="D915" i="8"/>
  <c r="D914" i="8"/>
  <c r="D913" i="8"/>
  <c r="D912" i="8"/>
  <c r="D911" i="8"/>
  <c r="D910" i="8"/>
  <c r="D909" i="8"/>
  <c r="D908" i="8"/>
  <c r="D907" i="8"/>
  <c r="D906" i="8"/>
  <c r="D905" i="8"/>
  <c r="D904" i="8"/>
  <c r="D903" i="8"/>
  <c r="D902" i="8"/>
  <c r="D901" i="8"/>
  <c r="D900" i="8"/>
  <c r="D899" i="8"/>
  <c r="D898" i="8"/>
  <c r="D897" i="8"/>
  <c r="D896" i="8"/>
  <c r="D895" i="8"/>
  <c r="D894" i="8"/>
  <c r="D893" i="8"/>
  <c r="D892" i="8"/>
  <c r="D891" i="8"/>
  <c r="D890" i="8"/>
  <c r="D889" i="8"/>
  <c r="D888" i="8"/>
  <c r="D887" i="8"/>
  <c r="D886" i="8"/>
  <c r="D885" i="8"/>
  <c r="D884" i="8"/>
  <c r="D883" i="8"/>
  <c r="D882" i="8"/>
  <c r="D881" i="8"/>
  <c r="D880" i="8"/>
  <c r="D879" i="8"/>
  <c r="D878" i="8"/>
  <c r="D877" i="8"/>
  <c r="D876" i="8"/>
  <c r="D875" i="8"/>
  <c r="D874" i="8"/>
  <c r="D873" i="8"/>
  <c r="D872" i="8"/>
  <c r="D871" i="8"/>
  <c r="D870" i="8"/>
  <c r="D869" i="8"/>
  <c r="D868" i="8"/>
  <c r="D867" i="8"/>
  <c r="D866" i="8"/>
  <c r="D865" i="8"/>
  <c r="D864" i="8"/>
  <c r="D863" i="8"/>
  <c r="D862" i="8"/>
  <c r="D861" i="8"/>
  <c r="D860" i="8"/>
  <c r="D859" i="8"/>
  <c r="D858" i="8"/>
  <c r="D857" i="8"/>
  <c r="D856" i="8"/>
  <c r="D855" i="8"/>
  <c r="D854" i="8"/>
  <c r="D853" i="8"/>
  <c r="D852" i="8"/>
  <c r="D851" i="8"/>
  <c r="D850" i="8"/>
  <c r="D849" i="8"/>
  <c r="D848" i="8"/>
  <c r="D847" i="8"/>
  <c r="D846" i="8"/>
  <c r="D845" i="8"/>
  <c r="D844" i="8"/>
  <c r="D843" i="8"/>
  <c r="D842" i="8"/>
  <c r="D841" i="8"/>
  <c r="D840" i="8"/>
  <c r="D839" i="8"/>
  <c r="D838" i="8"/>
  <c r="D837" i="8"/>
  <c r="D836" i="8"/>
  <c r="D835" i="8"/>
  <c r="D834" i="8"/>
  <c r="D833" i="8"/>
  <c r="D832" i="8"/>
  <c r="D831" i="8"/>
  <c r="D830" i="8"/>
  <c r="D829" i="8"/>
  <c r="D828" i="8"/>
  <c r="D827" i="8"/>
  <c r="D826" i="8"/>
  <c r="D825" i="8"/>
  <c r="D824" i="8"/>
  <c r="D823" i="8"/>
  <c r="D822" i="8"/>
  <c r="D821" i="8"/>
  <c r="D820" i="8"/>
  <c r="D819" i="8"/>
  <c r="D818" i="8"/>
  <c r="D817" i="8"/>
  <c r="D816" i="8"/>
  <c r="D815" i="8"/>
  <c r="D814" i="8"/>
  <c r="D813" i="8"/>
  <c r="D812" i="8"/>
  <c r="D811" i="8"/>
  <c r="D810" i="8"/>
  <c r="D809" i="8"/>
  <c r="D808" i="8"/>
  <c r="D807" i="8"/>
  <c r="D806" i="8"/>
  <c r="D805" i="8"/>
  <c r="D804" i="8"/>
  <c r="D803" i="8"/>
  <c r="D802" i="8"/>
  <c r="D801" i="8"/>
  <c r="D800" i="8"/>
  <c r="D799" i="8"/>
  <c r="D798" i="8"/>
  <c r="D797" i="8"/>
  <c r="D796" i="8"/>
  <c r="D795" i="8"/>
  <c r="D794" i="8"/>
  <c r="D793" i="8"/>
  <c r="D792" i="8"/>
  <c r="D791" i="8"/>
  <c r="D790" i="8"/>
  <c r="D789" i="8"/>
  <c r="D788" i="8"/>
  <c r="D787" i="8"/>
  <c r="D786" i="8"/>
  <c r="D785" i="8"/>
  <c r="D784" i="8"/>
  <c r="D783" i="8"/>
  <c r="D782" i="8"/>
  <c r="D781" i="8"/>
  <c r="D780" i="8"/>
  <c r="D779" i="8"/>
  <c r="D778" i="8"/>
  <c r="D777" i="8"/>
  <c r="D776" i="8"/>
  <c r="D775" i="8"/>
  <c r="D774" i="8"/>
  <c r="D773" i="8"/>
  <c r="D772" i="8"/>
  <c r="D771" i="8"/>
  <c r="D770" i="8"/>
  <c r="D769" i="8"/>
  <c r="D768" i="8"/>
  <c r="D767" i="8"/>
  <c r="D766" i="8"/>
  <c r="D765" i="8"/>
  <c r="D764" i="8"/>
  <c r="D763" i="8"/>
  <c r="D762" i="8"/>
  <c r="D761" i="8"/>
  <c r="D760" i="8"/>
  <c r="D759" i="8"/>
  <c r="D758" i="8"/>
  <c r="D757" i="8"/>
  <c r="D756" i="8"/>
  <c r="D755" i="8"/>
  <c r="D754" i="8"/>
  <c r="D753" i="8"/>
  <c r="D752" i="8"/>
  <c r="D751" i="8"/>
  <c r="D750" i="8"/>
  <c r="D749" i="8"/>
  <c r="D748" i="8"/>
  <c r="D747" i="8"/>
  <c r="D746" i="8"/>
  <c r="D745" i="8"/>
  <c r="D744" i="8"/>
  <c r="D743" i="8"/>
  <c r="D742" i="8"/>
  <c r="D741" i="8"/>
  <c r="D740" i="8"/>
  <c r="D739" i="8"/>
  <c r="D738" i="8"/>
  <c r="D737" i="8"/>
  <c r="D736" i="8"/>
  <c r="D735" i="8"/>
  <c r="D734" i="8"/>
  <c r="D733" i="8"/>
  <c r="D732" i="8"/>
  <c r="D731" i="8"/>
  <c r="D730" i="8"/>
  <c r="D729" i="8"/>
  <c r="D728" i="8"/>
  <c r="D727" i="8"/>
  <c r="D726" i="8"/>
  <c r="D725" i="8"/>
  <c r="D724" i="8"/>
  <c r="D723" i="8"/>
  <c r="D722" i="8"/>
  <c r="D721" i="8"/>
  <c r="D720" i="8"/>
  <c r="D719" i="8"/>
  <c r="D718" i="8"/>
  <c r="D717" i="8"/>
  <c r="D716" i="8"/>
  <c r="D715" i="8"/>
  <c r="D714" i="8"/>
  <c r="D713" i="8"/>
  <c r="D712" i="8"/>
  <c r="D711" i="8"/>
  <c r="D710" i="8"/>
  <c r="D709" i="8"/>
  <c r="D708" i="8"/>
  <c r="D707" i="8"/>
  <c r="D706" i="8"/>
  <c r="D705" i="8"/>
  <c r="D704" i="8"/>
  <c r="D703" i="8"/>
  <c r="D702" i="8"/>
  <c r="D701" i="8"/>
  <c r="D700" i="8"/>
  <c r="D699" i="8"/>
  <c r="D698" i="8"/>
  <c r="D697" i="8"/>
  <c r="D696" i="8"/>
  <c r="D695" i="8"/>
  <c r="D694" i="8"/>
  <c r="D693" i="8"/>
  <c r="D692" i="8"/>
  <c r="D691" i="8"/>
  <c r="D690" i="8"/>
  <c r="D689" i="8"/>
  <c r="D688" i="8"/>
  <c r="D687" i="8"/>
  <c r="D686" i="8"/>
  <c r="D685" i="8"/>
  <c r="D684" i="8"/>
  <c r="D683" i="8"/>
  <c r="D682" i="8"/>
  <c r="D681" i="8"/>
  <c r="D680" i="8"/>
  <c r="D679" i="8"/>
  <c r="D678" i="8"/>
  <c r="D677" i="8"/>
  <c r="D676" i="8"/>
  <c r="D675" i="8"/>
  <c r="D674" i="8"/>
  <c r="D673" i="8"/>
  <c r="D672" i="8"/>
  <c r="D671" i="8"/>
  <c r="D670" i="8"/>
  <c r="D669" i="8"/>
  <c r="D668" i="8"/>
  <c r="D667" i="8"/>
  <c r="D666" i="8"/>
  <c r="D665" i="8"/>
  <c r="D664" i="8"/>
  <c r="D663" i="8"/>
  <c r="D662" i="8"/>
  <c r="D661" i="8"/>
  <c r="D660" i="8"/>
  <c r="D659" i="8"/>
  <c r="D658" i="8"/>
  <c r="D657" i="8"/>
  <c r="D656" i="8"/>
  <c r="D655" i="8"/>
  <c r="D654" i="8"/>
  <c r="D653" i="8"/>
  <c r="D652" i="8"/>
  <c r="D651" i="8"/>
  <c r="D650" i="8"/>
  <c r="D649" i="8"/>
  <c r="D648" i="8"/>
  <c r="D647" i="8"/>
  <c r="D646" i="8"/>
  <c r="D645" i="8"/>
  <c r="D644" i="8"/>
  <c r="D643" i="8"/>
  <c r="D642" i="8"/>
  <c r="D641" i="8"/>
  <c r="D640" i="8"/>
  <c r="D639" i="8"/>
  <c r="D638" i="8"/>
  <c r="D637" i="8"/>
  <c r="D636" i="8"/>
  <c r="D635" i="8"/>
  <c r="D634" i="8"/>
  <c r="D633" i="8"/>
  <c r="D632" i="8"/>
  <c r="D631" i="8"/>
  <c r="D630" i="8"/>
  <c r="D629" i="8"/>
  <c r="D628" i="8"/>
  <c r="D627" i="8"/>
  <c r="D626" i="8"/>
  <c r="D625" i="8"/>
  <c r="D624" i="8"/>
  <c r="D623" i="8"/>
  <c r="D622" i="8"/>
  <c r="D621" i="8"/>
  <c r="D620" i="8"/>
  <c r="D619" i="8"/>
  <c r="D618" i="8"/>
  <c r="D617" i="8"/>
  <c r="D616" i="8"/>
  <c r="D615" i="8"/>
  <c r="D614" i="8"/>
  <c r="D613" i="8"/>
  <c r="D612" i="8"/>
  <c r="D611" i="8"/>
  <c r="D610" i="8"/>
  <c r="D609" i="8"/>
  <c r="D608" i="8"/>
  <c r="D607" i="8"/>
  <c r="D606" i="8"/>
  <c r="D605" i="8"/>
  <c r="D604" i="8"/>
  <c r="D603" i="8"/>
  <c r="D602" i="8"/>
  <c r="D601" i="8"/>
  <c r="D600" i="8"/>
  <c r="D599" i="8"/>
  <c r="D598" i="8"/>
  <c r="D597" i="8"/>
  <c r="D596" i="8"/>
  <c r="D595" i="8"/>
  <c r="D594" i="8"/>
  <c r="D593" i="8"/>
  <c r="D592" i="8"/>
  <c r="D591" i="8"/>
  <c r="D590" i="8"/>
  <c r="D589" i="8"/>
  <c r="D588" i="8"/>
  <c r="D587" i="8"/>
  <c r="D586" i="8"/>
  <c r="D585" i="8"/>
  <c r="D584" i="8"/>
  <c r="D583" i="8"/>
  <c r="D582" i="8"/>
  <c r="D581" i="8"/>
  <c r="D580" i="8"/>
  <c r="D579" i="8"/>
  <c r="D578" i="8"/>
  <c r="D577" i="8"/>
  <c r="D576" i="8"/>
  <c r="D575" i="8"/>
  <c r="D574" i="8"/>
  <c r="D573" i="8"/>
  <c r="D572" i="8"/>
  <c r="D571" i="8"/>
  <c r="D570" i="8"/>
  <c r="D569" i="8"/>
  <c r="D568" i="8"/>
  <c r="D567" i="8"/>
  <c r="D566" i="8"/>
  <c r="D565" i="8"/>
  <c r="D564" i="8"/>
  <c r="D563" i="8"/>
  <c r="D562" i="8"/>
  <c r="D561" i="8"/>
  <c r="D560" i="8"/>
  <c r="D559" i="8"/>
  <c r="D558" i="8"/>
  <c r="D557" i="8"/>
  <c r="D556" i="8"/>
  <c r="D555" i="8"/>
  <c r="D554" i="8"/>
  <c r="D553" i="8"/>
  <c r="D552" i="8"/>
  <c r="D551" i="8"/>
  <c r="D550" i="8"/>
  <c r="D549" i="8"/>
  <c r="D548" i="8"/>
  <c r="D547" i="8"/>
  <c r="D546" i="8"/>
  <c r="D545" i="8"/>
  <c r="D544" i="8"/>
  <c r="D543" i="8"/>
  <c r="D542" i="8"/>
  <c r="D541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D523" i="8"/>
  <c r="D522" i="8"/>
  <c r="D521" i="8"/>
  <c r="D520" i="8"/>
  <c r="D519" i="8"/>
  <c r="D518" i="8"/>
  <c r="D517" i="8"/>
  <c r="D516" i="8"/>
  <c r="D515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A2" i="9" a="1"/>
  <c r="B2" i="8" l="1" a="1"/>
  <c r="B2" i="8" s="1"/>
  <c r="C2" i="8" a="1"/>
  <c r="C2" i="8" s="1"/>
  <c r="A2" i="9"/>
  <c r="A2" i="8" l="1" a="1"/>
  <c r="U10" i="8" l="1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L18" i="8"/>
  <c r="M18" i="8"/>
  <c r="N18" i="8"/>
  <c r="O18" i="8"/>
  <c r="P18" i="8"/>
  <c r="L19" i="8"/>
  <c r="M19" i="8"/>
  <c r="N19" i="8"/>
  <c r="O19" i="8"/>
  <c r="P19" i="8"/>
  <c r="L20" i="8"/>
  <c r="M20" i="8"/>
  <c r="N20" i="8"/>
  <c r="O20" i="8"/>
  <c r="P20" i="8"/>
  <c r="L21" i="8"/>
  <c r="M21" i="8"/>
  <c r="N21" i="8"/>
  <c r="O21" i="8"/>
  <c r="P21" i="8"/>
  <c r="L22" i="8"/>
  <c r="M22" i="8"/>
  <c r="N22" i="8"/>
  <c r="O22" i="8"/>
  <c r="P22" i="8"/>
  <c r="L23" i="8"/>
  <c r="M23" i="8"/>
  <c r="N23" i="8"/>
  <c r="O23" i="8"/>
  <c r="P23" i="8"/>
  <c r="L24" i="8"/>
  <c r="M24" i="8"/>
  <c r="N24" i="8"/>
  <c r="O24" i="8"/>
  <c r="P24" i="8"/>
  <c r="L25" i="8"/>
  <c r="M25" i="8"/>
  <c r="N25" i="8"/>
  <c r="O25" i="8"/>
  <c r="P25" i="8"/>
  <c r="L26" i="8"/>
  <c r="M26" i="8"/>
  <c r="N26" i="8"/>
  <c r="O26" i="8"/>
  <c r="P26" i="8"/>
  <c r="L27" i="8"/>
  <c r="M27" i="8"/>
  <c r="N27" i="8"/>
  <c r="O27" i="8"/>
  <c r="P27" i="8"/>
  <c r="L28" i="8"/>
  <c r="M28" i="8"/>
  <c r="N28" i="8"/>
  <c r="O28" i="8"/>
  <c r="P28" i="8"/>
  <c r="L29" i="8"/>
  <c r="M29" i="8"/>
  <c r="N29" i="8"/>
  <c r="O29" i="8"/>
  <c r="P29" i="8"/>
  <c r="L30" i="8"/>
  <c r="M30" i="8"/>
  <c r="N30" i="8"/>
  <c r="O30" i="8"/>
  <c r="P30" i="8"/>
  <c r="L31" i="8"/>
  <c r="M31" i="8"/>
  <c r="N31" i="8"/>
  <c r="O31" i="8"/>
  <c r="P31" i="8"/>
  <c r="L32" i="8"/>
  <c r="M32" i="8"/>
  <c r="N32" i="8"/>
  <c r="O32" i="8"/>
  <c r="P32" i="8"/>
  <c r="L33" i="8"/>
  <c r="M33" i="8"/>
  <c r="N33" i="8"/>
  <c r="O33" i="8"/>
  <c r="P33" i="8"/>
  <c r="L34" i="8"/>
  <c r="M34" i="8"/>
  <c r="N34" i="8"/>
  <c r="O34" i="8"/>
  <c r="P34" i="8"/>
  <c r="L35" i="8"/>
  <c r="M35" i="8"/>
  <c r="N35" i="8"/>
  <c r="O35" i="8"/>
  <c r="P35" i="8"/>
  <c r="L36" i="8"/>
  <c r="M36" i="8"/>
  <c r="N36" i="8"/>
  <c r="O36" i="8"/>
  <c r="P36" i="8"/>
  <c r="Q15" i="8"/>
  <c r="Q16" i="8"/>
  <c r="Q17" i="8"/>
  <c r="L15" i="8"/>
  <c r="M15" i="8"/>
  <c r="N15" i="8"/>
  <c r="O15" i="8"/>
  <c r="P15" i="8"/>
  <c r="L16" i="8"/>
  <c r="M16" i="8"/>
  <c r="N16" i="8"/>
  <c r="O16" i="8"/>
  <c r="P16" i="8"/>
  <c r="L17" i="8"/>
  <c r="M17" i="8"/>
  <c r="N17" i="8"/>
  <c r="O17" i="8"/>
  <c r="P17" i="8"/>
  <c r="Q3" i="8"/>
  <c r="Q4" i="8"/>
  <c r="Q5" i="8"/>
  <c r="Q6" i="8"/>
  <c r="Q7" i="8"/>
  <c r="Q8" i="8"/>
  <c r="Q9" i="8"/>
  <c r="Q10" i="8"/>
  <c r="Q11" i="8"/>
  <c r="Q12" i="8"/>
  <c r="Q13" i="8"/>
  <c r="Q14" i="8"/>
  <c r="L3" i="8"/>
  <c r="M3" i="8"/>
  <c r="N3" i="8"/>
  <c r="O3" i="8"/>
  <c r="P3" i="8"/>
  <c r="L4" i="8"/>
  <c r="M4" i="8"/>
  <c r="N4" i="8"/>
  <c r="O4" i="8"/>
  <c r="P4" i="8"/>
  <c r="L5" i="8"/>
  <c r="M5" i="8"/>
  <c r="N5" i="8"/>
  <c r="O5" i="8"/>
  <c r="P5" i="8"/>
  <c r="L6" i="8"/>
  <c r="M6" i="8"/>
  <c r="N6" i="8"/>
  <c r="O6" i="8"/>
  <c r="P6" i="8"/>
  <c r="L7" i="8"/>
  <c r="M7" i="8"/>
  <c r="N7" i="8"/>
  <c r="O7" i="8"/>
  <c r="P7" i="8"/>
  <c r="L8" i="8"/>
  <c r="M8" i="8"/>
  <c r="N8" i="8"/>
  <c r="O8" i="8"/>
  <c r="P8" i="8"/>
  <c r="L9" i="8"/>
  <c r="M9" i="8"/>
  <c r="N9" i="8"/>
  <c r="O9" i="8"/>
  <c r="P9" i="8"/>
  <c r="L10" i="8"/>
  <c r="M10" i="8"/>
  <c r="N10" i="8"/>
  <c r="O10" i="8"/>
  <c r="P10" i="8"/>
  <c r="L11" i="8"/>
  <c r="M11" i="8"/>
  <c r="N11" i="8"/>
  <c r="O11" i="8"/>
  <c r="P11" i="8"/>
  <c r="L12" i="8"/>
  <c r="M12" i="8"/>
  <c r="N12" i="8"/>
  <c r="O12" i="8"/>
  <c r="P12" i="8"/>
  <c r="L13" i="8"/>
  <c r="M13" i="8"/>
  <c r="N13" i="8"/>
  <c r="O13" i="8"/>
  <c r="P13" i="8"/>
  <c r="L14" i="8"/>
  <c r="M14" i="8"/>
  <c r="N14" i="8"/>
  <c r="O14" i="8"/>
  <c r="P14" i="8"/>
  <c r="A2" i="8"/>
  <c r="K28" i="8"/>
  <c r="K27" i="8"/>
  <c r="K15" i="8"/>
  <c r="K3" i="8"/>
  <c r="J25" i="8"/>
  <c r="J13" i="8"/>
  <c r="I23" i="8"/>
  <c r="G31" i="8"/>
  <c r="K26" i="8"/>
  <c r="K14" i="8"/>
  <c r="J36" i="8"/>
  <c r="J24" i="8"/>
  <c r="J12" i="8"/>
  <c r="I34" i="8"/>
  <c r="I22" i="8"/>
  <c r="H32" i="8"/>
  <c r="K25" i="8"/>
  <c r="K13" i="8"/>
  <c r="J35" i="8"/>
  <c r="J23" i="8"/>
  <c r="J11" i="8"/>
  <c r="I33" i="8"/>
  <c r="I21" i="8"/>
  <c r="I9" i="8"/>
  <c r="H31" i="8"/>
  <c r="H19" i="8"/>
  <c r="H7" i="8"/>
  <c r="G29" i="8"/>
  <c r="G17" i="8"/>
  <c r="G5" i="8"/>
  <c r="K24" i="8"/>
  <c r="K12" i="8"/>
  <c r="J34" i="8"/>
  <c r="J10" i="8"/>
  <c r="I20" i="8"/>
  <c r="I8" i="8"/>
  <c r="H18" i="8"/>
  <c r="G28" i="8"/>
  <c r="G16" i="8"/>
  <c r="G4" i="8"/>
  <c r="K11" i="8"/>
  <c r="I31" i="8"/>
  <c r="I7" i="8"/>
  <c r="H17" i="8"/>
  <c r="G27" i="8"/>
  <c r="G15" i="8"/>
  <c r="G3" i="8"/>
  <c r="J5" i="8"/>
  <c r="H25" i="8"/>
  <c r="K18" i="8"/>
  <c r="I14" i="8"/>
  <c r="G34" i="8"/>
  <c r="K29" i="8"/>
  <c r="J3" i="8"/>
  <c r="G33" i="8"/>
  <c r="J14" i="8"/>
  <c r="H22" i="8"/>
  <c r="G20" i="8"/>
  <c r="H9" i="8"/>
  <c r="I10" i="8"/>
  <c r="G18" i="8"/>
  <c r="K36" i="8"/>
  <c r="J22" i="8"/>
  <c r="I32" i="8"/>
  <c r="H30" i="8"/>
  <c r="H6" i="8"/>
  <c r="K23" i="8"/>
  <c r="J33" i="8"/>
  <c r="J21" i="8"/>
  <c r="J9" i="8"/>
  <c r="I19" i="8"/>
  <c r="H29" i="8"/>
  <c r="H5" i="8"/>
  <c r="K19" i="8"/>
  <c r="J17" i="8"/>
  <c r="I27" i="8"/>
  <c r="H13" i="8"/>
  <c r="G23" i="8"/>
  <c r="J4" i="8"/>
  <c r="H12" i="8"/>
  <c r="K17" i="8"/>
  <c r="J27" i="8"/>
  <c r="H35" i="8"/>
  <c r="G9" i="8"/>
  <c r="K4" i="8"/>
  <c r="I24" i="8"/>
  <c r="G32" i="8"/>
  <c r="H21" i="8"/>
  <c r="G30" i="8"/>
  <c r="K35" i="8"/>
  <c r="K34" i="8"/>
  <c r="K22" i="8"/>
  <c r="K10" i="8"/>
  <c r="J32" i="8"/>
  <c r="J20" i="8"/>
  <c r="J8" i="8"/>
  <c r="I30" i="8"/>
  <c r="I18" i="8"/>
  <c r="I6" i="8"/>
  <c r="H28" i="8"/>
  <c r="H16" i="8"/>
  <c r="H4" i="8"/>
  <c r="G26" i="8"/>
  <c r="G14" i="8"/>
  <c r="K8" i="8"/>
  <c r="J18" i="8"/>
  <c r="I28" i="8"/>
  <c r="I16" i="8"/>
  <c r="H14" i="8"/>
  <c r="G36" i="8"/>
  <c r="G24" i="8"/>
  <c r="G12" i="8"/>
  <c r="K7" i="8"/>
  <c r="I15" i="8"/>
  <c r="G35" i="8"/>
  <c r="K6" i="8"/>
  <c r="J16" i="8"/>
  <c r="H36" i="8"/>
  <c r="G22" i="8"/>
  <c r="K5" i="8"/>
  <c r="I13" i="8"/>
  <c r="H11" i="8"/>
  <c r="I36" i="8"/>
  <c r="H34" i="8"/>
  <c r="H33" i="8"/>
  <c r="K33" i="8"/>
  <c r="K21" i="8"/>
  <c r="K9" i="8"/>
  <c r="J31" i="8"/>
  <c r="J19" i="8"/>
  <c r="J7" i="8"/>
  <c r="I29" i="8"/>
  <c r="I17" i="8"/>
  <c r="I5" i="8"/>
  <c r="H27" i="8"/>
  <c r="H15" i="8"/>
  <c r="H3" i="8"/>
  <c r="G25" i="8"/>
  <c r="G13" i="8"/>
  <c r="K32" i="8"/>
  <c r="K20" i="8"/>
  <c r="J30" i="8"/>
  <c r="J6" i="8"/>
  <c r="I4" i="8"/>
  <c r="H26" i="8"/>
  <c r="K31" i="8"/>
  <c r="J29" i="8"/>
  <c r="I3" i="8"/>
  <c r="G11" i="8"/>
  <c r="K30" i="8"/>
  <c r="J28" i="8"/>
  <c r="I26" i="8"/>
  <c r="H24" i="8"/>
  <c r="G10" i="8"/>
  <c r="J15" i="8"/>
  <c r="H23" i="8"/>
  <c r="J26" i="8"/>
  <c r="I12" i="8"/>
  <c r="G8" i="8"/>
  <c r="I11" i="8"/>
  <c r="G19" i="8"/>
  <c r="H20" i="8"/>
  <c r="G6" i="8"/>
  <c r="I25" i="8"/>
  <c r="G21" i="8"/>
  <c r="K16" i="8"/>
  <c r="H10" i="8"/>
  <c r="I35" i="8"/>
  <c r="G7" i="8"/>
  <c r="H8" i="8"/>
  <c r="R7" i="8" l="1"/>
  <c r="T7" i="8" s="1"/>
  <c r="D7" i="8"/>
  <c r="R21" i="8"/>
  <c r="T21" i="8" s="1"/>
  <c r="D21" i="8"/>
  <c r="R6" i="8"/>
  <c r="T6" i="8" s="1"/>
  <c r="D6" i="8"/>
  <c r="R19" i="8"/>
  <c r="T19" i="8" s="1"/>
  <c r="D19" i="8"/>
  <c r="R8" i="8"/>
  <c r="T8" i="8" s="1"/>
  <c r="D8" i="8"/>
  <c r="R10" i="8"/>
  <c r="T10" i="8" s="1"/>
  <c r="D10" i="8"/>
  <c r="R11" i="8"/>
  <c r="T11" i="8" s="1"/>
  <c r="D11" i="8"/>
  <c r="R13" i="8"/>
  <c r="T13" i="8" s="1"/>
  <c r="D13" i="8"/>
  <c r="R25" i="8"/>
  <c r="T25" i="8" s="1"/>
  <c r="D25" i="8"/>
  <c r="R22" i="8"/>
  <c r="T22" i="8" s="1"/>
  <c r="D22" i="8"/>
  <c r="R35" i="8"/>
  <c r="T35" i="8" s="1"/>
  <c r="D35" i="8"/>
  <c r="R12" i="8"/>
  <c r="E12" i="8" s="1" a="1"/>
  <c r="E12" i="8" s="1"/>
  <c r="F12" i="8" s="1"/>
  <c r="D12" i="8"/>
  <c r="R24" i="8"/>
  <c r="T24" i="8" s="1"/>
  <c r="D24" i="8"/>
  <c r="R36" i="8"/>
  <c r="T36" i="8" s="1"/>
  <c r="D36" i="8"/>
  <c r="R14" i="8"/>
  <c r="E14" i="8" s="1" a="1"/>
  <c r="E14" i="8" s="1"/>
  <c r="F14" i="8" s="1"/>
  <c r="D14" i="8"/>
  <c r="R26" i="8"/>
  <c r="T26" i="8" s="1"/>
  <c r="D26" i="8"/>
  <c r="R30" i="8"/>
  <c r="T30" i="8" s="1"/>
  <c r="D30" i="8"/>
  <c r="R32" i="8"/>
  <c r="T32" i="8" s="1"/>
  <c r="D32" i="8"/>
  <c r="R9" i="8"/>
  <c r="E9" i="8" s="1" a="1"/>
  <c r="E9" i="8" s="1"/>
  <c r="F9" i="8" s="1"/>
  <c r="D9" i="8"/>
  <c r="R23" i="8"/>
  <c r="T23" i="8" s="1"/>
  <c r="D23" i="8"/>
  <c r="R18" i="8"/>
  <c r="T18" i="8" s="1"/>
  <c r="D18" i="8"/>
  <c r="R20" i="8"/>
  <c r="T20" i="8" s="1"/>
  <c r="D20" i="8"/>
  <c r="R33" i="8"/>
  <c r="T33" i="8" s="1"/>
  <c r="D33" i="8"/>
  <c r="R34" i="8"/>
  <c r="T34" i="8" s="1"/>
  <c r="D34" i="8"/>
  <c r="R3" i="8"/>
  <c r="T3" i="8" s="1"/>
  <c r="D3" i="8"/>
  <c r="R15" i="8"/>
  <c r="T15" i="8" s="1"/>
  <c r="D15" i="8"/>
  <c r="R27" i="8"/>
  <c r="T27" i="8" s="1"/>
  <c r="D27" i="8"/>
  <c r="R4" i="8"/>
  <c r="E4" i="8" s="1" a="1"/>
  <c r="E4" i="8" s="1"/>
  <c r="F4" i="8" s="1"/>
  <c r="D4" i="8"/>
  <c r="R16" i="8"/>
  <c r="T16" i="8" s="1"/>
  <c r="D16" i="8"/>
  <c r="R28" i="8"/>
  <c r="T28" i="8" s="1"/>
  <c r="D28" i="8"/>
  <c r="R5" i="8"/>
  <c r="T5" i="8" s="1"/>
  <c r="D5" i="8"/>
  <c r="R17" i="8"/>
  <c r="T17" i="8" s="1"/>
  <c r="D17" i="8"/>
  <c r="R29" i="8"/>
  <c r="T29" i="8" s="1"/>
  <c r="D29" i="8"/>
  <c r="R31" i="8"/>
  <c r="T31" i="8" s="1"/>
  <c r="D31" i="8"/>
  <c r="Q2" i="8"/>
  <c r="L2" i="8"/>
  <c r="M2" i="8"/>
  <c r="N2" i="8"/>
  <c r="O2" i="8"/>
  <c r="P2" i="8"/>
  <c r="E13" i="8" a="1"/>
  <c r="E13" i="8" s="1"/>
  <c r="F13" i="8" s="1"/>
  <c r="E17" i="8" a="1"/>
  <c r="E17" i="8" s="1"/>
  <c r="F17" i="8" s="1"/>
  <c r="E21" i="8" a="1"/>
  <c r="E21" i="8" s="1"/>
  <c r="F21" i="8" s="1"/>
  <c r="E22" i="8" a="1"/>
  <c r="E22" i="8" s="1"/>
  <c r="F22" i="8" s="1"/>
  <c r="E23" i="8" a="1"/>
  <c r="E23" i="8" s="1"/>
  <c r="F23" i="8" s="1"/>
  <c r="E24" i="8" a="1"/>
  <c r="E24" i="8" s="1"/>
  <c r="F24" i="8" s="1"/>
  <c r="E25" i="8" a="1"/>
  <c r="E25" i="8" s="1"/>
  <c r="F25" i="8" s="1"/>
  <c r="E28" i="8" a="1"/>
  <c r="E28" i="8" s="1"/>
  <c r="F28" i="8" s="1"/>
  <c r="E29" i="8" a="1"/>
  <c r="E29" i="8" s="1"/>
  <c r="F29" i="8" s="1"/>
  <c r="E30" i="8" a="1"/>
  <c r="E30" i="8" s="1"/>
  <c r="F30" i="8" s="1"/>
  <c r="E33" i="8" a="1"/>
  <c r="E33" i="8" s="1"/>
  <c r="F33" i="8" s="1"/>
  <c r="E34" i="8" a="1"/>
  <c r="E34" i="8" s="1"/>
  <c r="F34" i="8" s="1"/>
  <c r="E35" i="8" a="1"/>
  <c r="E35" i="8" s="1"/>
  <c r="F35" i="8" s="1"/>
  <c r="E36" i="8" a="1"/>
  <c r="E36" i="8" s="1"/>
  <c r="F36" i="8" s="1"/>
  <c r="J2" i="8"/>
  <c r="G2" i="8"/>
  <c r="K2" i="8"/>
  <c r="I2" i="8"/>
  <c r="H2" i="8"/>
  <c r="E7" i="8" l="1" a="1"/>
  <c r="E7" i="8" s="1"/>
  <c r="F7" i="8" s="1"/>
  <c r="E5" i="8" a="1"/>
  <c r="E5" i="8" s="1"/>
  <c r="F5" i="8" s="1"/>
  <c r="E3" i="8" a="1"/>
  <c r="E3" i="8" s="1"/>
  <c r="F3" i="8" s="1"/>
  <c r="E8" i="8" a="1"/>
  <c r="E8" i="8" s="1"/>
  <c r="F8" i="8" s="1"/>
  <c r="E16" i="8" a="1"/>
  <c r="E16" i="8" s="1"/>
  <c r="F16" i="8" s="1"/>
  <c r="E6" i="8" a="1"/>
  <c r="E6" i="8" s="1"/>
  <c r="F6" i="8" s="1"/>
  <c r="T14" i="8"/>
  <c r="E19" i="8" a="1"/>
  <c r="E19" i="8" s="1"/>
  <c r="F19" i="8" s="1"/>
  <c r="E32" i="8" a="1"/>
  <c r="E32" i="8" s="1"/>
  <c r="F32" i="8" s="1"/>
  <c r="T12" i="8"/>
  <c r="E15" i="8" a="1"/>
  <c r="E15" i="8" s="1"/>
  <c r="F15" i="8" s="1"/>
  <c r="E27" i="8" a="1"/>
  <c r="E27" i="8" s="1"/>
  <c r="F27" i="8" s="1"/>
  <c r="E10" i="8" a="1"/>
  <c r="E10" i="8" s="1"/>
  <c r="F10" i="8" s="1"/>
  <c r="T9" i="8"/>
  <c r="E11" i="8" a="1"/>
  <c r="E11" i="8" s="1"/>
  <c r="F11" i="8" s="1"/>
  <c r="E20" i="8" a="1"/>
  <c r="E20" i="8" s="1"/>
  <c r="F20" i="8" s="1"/>
  <c r="E31" i="8" a="1"/>
  <c r="E31" i="8" s="1"/>
  <c r="F31" i="8" s="1"/>
  <c r="T4" i="8"/>
  <c r="E18" i="8" a="1"/>
  <c r="E18" i="8" s="1"/>
  <c r="F18" i="8" s="1"/>
  <c r="E26" i="8" a="1"/>
  <c r="E26" i="8" s="1"/>
  <c r="F26" i="8" s="1"/>
  <c r="R2" i="8"/>
  <c r="T2" i="8" s="1"/>
  <c r="D2" i="8"/>
  <c r="E2" i="8" l="1" a="1"/>
  <c r="E2" i="8" s="1"/>
  <c r="F2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<sst xmlns="http://schemas.openxmlformats.org/spreadsheetml/2006/main" count="284" uniqueCount="151">
  <si>
    <t>TEMPLATE CONFIGURATION</t>
  </si>
  <si>
    <t>Active WO#</t>
  </si>
  <si>
    <t>Slot #</t>
  </si>
  <si>
    <t>FDC Sheet Name</t>
  </si>
  <si>
    <t>STEP 1: Enter FDC sheet names in column B (yellow cells)</t>
  </si>
  <si>
    <t>STEP 1: Enter sheet names in column B (FDC-xxx or RFI-xxx)</t>
  </si>
  <si>
    <t>STEP 2: Leave blank slots empty for unused slots</t>
  </si>
  <si>
    <t xml:space="preserve">         Column A = Qty Ordered</t>
  </si>
  <si>
    <t xml:space="preserve">         Column B = UOM</t>
  </si>
  <si>
    <t xml:space="preserve">         Column C = SI#</t>
  </si>
  <si>
    <t xml:space="preserve">         Column D = Description</t>
  </si>
  <si>
    <t>STEP 4: Go to 'Combined Output' sheet for results</t>
  </si>
  <si>
    <t>──────────────────────────────────</t>
  </si>
  <si>
    <t>⚠️ IMPORTANT NOTES:</t>
  </si>
  <si>
    <t>• Sheet names must match EXACTLY (case-sensitive)</t>
  </si>
  <si>
    <t>WO #</t>
  </si>
  <si>
    <t>• Max 10 FDC sheets supported</t>
  </si>
  <si>
    <t>• To add new items, update 'Master Items' sheet</t>
  </si>
  <si>
    <t>• Empty slots are automatically ignored</t>
  </si>
  <si>
    <t>• Supports both FDC-xxx and RFI-xxx naming formats</t>
  </si>
  <si>
    <t>📊 SHEET OVERVIEW:</t>
  </si>
  <si>
    <t>• Template Setup - Configure which FDCs to include</t>
  </si>
  <si>
    <t>• Combined Output - Auto-calculated totals</t>
  </si>
  <si>
    <t>• Master Items - All unique SI# items</t>
  </si>
  <si>
    <t>• FDC-xxx sheets - Source data sheets</t>
  </si>
  <si>
    <t>Select</t>
  </si>
  <si>
    <t>WO#</t>
  </si>
  <si>
    <t>Sheet1</t>
  </si>
  <si>
    <t>Sheet2</t>
  </si>
  <si>
    <t>Sheet3</t>
  </si>
  <si>
    <t>Sheet4</t>
  </si>
  <si>
    <t>Sheet5</t>
  </si>
  <si>
    <t>Sheet6</t>
  </si>
  <si>
    <t>Sheet7</t>
  </si>
  <si>
    <t>Sheet8</t>
  </si>
  <si>
    <t>Sheet9</t>
  </si>
  <si>
    <t>Sheet10</t>
  </si>
  <si>
    <t>☑</t>
  </si>
  <si>
    <t>FDC-488</t>
  </si>
  <si>
    <t>FDC-653</t>
  </si>
  <si>
    <t>FDC-655</t>
  </si>
  <si>
    <t>FDC-688</t>
  </si>
  <si>
    <t>FDC-565</t>
  </si>
  <si>
    <t>FDC-687</t>
  </si>
  <si>
    <t>SI#</t>
  </si>
  <si>
    <t>Description</t>
  </si>
  <si>
    <t>UOM</t>
  </si>
  <si>
    <t>Sources</t>
  </si>
  <si>
    <t>Comments</t>
  </si>
  <si>
    <t>Rev</t>
  </si>
  <si>
    <t>Q_FDC1</t>
  </si>
  <si>
    <t>Q_FDC2</t>
  </si>
  <si>
    <t>Q_FDC3</t>
  </si>
  <si>
    <t>Q_FDC4</t>
  </si>
  <si>
    <t>Q_FDC5</t>
  </si>
  <si>
    <t>Src1_Num</t>
  </si>
  <si>
    <t>Src2_Num</t>
  </si>
  <si>
    <t>Src3_Num</t>
  </si>
  <si>
    <t>Src4_Num</t>
  </si>
  <si>
    <t>Src5_Num</t>
  </si>
  <si>
    <t>Component ID</t>
  </si>
  <si>
    <t>Add QTY</t>
  </si>
  <si>
    <t>Existing QTY</t>
  </si>
  <si>
    <t xml:space="preserve">Component QTY </t>
  </si>
  <si>
    <t>Status</t>
  </si>
  <si>
    <t>☐</t>
  </si>
  <si>
    <t>Qty Ordered</t>
  </si>
  <si>
    <t>EA</t>
  </si>
  <si>
    <t>WASHER,SPRING,3/4",DOUBLE HELIX</t>
  </si>
  <si>
    <t>WASHER,SQ,CURVED,3"X3", FOR 3/4 BOLTS</t>
  </si>
  <si>
    <t>ANCHOR,SCREW,14",1 HELIX,TUB HUB,10000LB</t>
  </si>
  <si>
    <t>BOLT,MACH,3/4" X 14",XARM,GALV</t>
  </si>
  <si>
    <t>GRIP,GUY,DE,7/16",7STR,UTILITY GRD,GREEN</t>
  </si>
  <si>
    <t>GUY,DE,AUTO,STRANDVISE,7/16" UG/AW,SB</t>
  </si>
  <si>
    <t>INSUL,GUY,FBRGL,21K, 36",THIMBLE-CLEVIS</t>
  </si>
  <si>
    <t>MARKER,GUY,PLSTC,8',YELLOW,1/4"-1/2" GUY</t>
  </si>
  <si>
    <t>ROD,ANCHOR,1"X7',SCREW,GALVANIZED</t>
  </si>
  <si>
    <t>SHACKLE,ANCHOR,GALV,3/4"PIN,3-1/2",60k</t>
  </si>
  <si>
    <t>TEE,DE,ROUND,FORGED,GALV,1-1/16" MTG^</t>
  </si>
  <si>
    <t>WASHER,LOCK,SPLIT,3/4",GALVANIZED</t>
  </si>
  <si>
    <t>FT</t>
  </si>
  <si>
    <t>WIRE,GUY,7/16",UG,18000LB,250' COIL</t>
  </si>
  <si>
    <t>CONN,H-TAP (#4),0.362-0.470,0.362-0.470</t>
  </si>
  <si>
    <t>WASHER,SPRING,5/8",DOUBLE HELIX</t>
  </si>
  <si>
    <t>BOLT,DOUBLE ARM,3/4" X 26",W/4 NUTS,GALV</t>
  </si>
  <si>
    <t>CLAMP,DE,AUTO GRIP,1/0 ACSR/AAAC</t>
  </si>
  <si>
    <t>COVER,CONNECTOR,TREE WIRE,SMALL,GRAY</t>
  </si>
  <si>
    <t>GUARD,ANIMAL,HOSE,SPLIT,SILICONE,0.5"ID^</t>
  </si>
  <si>
    <t>GUARD,BIRD,DEADEND,TREEWIRE^</t>
  </si>
  <si>
    <t>INSUL,PIN,35KV,CLAMP TOP,1" PIN THD^</t>
  </si>
  <si>
    <t>INSUL,SUSP,POLY,35KV,22-1/2",15000LBS</t>
  </si>
  <si>
    <t>NUT,OVALEYE,3/4",FORGED STL,HOT DIP GALV</t>
  </si>
  <si>
    <t>PIN,INSUL,5/8" X 7.5",3" THD LNGTH,NYLON</t>
  </si>
  <si>
    <t>WASHER,SQ,FLAT,2.25"X2.25"X3/16",13/16"H</t>
  </si>
  <si>
    <t>XARM,FIBERGLASS,DEADEND,10FT,4POSITION^</t>
  </si>
  <si>
    <t>BOLT,DOUBLE UPSET,5/8" X 12",ASSY,1 NUT</t>
  </si>
  <si>
    <t>BOLT,MACH,5/8" X 14",XARM,GALV</t>
  </si>
  <si>
    <t>INSULATOR,SPOOL,PORC,GRAY,3000LB^</t>
  </si>
  <si>
    <t>PIN,INSUL,POLE TOP,20"LONG,1"NYLON THD</t>
  </si>
  <si>
    <t>TIE,SPOOL,EZ-WRAP,1/0 ACSR/AAAC</t>
  </si>
  <si>
    <t>WASHER,SQ,CURVED,3"X3", FOR 5/8 BOLTS</t>
  </si>
  <si>
    <t>CLAMP,GRD ROD,5/8",CU CL AD GROUND</t>
  </si>
  <si>
    <t>CONDUCTOR,CU,#4,SOL,BARE ,SOFT DRAWN</t>
  </si>
  <si>
    <t>CONN,GRD,BRZ,XFMR,#8 SOL -#2 STR^</t>
  </si>
  <si>
    <t>CONN,H-TAP (#4),0.362-0. 470,0.362-0.470</t>
  </si>
  <si>
    <t>WASHER,SPRING,3/4",DOUBL E HELIX</t>
  </si>
  <si>
    <t>WASHER,SPRING,5/8",DOUBL E HELIX</t>
  </si>
  <si>
    <t>WASHER,SQ,CURVED,3"X3",1 3/16" HOLE REINF</t>
  </si>
  <si>
    <t>ANCHOR,DISK,24" DIA,1/4"  THICK,425 SQ IN</t>
  </si>
  <si>
    <t>BOLT,MACH,3/4" X 14",XAR M,GALV</t>
  </si>
  <si>
    <t>CLAMP,DE,AUTO GRIP,1/0 A CSR/AAAC</t>
  </si>
  <si>
    <t>CLAMP,HOTLINE,#8SOL-2/0S TR,#8-2/0 CU</t>
  </si>
  <si>
    <t>CONDUCTOR,#4-7STR CU,SOF T-D,110 MILS CVR</t>
  </si>
  <si>
    <t>CONN,H-TAP (#3),0.398-0. 470,0.162-0.3</t>
  </si>
  <si>
    <t>CONN,STIRRUP,BLTD,4-250A L/ACSR,1/0SOL</t>
  </si>
  <si>
    <t>COVER,CONNECTOR,TREE WIR E,SMALL</t>
  </si>
  <si>
    <t>GRIP,GUY,DE,7/16",7STR,U TILITY GRD,GREEN</t>
  </si>
  <si>
    <t>GUARD,BIRD,DEADEND,TREEW IRE^</t>
  </si>
  <si>
    <t>GUY,DE,AUTO,STRANDVISE,7 /16" UG/AW,LB</t>
  </si>
  <si>
    <t>GUY,DE,AUTO,STRANDVISE,7 /16" UG/AW,SB</t>
  </si>
  <si>
    <t>INSUL,GUY,FBRGL,21K, 36" ,THIMBLE-CLEVIS</t>
  </si>
  <si>
    <t>INSUL,GUY,FIBERG,21K, 78 ",CLEVIS-THIMBLE</t>
  </si>
  <si>
    <t>INSUL,PIN,35KV,CLAMP TOP ,1" PIN THD^</t>
  </si>
  <si>
    <t>INSUL,SUSP,POLY,35KV,22- 1/2",15000LBS</t>
  </si>
  <si>
    <t>MARKER,GUY,PLSTC,8',YELL OW,1/4"-1/2" GUY</t>
  </si>
  <si>
    <t>PIN,INSUL,5/8" X 7.5",3"  THD LNGTH,NYLON</t>
  </si>
  <si>
    <t>POLE,STEEL,50 FT,CLASS 1 ,DISTRIBUTION</t>
  </si>
  <si>
    <t>POLE,STEEL,55 FT,CLASS 1 ,DISTRIBUTION</t>
  </si>
  <si>
    <t>ROD,ANCHOR,1"X7',DISK,CO RROSION RESIST</t>
  </si>
  <si>
    <t>ROD,GRD,5/8" X 8',COPPER WELD/BONDED CU</t>
  </si>
  <si>
    <t>SHACKLE,ANCHOR,GALV,3/4" PIN,3-1/2",60k</t>
  </si>
  <si>
    <t>TEE,DE,ROUND,FORGED,GALV ,1-1/16" MTG^</t>
  </si>
  <si>
    <t>WASHER,LOCK,SPLIT,3/4",G ALVANIZED</t>
  </si>
  <si>
    <t>WIRE,GUY,7/16",UG,18000L B,250' COIL</t>
  </si>
  <si>
    <t>XARM FIBERGLASS,DEADEND, 8 FT,2POSITION^</t>
  </si>
  <si>
    <t>CONN,C-TAP,CU,#6SOL-#4STR,#6SOL/STR,COMP</t>
  </si>
  <si>
    <t>CONN,GRD,BRZ,XFMR,#8 SOL-#2 STR^</t>
  </si>
  <si>
    <t>CONN,H-TAP (#2),0.268-0.398,0.162-0.3</t>
  </si>
  <si>
    <t>ARRESTER,SRG,NONEXPULSION,10KV,MOV</t>
  </si>
  <si>
    <t>BOLT,MACH,5/8" X 12",XARM,GALV</t>
  </si>
  <si>
    <t>BRACKET,FIBERGLASS,18",CUTOUT &amp; ARRESTER</t>
  </si>
  <si>
    <t>CABLE,UG,600V,#2,CU,SINGLE</t>
  </si>
  <si>
    <t>CLAMP,HOTLINE,#8SOL-2/0STR,#8-2/0 CU</t>
  </si>
  <si>
    <t>CONN,STIRRUP,BLTD,4-250AL/ACSR,1/0SOL</t>
  </si>
  <si>
    <t>COVER,CUTOUT,FR RATED,POLYMER,27KV150BIL</t>
  </si>
  <si>
    <t>COVER,STIRRUP,COVERED CONDUCTOR,GRAY^</t>
  </si>
  <si>
    <t>CUTOUT,POLYMER,27KV,100A,12KA,UNIVERSAL^</t>
  </si>
  <si>
    <t>FUSE,ELF,6A,8.3KV,27KV CUTOUT,SGL BARREL</t>
  </si>
  <si>
    <t>GUARD,SPRING LOADED,EQUIP BUSHING COVER^</t>
  </si>
  <si>
    <t>WIRE,JUMPER,#6-7 CU,SOFT-D,80 MILS COVER</t>
  </si>
  <si>
    <t>XFMR,POLE,25,7.2,120/240,DT,ARR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</si>
</sst>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A1A1A"/>
      <name val="Calibri"/>
      <family val="2"/>
      <scheme val="minor"/>
    </font>
    <font>
      <sz val="11"/>
      <color rgb="FF1A1A1A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4" borderId="0" xfId="0" applyFont="1" applyFill="1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6" borderId="1" xfId="0" applyFont="1" applyFill="1" applyBorder="1"/>
    <xf numFmtId="0" fontId="1" fillId="6" borderId="2" xfId="0" applyFont="1" applyFill="1" applyBorder="1"/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0" fillId="5" borderId="0" xfId="0" applyFill="1" applyAlignment="1">
      <alignment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8" borderId="0" xfId="0" applyNumberFormat="1" applyFill="1"/>
    <xf numFmtId="1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9" fillId="0" borderId="0" xfId="0" applyFont="1" applyAlignment="1">
      <alignment wrapText="1"/>
    </xf>
    <xf numFmtId="0" fontId="10" fillId="0" borderId="0" xfId="0" applyFont="1"/>
    <xf numFmtId="0" fontId="8" fillId="0" borderId="0" xfId="0" applyFont="1" applyAlignment="1">
      <alignment wrapText="1"/>
    </xf>
    <xf numFmtId="0" fontId="0" fillId="8" borderId="0" xfId="0" applyFill="1"/>
    <xf numFmtId="0" fontId="3" fillId="0" borderId="0" xfId="0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9" borderId="0" xfId="0" applyFill="1"/>
    <xf numFmtId="1" fontId="0" fillId="9" borderId="0" xfId="0" applyNumberFormat="1" applyFill="1"/>
    <xf numFmtId="0" fontId="7" fillId="7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numFmt numFmtId="1" formatCode="0"/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</dxfs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63A06F-5CE8-4EDA-8E1C-4144E2B43521}" name="WO_Config" displayName="WO_Config" ref="B25:L31" totalsRowShown="0" dataDxfId="16">
  <autoFilter ref="B25:L31" xr:uid="{8263A06F-5CE8-4EDA-8E1C-4144E2B43521}"/>
  <tableColumns count="11">
    <tableColumn id="1" xr3:uid="{2E83D48D-5697-4360-BC54-0B0BA2EC3807}" name="WO#" dataDxfId="15"/>
    <tableColumn id="2" xr3:uid="{843C7F4B-70BA-4FE7-AAC8-BBBC9DB0B033}" name="Sheet1" dataDxfId="14"/>
    <tableColumn id="3" xr3:uid="{43D742BB-3591-48E9-A951-92F6FA9854CC}" name="Sheet2" dataDxfId="13"/>
    <tableColumn id="4" xr3:uid="{54A5FFED-906A-46FF-BE1B-F87D1C5D83BE}" name="Sheet3" dataDxfId="12"/>
    <tableColumn id="5" xr3:uid="{7AC516C4-0C58-48D8-BE41-03705F342CEE}" name="Sheet4" dataDxfId="11"/>
    <tableColumn id="6" xr3:uid="{B5A8FC85-6C08-4630-8AA7-93EA9FD60C36}" name="Sheet5" dataDxfId="10"/>
    <tableColumn id="7" xr3:uid="{7FCB0B9E-8164-489F-A610-809F84506C5D}" name="Sheet6" dataDxfId="9"/>
    <tableColumn id="8" xr3:uid="{68962C63-F805-4440-AAF7-9AC355258E48}" name="Sheet7" dataDxfId="8"/>
    <tableColumn id="9" xr3:uid="{CD738EC1-F5E7-42DD-B05D-7DD4144C76F4}" name="Sheet8" dataDxfId="7"/>
    <tableColumn id="10" xr3:uid="{78878C2F-B214-4546-A0BA-03FD35A3345E}" name="Sheet9" dataDxfId="6"/>
    <tableColumn id="11" xr3:uid="{89DF65C2-E0FC-46ED-A784-3BF528387469}" name="Sheet10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C321-108F-4CA2-86A8-2FAB20D266D8}">
  <sheetPr>
    <tabColor theme="9" tint="0.59999389629810485"/>
  </sheetPr>
  <dimension ref="A1:L48"/>
  <sheetViews>
    <sheetView tabSelected="1" workbookViewId="0">
      <selection activeCell="A26" sqref="A26"/>
    </sheetView>
  </sheetViews>
  <sheetFormatPr defaultRowHeight="15"/>
  <cols>
    <col min="2" max="2" width="26.85546875" customWidth="1"/>
    <col min="3" max="3" width="22.85546875" customWidth="1"/>
    <col min="5" max="5" width="11.7109375" customWidth="1"/>
  </cols>
  <sheetData>
    <row r="1" spans="2:5" ht="21">
      <c r="B1" s="29" t="s">
        <v>0</v>
      </c>
      <c r="C1" s="29"/>
      <c r="D1" s="29"/>
    </row>
    <row r="2" spans="2:5">
      <c r="B2" s="2" t="s">
        <v>1</v>
      </c>
      <c r="C2" s="16">
        <v>7383695</v>
      </c>
    </row>
    <row r="3" spans="2:5">
      <c r="B3" s="3" t="s">
        <v>2</v>
      </c>
      <c r="C3" s="3" t="s">
        <v>3</v>
      </c>
      <c r="E3" t="s">
        <v>4</v>
      </c>
    </row>
    <row r="4" spans="2:5">
      <c r="B4">
        <v>1</v>
      </c>
      <c r="C4" s="26" t="str">
        <f>IF($C$2="","",_xlfn.LET(_xlpm.x,IFERROR(""&amp;INDEX('Template Setup'!$C$26:$L$200, MATCH($C$2,'Template Setup'!$B$26:$B$200,0), 1),""),_xlpm.x))</f>
        <v>FDC-687</v>
      </c>
      <c r="E4" t="s">
        <v>5</v>
      </c>
    </row>
    <row r="5" spans="2:5">
      <c r="B5">
        <v>2</v>
      </c>
      <c r="C5" s="26" t="str">
        <f>IF($C$2="","",_xlfn.LET(_xlpm.x,IFERROR(""&amp;INDEX('Template Setup'!$C$26:$L$200, MATCH($C$2,'Template Setup'!$B$26:$B$200,0), 2),""),_xlpm.x))</f>
        <v/>
      </c>
      <c r="E5" t="s">
        <v>6</v>
      </c>
    </row>
    <row r="6" spans="2:5">
      <c r="B6">
        <v>3</v>
      </c>
      <c r="C6" s="26" t="str">
        <f>IF($C$2="","",_xlfn.LET(_xlpm.x,IFERROR(""&amp;INDEX('Template Setup'!$C$26:$L$200, MATCH($C$2,'Template Setup'!$B$26:$B$200,0), 3),""),_xlpm.x))</f>
        <v/>
      </c>
      <c r="E6" t="s">
        <v>7</v>
      </c>
    </row>
    <row r="7" spans="2:5">
      <c r="B7">
        <v>4</v>
      </c>
      <c r="C7" s="26" t="str">
        <f>IF($C$2="","",_xlfn.LET(_xlpm.x,IFERROR(""&amp;INDEX('Template Setup'!$C$26:$L$200, MATCH($C$2,'Template Setup'!$B$26:$B$200,0), 4),""),_xlpm.x))</f>
        <v/>
      </c>
      <c r="E7" t="s">
        <v>8</v>
      </c>
    </row>
    <row r="8" spans="2:5">
      <c r="B8">
        <v>5</v>
      </c>
      <c r="C8" s="26" t="str">
        <f>IF($C$2="","",_xlfn.LET(_xlpm.x,IFERROR(""&amp;INDEX('Template Setup'!$C$26:$L$200, MATCH($C$2,'Template Setup'!$B$26:$B$200,0), 5),""),_xlpm.x))</f>
        <v/>
      </c>
      <c r="E8" t="s">
        <v>9</v>
      </c>
    </row>
    <row r="9" spans="2:5">
      <c r="B9">
        <v>6</v>
      </c>
      <c r="C9" s="26" t="str">
        <f>IF($C$2="","",_xlfn.LET(_xlpm.x,IFERROR(""&amp;INDEX('Template Setup'!$C$26:$L$200, MATCH($C$2,'Template Setup'!$B$26:$B$200,0), 6),""),_xlpm.x))</f>
        <v/>
      </c>
      <c r="E9" t="s">
        <v>10</v>
      </c>
    </row>
    <row r="10" spans="2:5">
      <c r="B10">
        <v>7</v>
      </c>
      <c r="C10" s="26" t="str">
        <f>IF($C$2="","",_xlfn.LET(_xlpm.x,IFERROR(""&amp;INDEX('Template Setup'!$C$26:$L$200, MATCH($C$2,'Template Setup'!$B$26:$B$200,0), 7),""),_xlpm.x))</f>
        <v/>
      </c>
      <c r="E10" t="s">
        <v>11</v>
      </c>
    </row>
    <row r="11" spans="2:5">
      <c r="B11">
        <v>8</v>
      </c>
      <c r="C11" s="26" t="str">
        <f>IF($C$2="","",_xlfn.LET(_xlpm.x,IFERROR(""&amp;INDEX('Template Setup'!$C$26:$L$200, MATCH($C$2,'Template Setup'!$B$26:$B$200,0), 8),""),_xlpm.x))</f>
        <v/>
      </c>
    </row>
    <row r="12" spans="2:5">
      <c r="B12">
        <v>9</v>
      </c>
      <c r="C12" s="26" t="str">
        <f>IF($C$2="","",_xlfn.LET(_xlpm.x,IFERROR(""&amp;INDEX('Template Setup'!$C$26:$L$200, MATCH($C$2,'Template Setup'!$B$26:$B$200,0), 9),""),_xlpm.x))</f>
        <v/>
      </c>
      <c r="E12" t="s">
        <v>12</v>
      </c>
    </row>
    <row r="13" spans="2:5">
      <c r="B13">
        <v>10</v>
      </c>
      <c r="C13" s="26" t="str">
        <f>IF($C$2="","",_xlfn.LET(_xlpm.x,IFERROR(""&amp;INDEX('Template Setup'!$C$26:$L$200, MATCH($C$2,'Template Setup'!$B$26:$B$200,0), 10),""),_xlpm.x))</f>
        <v/>
      </c>
      <c r="E13" s="2" t="s">
        <v>13</v>
      </c>
    </row>
    <row r="14" spans="2:5">
      <c r="E14" t="s">
        <v>14</v>
      </c>
    </row>
    <row r="15" spans="2:5">
      <c r="C15" s="3" t="s">
        <v>15</v>
      </c>
      <c r="E15" t="s">
        <v>16</v>
      </c>
    </row>
    <row r="16" spans="2:5">
      <c r="C16" s="27">
        <f>IF($C$2="","",$C$2)</f>
        <v>7383695</v>
      </c>
      <c r="E16" t="s">
        <v>17</v>
      </c>
    </row>
    <row r="17" spans="1:12">
      <c r="E17" t="s">
        <v>18</v>
      </c>
    </row>
    <row r="18" spans="1:12">
      <c r="E18" t="s">
        <v>19</v>
      </c>
    </row>
    <row r="19" spans="1:12">
      <c r="E19" s="2" t="s">
        <v>20</v>
      </c>
    </row>
    <row r="20" spans="1:12">
      <c r="E20" t="s">
        <v>21</v>
      </c>
    </row>
    <row r="21" spans="1:12">
      <c r="E21" t="s">
        <v>22</v>
      </c>
    </row>
    <row r="22" spans="1:12">
      <c r="E22" t="s">
        <v>23</v>
      </c>
    </row>
    <row r="23" spans="1:12">
      <c r="E23" t="s">
        <v>24</v>
      </c>
    </row>
    <row r="25" spans="1:12">
      <c r="A25" s="23" t="s">
        <v>25</v>
      </c>
      <c r="B25" s="1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33</v>
      </c>
      <c r="J25" t="s">
        <v>34</v>
      </c>
      <c r="K25" t="s">
        <v>35</v>
      </c>
      <c r="L25" t="s">
        <v>36</v>
      </c>
    </row>
    <row r="26" spans="1:12" s="6" customFormat="1">
      <c r="A26" s="6" t="s">
        <v>37</v>
      </c>
      <c r="B26" s="17">
        <v>7310721</v>
      </c>
      <c r="C26" s="18" t="s">
        <v>38</v>
      </c>
      <c r="D26" s="18"/>
      <c r="E26" s="18"/>
      <c r="F26" s="18"/>
      <c r="G26" s="18"/>
      <c r="H26" s="18"/>
      <c r="I26" s="18"/>
      <c r="J26" s="18"/>
      <c r="K26" s="18"/>
      <c r="L26" s="18"/>
    </row>
    <row r="27" spans="1:12" s="6" customFormat="1">
      <c r="A27" s="6" t="s">
        <v>37</v>
      </c>
      <c r="B27" s="17">
        <v>7153798</v>
      </c>
      <c r="C27" s="18" t="s">
        <v>39</v>
      </c>
      <c r="D27" s="18" t="s">
        <v>40</v>
      </c>
      <c r="E27" s="18"/>
      <c r="F27" s="18"/>
      <c r="G27" s="18"/>
      <c r="H27" s="18"/>
      <c r="I27" s="18"/>
      <c r="J27" s="18"/>
      <c r="K27" s="18"/>
      <c r="L27" s="18"/>
    </row>
    <row r="28" spans="1:12" s="6" customFormat="1">
      <c r="A28" s="6" t="s">
        <v>37</v>
      </c>
      <c r="B28" s="17">
        <v>7383692</v>
      </c>
      <c r="C28" s="18" t="s">
        <v>41</v>
      </c>
      <c r="D28" s="18"/>
      <c r="E28" s="18"/>
      <c r="F28" s="18"/>
      <c r="G28" s="18"/>
      <c r="H28" s="18"/>
      <c r="I28" s="18"/>
      <c r="J28" s="18"/>
      <c r="K28" s="18"/>
      <c r="L28" s="18"/>
    </row>
    <row r="29" spans="1:12" s="6" customFormat="1">
      <c r="A29" s="6" t="s">
        <v>37</v>
      </c>
      <c r="B29" s="17">
        <v>7295708</v>
      </c>
      <c r="C29" s="18" t="s">
        <v>42</v>
      </c>
      <c r="D29" s="18"/>
      <c r="E29" s="18"/>
      <c r="F29" s="18"/>
      <c r="G29" s="18"/>
      <c r="H29" s="18"/>
      <c r="I29" s="18"/>
      <c r="J29" s="18"/>
      <c r="K29" s="18"/>
      <c r="L29" s="18"/>
    </row>
    <row r="30" spans="1:12" s="6" customFormat="1">
      <c r="A30" s="6" t="s">
        <v>37</v>
      </c>
      <c r="B30" s="17">
        <v>7383695</v>
      </c>
      <c r="C30" s="18" t="s">
        <v>43</v>
      </c>
      <c r="D30" s="18"/>
      <c r="E30" s="18"/>
      <c r="F30" s="18"/>
      <c r="G30" s="18"/>
      <c r="H30" s="18"/>
      <c r="I30" s="18"/>
      <c r="J30" s="18"/>
      <c r="K30" s="18"/>
      <c r="L30" s="18"/>
    </row>
    <row r="31" spans="1:12">
      <c r="B31" s="16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3" spans="2:12"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2:12"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2:12"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2:12"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spans="2:12"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2:12"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spans="2:12">
      <c r="B39" s="19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spans="2:12">
      <c r="B40" s="19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2:12">
      <c r="B41" s="19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spans="2:12">
      <c r="B42" s="19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2:12"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2:12">
      <c r="B44" s="19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2:12">
      <c r="B45" s="19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spans="2:12">
      <c r="B46" s="19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spans="2:12">
      <c r="B47" s="21"/>
    </row>
    <row r="48" spans="2:12">
      <c r="B48" s="21"/>
    </row>
  </sheetData>
  <mergeCells count="2">
    <mergeCell ref="B1:D1"/>
    <mergeCell ref="B32:L32"/>
  </mergeCells>
  <dataValidations count="2">
    <dataValidation type="list" allowBlank="1" showInputMessage="1" showErrorMessage="1" promptTitle="Select Active WO" prompt="Choose a WO# from the WO_Config table to update the active sheet list and results." sqref="C2" xr:uid="{0352F1F7-E801-4B27-9AAF-9ED70AB58F4D}">
      <formula1>$B$26:$B$200</formula1>
    </dataValidation>
    <dataValidation type="list" allowBlank="1" showInputMessage="1" showErrorMessage="1" sqref="A26:A30" xr:uid="{2BD2809F-32E5-44CF-B75A-DD65CCAB3DED}">
      <formula1>"☐,☑"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06D5-C14D-4178-9CD6-F96CBECC8BEE}">
  <sheetPr>
    <tabColor theme="9" tint="0.59999389629810485"/>
  </sheetPr>
  <dimension ref="A1:V1000"/>
  <sheetViews>
    <sheetView workbookViewId="0">
      <selection activeCell="D24" sqref="D24"/>
    </sheetView>
  </sheetViews>
  <sheetFormatPr defaultRowHeight="15"/>
  <cols>
    <col min="1" max="1" width="10.42578125" customWidth="1"/>
    <col min="2" max="2" width="43.5703125" customWidth="1"/>
    <col min="3" max="3" width="5.85546875" bestFit="1" customWidth="1"/>
    <col min="4" max="4" width="18" customWidth="1"/>
    <col min="5" max="5" width="19" style="10" customWidth="1"/>
    <col min="6" max="6" width="21.28515625" customWidth="1"/>
    <col min="7" max="11" width="8.28515625" hidden="1" customWidth="1"/>
    <col min="12" max="16" width="10.28515625" hidden="1" customWidth="1"/>
    <col min="17" max="17" width="23.140625" customWidth="1"/>
    <col min="18" max="18" width="9.42578125" style="6" bestFit="1" customWidth="1"/>
    <col min="19" max="19" width="15.42578125" style="6" customWidth="1"/>
    <col min="20" max="20" width="16.5703125" style="6" customWidth="1"/>
    <col min="21" max="21" width="6.7109375" style="10" bestFit="1" customWidth="1"/>
  </cols>
  <sheetData>
    <row r="1" spans="1:22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  <c r="Q1" s="5" t="s">
        <v>60</v>
      </c>
      <c r="R1" s="25" t="s">
        <v>61</v>
      </c>
      <c r="S1" s="25" t="s">
        <v>62</v>
      </c>
      <c r="T1" s="25" t="s">
        <v>63</v>
      </c>
      <c r="U1" s="5" t="s">
        <v>64</v>
      </c>
      <c r="V1" s="14"/>
    </row>
    <row r="2" spans="1:22">
      <c r="A2" s="11" cm="1">
        <f t="array" aca="1" ref="A2:A19" ca="1">IFERROR(INDEX(_xlfn.ANCHORARRAY('Material List'!A2),,1),"")</f>
        <v>1100065</v>
      </c>
      <c r="B2" s="11" t="str" cm="1">
        <f t="array" aca="1" ref="B2:B19" ca="1">IFERROR(INDEX(_xlfn.ANCHORARRAY('Material List'!A2),,2),"")</f>
        <v>CABLE,UG,600V,#2,CU,SINGLE</v>
      </c>
      <c r="C2" s="11" t="str" cm="1">
        <f t="array" aca="1" ref="C2:C19" ca="1">IFERROR(INDEX(_xlfn.ANCHORARRAY('Material List'!A2),,3),"")</f>
        <v>FT</v>
      </c>
      <c r="D2" s="11" t="str">
        <f ca="1">IF($A2="","",_xlfn.TEXTJOIN(", ",TRUE,IF($G2&gt;0,'Template Setup'!$C$4,""),IF($H2&gt;0,'Template Setup'!$C$5,""),IF($I2&gt;0,'Template Setup'!$C$6,""),IF($J2&gt;0,'Template Setup'!$C$7,""),IF($K2&gt;0,'Template Setup'!$C$8,"")))</f>
        <v>FDC-687</v>
      </c>
      <c r="E2" s="6" t="str" cm="1">
        <f t="array" aca="1" ref="E2" ca="1">IF($A2="","",_xlfn.LET(_xlpm.sheets,CHOOSE({1,2,3,4,5},'Template Setup'!$C$4,'Template Setup'!$C$5,'Template Setup'!$C$6,'Template Setup'!$C$7,'Template Setup'!$C$8),_xlpm.nums,CHOOSE({1,2,3,4,5},$L2,$M2,$N2,$O2,$P2),_xlpm.qtys,CHOOSE({1,2,3,4,5},$G2,$H2,$I2,$J2,$K2),_xlpm.validNums,_xlfn._xlws.FILTER(_xlpm.nums,_xlpm.qtys&gt;0),_xlpm.validSheets,_xlfn._xlws.FILTER(_xlpm.sheets,_xlpm.qtys&gt;0),_xlpm.mx,IFERROR(MAX(_xlpm.validNums),0),IF(_xlpm.mx=0,"",INDEX(_xlpm.validSheets,MATCH(_xlpm.mx,_xlpm.validNums,0))&amp;" (+"&amp;$R2&amp;")")))</f>
        <v>FDC-687 (+21)</v>
      </c>
      <c r="F2" s="11" t="str">
        <f ca="1">IF($E2="","","PACP-"&amp;LEFT($E2,FIND("-",$E2)-1)&amp;"-000"&amp;MID($E2,FIND("-",$E2)+1,3))</f>
        <v>PACP-FDC-000687</v>
      </c>
      <c r="G2" s="12">
        <f ca="1">IF($A2="","",IFERROR(SUMIF(INDIRECT("'"&amp;'Template Setup'!$C$4&amp;"'!C:C"),$A2,INDIRECT("'"&amp;'Template Setup'!$C$4&amp;"'!A:A")),0))</f>
        <v>21</v>
      </c>
      <c r="H2" s="12">
        <f ca="1">IF($A2="","",IFERROR(SUMIF(INDIRECT("'"&amp;'Template Setup'!$C$5&amp;"'!C:C"),$A2,INDIRECT("'"&amp;'Template Setup'!$C$5&amp;"'!A:A")),0))</f>
        <v>0</v>
      </c>
      <c r="I2" s="12">
        <f ca="1">IF($A2="","",IFERROR(SUMIF(INDIRECT("'"&amp;'Template Setup'!$C$6&amp;"'!C:C"),$A2,INDIRECT("'"&amp;'Template Setup'!$C$6&amp;"'!A:A")),0))</f>
        <v>0</v>
      </c>
      <c r="J2" s="12">
        <f ca="1">IF($A2="","",IFERROR(SUMIF(INDIRECT("'"&amp;'Template Setup'!$C$7&amp;"'!C:C"),$A2,INDIRECT("'"&amp;'Template Setup'!$C$7&amp;"'!A:A")),0))</f>
        <v>0</v>
      </c>
      <c r="K2" s="12">
        <f ca="1">IF($A2="","",IFERROR(SUMIF(INDIRECT("'"&amp;'Template Setup'!$C$8&amp;"'!C:C"),$A2,INDIRECT("'"&amp;'Template Setup'!$C$8&amp;"'!A:A")),0))</f>
        <v>0</v>
      </c>
      <c r="L2" s="11">
        <f ca="1">IF($A2="","",IFERROR(VALUE(MID(TRIM('Template Setup'!$C$4),FIND("-",TRIM('Template Setup'!$C$4))+1,10)),0))</f>
        <v>687</v>
      </c>
      <c r="M2" s="11">
        <f ca="1">IF($A2="","",IFERROR(VALUE(MID(TRIM('Template Setup'!$C$5),FIND("-",TRIM('Template Setup'!$C$5))+1,10)),0))</f>
        <v>0</v>
      </c>
      <c r="N2" s="11">
        <f ca="1">IF($A2="","",IFERROR(VALUE(MID(TRIM('Template Setup'!$C$6),FIND("-",TRIM('Template Setup'!$C$6))+1,10)),0))</f>
        <v>0</v>
      </c>
      <c r="O2" s="11">
        <f ca="1">IF($A2="","",IFERROR(VALUE(MID(TRIM('Template Setup'!$C$7),FIND("-",TRIM('Template Setup'!$C$7))+1,10)),0))</f>
        <v>0</v>
      </c>
      <c r="P2" s="11">
        <f ca="1">IF($A2="","",IFERROR(VALUE(MID(TRIM('Template Setup'!$C$8),FIND("-",TRIM('Template Setup'!$C$8))+1,10)),0))</f>
        <v>0</v>
      </c>
      <c r="Q2" s="9" t="str">
        <f ca="1">IF($A2="","",$A2&amp;"-"&amp;'Template Setup'!$C$16)</f>
        <v>1100065-7383695</v>
      </c>
      <c r="R2" s="24">
        <f t="shared" ref="R2:R65" ca="1" si="0">IF($A2="","",SUM($G2:$K2))</f>
        <v>21</v>
      </c>
      <c r="S2" s="24"/>
      <c r="T2" s="24" t="str">
        <f t="shared" ref="T2:T65" ca="1" si="1">IF($A2="","",IF(ISBLANK(S2),"",N(R2)+S2))</f>
        <v/>
      </c>
      <c r="U2" s="6" t="s">
        <v>65</v>
      </c>
    </row>
    <row r="3" spans="1:22">
      <c r="A3" s="11">
        <f ca="1"/>
        <v>1300812</v>
      </c>
      <c r="B3" s="11" t="str">
        <f ca="1"/>
        <v>CONN,STIRRUP,BLTD,4-250AL/ACSR,1/0SOL</v>
      </c>
      <c r="C3" s="11" t="str">
        <f ca="1"/>
        <v>EA</v>
      </c>
      <c r="D3" s="11" t="str">
        <f ca="1">IF($A3="","",_xlfn.TEXTJOIN(", ",TRUE,IF($G3&gt;0,'Template Setup'!$C$4,""),IF($H3&gt;0,'Template Setup'!$C$5,""),IF($I3&gt;0,'Template Setup'!$C$6,""),IF($J3&gt;0,'Template Setup'!$C$7,""),IF($K3&gt;0,'Template Setup'!$C$8,"")))</f>
        <v>FDC-687</v>
      </c>
      <c r="E3" s="6" t="str" cm="1">
        <f t="array" aca="1" ref="E3" ca="1">IF($A3="","",_xlfn.LET(_xlpm.sheets,CHOOSE({1,2,3,4,5},'Template Setup'!$C$4,'Template Setup'!$C$5,'Template Setup'!$C$6,'Template Setup'!$C$7,'Template Setup'!$C$8),_xlpm.nums,CHOOSE({1,2,3,4,5},$L3,$M3,$N3,$O3,$P3),_xlpm.qtys,CHOOSE({1,2,3,4,5},$G3,$H3,$I3,$J3,$K3),_xlpm.validNums,_xlfn._xlws.FILTER(_xlpm.nums,_xlpm.qtys&gt;0),_xlpm.validSheets,_xlfn._xlws.FILTER(_xlpm.sheets,_xlpm.qtys&gt;0),_xlpm.mx,IFERROR(MAX(_xlpm.validNums),0),IF(_xlpm.mx=0,"",INDEX(_xlpm.validSheets,MATCH(_xlpm.mx,_xlpm.validNums,0))&amp;" (+"&amp;$R3&amp;")")))</f>
        <v>FDC-687 (+1)</v>
      </c>
      <c r="F3" s="11" t="str">
        <f t="shared" ref="F3:F66" ca="1" si="2">IF($E3="","","PACP-"&amp;LEFT($E3,FIND("-",$E3)-1)&amp;"-000"&amp;MID($E3,FIND("-",$E3)+1,3))</f>
        <v>PACP-FDC-000687</v>
      </c>
      <c r="G3" s="12">
        <f ca="1">IF($A3="","",IFERROR(SUMIF(INDIRECT("'"&amp;'Template Setup'!$C$4&amp;"'!C:C"),$A3,INDIRECT("'"&amp;'Template Setup'!$C$4&amp;"'!A:A")),0))</f>
        <v>1</v>
      </c>
      <c r="H3" s="12">
        <f ca="1">IF($A3="","",IFERROR(SUMIF(INDIRECT("'"&amp;'Template Setup'!$C$5&amp;"'!C:C"),$A3,INDIRECT("'"&amp;'Template Setup'!$C$5&amp;"'!A:A")),0))</f>
        <v>0</v>
      </c>
      <c r="I3" s="12">
        <f ca="1">IF($A3="","",IFERROR(SUMIF(INDIRECT("'"&amp;'Template Setup'!$C$6&amp;"'!C:C"),$A3,INDIRECT("'"&amp;'Template Setup'!$C$6&amp;"'!A:A")),0))</f>
        <v>0</v>
      </c>
      <c r="J3" s="12">
        <f ca="1">IF($A3="","",IFERROR(SUMIF(INDIRECT("'"&amp;'Template Setup'!$C$7&amp;"'!C:C"),$A3,INDIRECT("'"&amp;'Template Setup'!$C$7&amp;"'!A:A")),0))</f>
        <v>0</v>
      </c>
      <c r="K3" s="12">
        <f ca="1">IF($A3="","",IFERROR(SUMIF(INDIRECT("'"&amp;'Template Setup'!$C$8&amp;"'!C:C"),$A3,INDIRECT("'"&amp;'Template Setup'!$C$8&amp;"'!A:A")),0))</f>
        <v>0</v>
      </c>
      <c r="L3" s="11">
        <f ca="1">IF($A3="","",IFERROR(VALUE(MID(TRIM('Template Setup'!$C$4),FIND("-",TRIM('Template Setup'!$C$4))+1,10)),0))</f>
        <v>687</v>
      </c>
      <c r="M3" s="11">
        <f ca="1">IF($A3="","",IFERROR(VALUE(MID(TRIM('Template Setup'!$C$5),FIND("-",TRIM('Template Setup'!$C$5))+1,10)),0))</f>
        <v>0</v>
      </c>
      <c r="N3" s="11">
        <f ca="1">IF($A3="","",IFERROR(VALUE(MID(TRIM('Template Setup'!$C$6),FIND("-",TRIM('Template Setup'!$C$6))+1,10)),0))</f>
        <v>0</v>
      </c>
      <c r="O3" s="11">
        <f ca="1">IF($A3="","",IFERROR(VALUE(MID(TRIM('Template Setup'!$C$7),FIND("-",TRIM('Template Setup'!$C$7))+1,10)),0))</f>
        <v>0</v>
      </c>
      <c r="P3" s="11">
        <f ca="1">IF($A3="","",IFERROR(VALUE(MID(TRIM('Template Setup'!$C$8),FIND("-",TRIM('Template Setup'!$C$8))+1,10)),0))</f>
        <v>0</v>
      </c>
      <c r="Q3" s="9" t="str">
        <f ca="1">IF($A3="","",$A3&amp;"-"&amp;'Template Setup'!$C$16)</f>
        <v>1300812-7383695</v>
      </c>
      <c r="R3" s="24">
        <f t="shared" ca="1" si="0"/>
        <v>1</v>
      </c>
      <c r="S3" s="24"/>
      <c r="T3" s="24" t="str">
        <f t="shared" ca="1" si="1"/>
        <v/>
      </c>
      <c r="U3" s="6" t="s">
        <v>65</v>
      </c>
    </row>
    <row r="4" spans="1:22">
      <c r="A4" s="11">
        <f ca="1"/>
        <v>4500354</v>
      </c>
      <c r="B4" s="11" t="str">
        <f ca="1"/>
        <v>XFMR,POLE,25,7.2,120/240,DT,ARR</v>
      </c>
      <c r="C4" s="11" t="str">
        <f ca="1"/>
        <v>EA</v>
      </c>
      <c r="D4" s="11" t="str">
        <f ca="1">IF($A4="","",_xlfn.TEXTJOIN(", ",TRUE,IF($G4&gt;0,'Template Setup'!$C$4,""),IF($H4&gt;0,'Template Setup'!$C$5,""),IF($I4&gt;0,'Template Setup'!$C$6,""),IF($J4&gt;0,'Template Setup'!$C$7,""),IF($K4&gt;0,'Template Setup'!$C$8,"")))</f>
        <v>FDC-687</v>
      </c>
      <c r="E4" s="6" t="str" cm="1">
        <f t="array" aca="1" ref="E4" ca="1">IF($A4="","",_xlfn.LET(_xlpm.sheets,CHOOSE({1,2,3,4,5},'Template Setup'!$C$4,'Template Setup'!$C$5,'Template Setup'!$C$6,'Template Setup'!$C$7,'Template Setup'!$C$8),_xlpm.nums,CHOOSE({1,2,3,4,5},$L4,$M4,$N4,$O4,$P4),_xlpm.qtys,CHOOSE({1,2,3,4,5},$G4,$H4,$I4,$J4,$K4),_xlpm.validNums,_xlfn._xlws.FILTER(_xlpm.nums,_xlpm.qtys&gt;0),_xlpm.validSheets,_xlfn._xlws.FILTER(_xlpm.sheets,_xlpm.qtys&gt;0),_xlpm.mx,IFERROR(MAX(_xlpm.validNums),0),IF(_xlpm.mx=0,"",INDEX(_xlpm.validSheets,MATCH(_xlpm.mx,_xlpm.validNums,0))&amp;" (+"&amp;$R4&amp;")")))</f>
        <v>FDC-687 (+1)</v>
      </c>
      <c r="F4" s="11" t="str">
        <f t="shared" ca="1" si="2"/>
        <v>PACP-FDC-000687</v>
      </c>
      <c r="G4" s="12">
        <f ca="1">IF($A4="","",IFERROR(SUMIF(INDIRECT("'"&amp;'Template Setup'!$C$4&amp;"'!C:C"),$A4,INDIRECT("'"&amp;'Template Setup'!$C$4&amp;"'!A:A")),0))</f>
        <v>1</v>
      </c>
      <c r="H4" s="12">
        <f ca="1">IF($A4="","",IFERROR(SUMIF(INDIRECT("'"&amp;'Template Setup'!$C$5&amp;"'!C:C"),$A4,INDIRECT("'"&amp;'Template Setup'!$C$5&amp;"'!A:A")),0))</f>
        <v>0</v>
      </c>
      <c r="I4" s="12">
        <f ca="1">IF($A4="","",IFERROR(SUMIF(INDIRECT("'"&amp;'Template Setup'!$C$6&amp;"'!C:C"),$A4,INDIRECT("'"&amp;'Template Setup'!$C$6&amp;"'!A:A")),0))</f>
        <v>0</v>
      </c>
      <c r="J4" s="12">
        <f ca="1">IF($A4="","",IFERROR(SUMIF(INDIRECT("'"&amp;'Template Setup'!$C$7&amp;"'!C:C"),$A4,INDIRECT("'"&amp;'Template Setup'!$C$7&amp;"'!A:A")),0))</f>
        <v>0</v>
      </c>
      <c r="K4" s="12">
        <f ca="1">IF($A4="","",IFERROR(SUMIF(INDIRECT("'"&amp;'Template Setup'!$C$8&amp;"'!C:C"),$A4,INDIRECT("'"&amp;'Template Setup'!$C$8&amp;"'!A:A")),0))</f>
        <v>0</v>
      </c>
      <c r="L4" s="11">
        <f ca="1">IF($A4="","",IFERROR(VALUE(MID(TRIM('Template Setup'!$C$4),FIND("-",TRIM('Template Setup'!$C$4))+1,10)),0))</f>
        <v>687</v>
      </c>
      <c r="M4" s="11">
        <f ca="1">IF($A4="","",IFERROR(VALUE(MID(TRIM('Template Setup'!$C$5),FIND("-",TRIM('Template Setup'!$C$5))+1,10)),0))</f>
        <v>0</v>
      </c>
      <c r="N4" s="11">
        <f ca="1">IF($A4="","",IFERROR(VALUE(MID(TRIM('Template Setup'!$C$6),FIND("-",TRIM('Template Setup'!$C$6))+1,10)),0))</f>
        <v>0</v>
      </c>
      <c r="O4" s="11">
        <f ca="1">IF($A4="","",IFERROR(VALUE(MID(TRIM('Template Setup'!$C$7),FIND("-",TRIM('Template Setup'!$C$7))+1,10)),0))</f>
        <v>0</v>
      </c>
      <c r="P4" s="11">
        <f ca="1">IF($A4="","",IFERROR(VALUE(MID(TRIM('Template Setup'!$C$8),FIND("-",TRIM('Template Setup'!$C$8))+1,10)),0))</f>
        <v>0</v>
      </c>
      <c r="Q4" s="9" t="str">
        <f ca="1">IF($A4="","",$A4&amp;"-"&amp;'Template Setup'!$C$16)</f>
        <v>4500354-7383695</v>
      </c>
      <c r="R4" s="24">
        <f t="shared" ca="1" si="0"/>
        <v>1</v>
      </c>
      <c r="S4" s="24"/>
      <c r="T4" s="24" t="str">
        <f t="shared" ca="1" si="1"/>
        <v/>
      </c>
      <c r="U4" s="6" t="s">
        <v>65</v>
      </c>
    </row>
    <row r="5" spans="1:22">
      <c r="A5" s="11">
        <f ca="1"/>
        <v>4601902</v>
      </c>
      <c r="B5" s="11" t="str">
        <f ca="1"/>
        <v>CLAMP,HOTLINE,#8SOL-2/0STR,#8-2/0 CU</v>
      </c>
      <c r="C5" s="11" t="str">
        <f ca="1"/>
        <v>EA</v>
      </c>
      <c r="D5" s="11" t="str">
        <f ca="1">IF($A5="","",_xlfn.TEXTJOIN(", ",TRUE,IF($G5&gt;0,'Template Setup'!$C$4,""),IF($H5&gt;0,'Template Setup'!$C$5,""),IF($I5&gt;0,'Template Setup'!$C$6,""),IF($J5&gt;0,'Template Setup'!$C$7,""),IF($K5&gt;0,'Template Setup'!$C$8,"")))</f>
        <v>FDC-687</v>
      </c>
      <c r="E5" s="6" t="str" cm="1">
        <f t="array" aca="1" ref="E5" ca="1">IF($A5="","",_xlfn.LET(_xlpm.sheets,CHOOSE({1,2,3,4,5},'Template Setup'!$C$4,'Template Setup'!$C$5,'Template Setup'!$C$6,'Template Setup'!$C$7,'Template Setup'!$C$8),_xlpm.nums,CHOOSE({1,2,3,4,5},$L5,$M5,$N5,$O5,$P5),_xlpm.qtys,CHOOSE({1,2,3,4,5},$G5,$H5,$I5,$J5,$K5),_xlpm.validNums,_xlfn._xlws.FILTER(_xlpm.nums,_xlpm.qtys&gt;0),_xlpm.validSheets,_xlfn._xlws.FILTER(_xlpm.sheets,_xlpm.qtys&gt;0),_xlpm.mx,IFERROR(MAX(_xlpm.validNums),0),IF(_xlpm.mx=0,"",INDEX(_xlpm.validSheets,MATCH(_xlpm.mx,_xlpm.validNums,0))&amp;" (+"&amp;$R5&amp;")")))</f>
        <v>FDC-687 (+1)</v>
      </c>
      <c r="F5" s="11" t="str">
        <f t="shared" ca="1" si="2"/>
        <v>PACP-FDC-000687</v>
      </c>
      <c r="G5" s="12">
        <f ca="1">IF($A5="","",IFERROR(SUMIF(INDIRECT("'"&amp;'Template Setup'!$C$4&amp;"'!C:C"),$A5,INDIRECT("'"&amp;'Template Setup'!$C$4&amp;"'!A:A")),0))</f>
        <v>1</v>
      </c>
      <c r="H5" s="12">
        <f ca="1">IF($A5="","",IFERROR(SUMIF(INDIRECT("'"&amp;'Template Setup'!$C$5&amp;"'!C:C"),$A5,INDIRECT("'"&amp;'Template Setup'!$C$5&amp;"'!A:A")),0))</f>
        <v>0</v>
      </c>
      <c r="I5" s="12">
        <f ca="1">IF($A5="","",IFERROR(SUMIF(INDIRECT("'"&amp;'Template Setup'!$C$6&amp;"'!C:C"),$A5,INDIRECT("'"&amp;'Template Setup'!$C$6&amp;"'!A:A")),0))</f>
        <v>0</v>
      </c>
      <c r="J5" s="12">
        <f ca="1">IF($A5="","",IFERROR(SUMIF(INDIRECT("'"&amp;'Template Setup'!$C$7&amp;"'!C:C"),$A5,INDIRECT("'"&amp;'Template Setup'!$C$7&amp;"'!A:A")),0))</f>
        <v>0</v>
      </c>
      <c r="K5" s="12">
        <f ca="1">IF($A5="","",IFERROR(SUMIF(INDIRECT("'"&amp;'Template Setup'!$C$8&amp;"'!C:C"),$A5,INDIRECT("'"&amp;'Template Setup'!$C$8&amp;"'!A:A")),0))</f>
        <v>0</v>
      </c>
      <c r="L5" s="11">
        <f ca="1">IF($A5="","",IFERROR(VALUE(MID(TRIM('Template Setup'!$C$4),FIND("-",TRIM('Template Setup'!$C$4))+1,10)),0))</f>
        <v>687</v>
      </c>
      <c r="M5" s="11">
        <f ca="1">IF($A5="","",IFERROR(VALUE(MID(TRIM('Template Setup'!$C$5),FIND("-",TRIM('Template Setup'!$C$5))+1,10)),0))</f>
        <v>0</v>
      </c>
      <c r="N5" s="11">
        <f ca="1">IF($A5="","",IFERROR(VALUE(MID(TRIM('Template Setup'!$C$6),FIND("-",TRIM('Template Setup'!$C$6))+1,10)),0))</f>
        <v>0</v>
      </c>
      <c r="O5" s="11">
        <f ca="1">IF($A5="","",IFERROR(VALUE(MID(TRIM('Template Setup'!$C$7),FIND("-",TRIM('Template Setup'!$C$7))+1,10)),0))</f>
        <v>0</v>
      </c>
      <c r="P5" s="11">
        <f ca="1">IF($A5="","",IFERROR(VALUE(MID(TRIM('Template Setup'!$C$8),FIND("-",TRIM('Template Setup'!$C$8))+1,10)),0))</f>
        <v>0</v>
      </c>
      <c r="Q5" s="9" t="str">
        <f ca="1">IF($A5="","",$A5&amp;"-"&amp;'Template Setup'!$C$16)</f>
        <v>4601902-7383695</v>
      </c>
      <c r="R5" s="24">
        <f t="shared" ca="1" si="0"/>
        <v>1</v>
      </c>
      <c r="S5" s="24"/>
      <c r="T5" s="24" t="str">
        <f t="shared" ca="1" si="1"/>
        <v/>
      </c>
      <c r="U5" s="6" t="s">
        <v>65</v>
      </c>
    </row>
    <row r="6" spans="1:22">
      <c r="A6" s="11">
        <f ca="1"/>
        <v>4626107</v>
      </c>
      <c r="B6" s="11" t="str">
        <f ca="1"/>
        <v>CONN,H-TAP (#2),0.268-0.398,0.162-0.3</v>
      </c>
      <c r="C6" s="11" t="str">
        <f ca="1"/>
        <v>EA</v>
      </c>
      <c r="D6" s="11" t="str">
        <f ca="1">IF($A6="","",_xlfn.TEXTJOIN(", ",TRUE,IF($G6&gt;0,'Template Setup'!$C$4,""),IF($H6&gt;0,'Template Setup'!$C$5,""),IF($I6&gt;0,'Template Setup'!$C$6,""),IF($J6&gt;0,'Template Setup'!$C$7,""),IF($K6&gt;0,'Template Setup'!$C$8,"")))</f>
        <v>FDC-687</v>
      </c>
      <c r="E6" s="6" t="str" cm="1">
        <f t="array" aca="1" ref="E6" ca="1">IF($A6="","",_xlfn.LET(_xlpm.sheets,CHOOSE({1,2,3,4,5},'Template Setup'!$C$4,'Template Setup'!$C$5,'Template Setup'!$C$6,'Template Setup'!$C$7,'Template Setup'!$C$8),_xlpm.nums,CHOOSE({1,2,3,4,5},$L6,$M6,$N6,$O6,$P6),_xlpm.qtys,CHOOSE({1,2,3,4,5},$G6,$H6,$I6,$J6,$K6),_xlpm.validNums,_xlfn._xlws.FILTER(_xlpm.nums,_xlpm.qtys&gt;0),_xlpm.validSheets,_xlfn._xlws.FILTER(_xlpm.sheets,_xlpm.qtys&gt;0),_xlpm.mx,IFERROR(MAX(_xlpm.validNums),0),IF(_xlpm.mx=0,"",INDEX(_xlpm.validSheets,MATCH(_xlpm.mx,_xlpm.validNums,0))&amp;" (+"&amp;$R6&amp;")")))</f>
        <v>FDC-687 (+2)</v>
      </c>
      <c r="F6" s="11" t="str">
        <f t="shared" ca="1" si="2"/>
        <v>PACP-FDC-000687</v>
      </c>
      <c r="G6" s="12">
        <f ca="1">IF($A6="","",IFERROR(SUMIF(INDIRECT("'"&amp;'Template Setup'!$C$4&amp;"'!C:C"),$A6,INDIRECT("'"&amp;'Template Setup'!$C$4&amp;"'!A:A")),0))</f>
        <v>2</v>
      </c>
      <c r="H6" s="12">
        <f ca="1">IF($A6="","",IFERROR(SUMIF(INDIRECT("'"&amp;'Template Setup'!$C$5&amp;"'!C:C"),$A6,INDIRECT("'"&amp;'Template Setup'!$C$5&amp;"'!A:A")),0))</f>
        <v>0</v>
      </c>
      <c r="I6" s="12">
        <f ca="1">IF($A6="","",IFERROR(SUMIF(INDIRECT("'"&amp;'Template Setup'!$C$6&amp;"'!C:C"),$A6,INDIRECT("'"&amp;'Template Setup'!$C$6&amp;"'!A:A")),0))</f>
        <v>0</v>
      </c>
      <c r="J6" s="12">
        <f ca="1">IF($A6="","",IFERROR(SUMIF(INDIRECT("'"&amp;'Template Setup'!$C$7&amp;"'!C:C"),$A6,INDIRECT("'"&amp;'Template Setup'!$C$7&amp;"'!A:A")),0))</f>
        <v>0</v>
      </c>
      <c r="K6" s="12">
        <f ca="1">IF($A6="","",IFERROR(SUMIF(INDIRECT("'"&amp;'Template Setup'!$C$8&amp;"'!C:C"),$A6,INDIRECT("'"&amp;'Template Setup'!$C$8&amp;"'!A:A")),0))</f>
        <v>0</v>
      </c>
      <c r="L6" s="11">
        <f ca="1">IF($A6="","",IFERROR(VALUE(MID(TRIM('Template Setup'!$C$4),FIND("-",TRIM('Template Setup'!$C$4))+1,10)),0))</f>
        <v>687</v>
      </c>
      <c r="M6" s="11">
        <f ca="1">IF($A6="","",IFERROR(VALUE(MID(TRIM('Template Setup'!$C$5),FIND("-",TRIM('Template Setup'!$C$5))+1,10)),0))</f>
        <v>0</v>
      </c>
      <c r="N6" s="11">
        <f ca="1">IF($A6="","",IFERROR(VALUE(MID(TRIM('Template Setup'!$C$6),FIND("-",TRIM('Template Setup'!$C$6))+1,10)),0))</f>
        <v>0</v>
      </c>
      <c r="O6" s="11">
        <f ca="1">IF($A6="","",IFERROR(VALUE(MID(TRIM('Template Setup'!$C$7),FIND("-",TRIM('Template Setup'!$C$7))+1,10)),0))</f>
        <v>0</v>
      </c>
      <c r="P6" s="11">
        <f ca="1">IF($A6="","",IFERROR(VALUE(MID(TRIM('Template Setup'!$C$8),FIND("-",TRIM('Template Setup'!$C$8))+1,10)),0))</f>
        <v>0</v>
      </c>
      <c r="Q6" s="9" t="str">
        <f ca="1">IF($A6="","",$A6&amp;"-"&amp;'Template Setup'!$C$16)</f>
        <v>4626107-7383695</v>
      </c>
      <c r="R6" s="24">
        <f t="shared" ca="1" si="0"/>
        <v>2</v>
      </c>
      <c r="S6" s="24"/>
      <c r="T6" s="24" t="str">
        <f t="shared" ca="1" si="1"/>
        <v/>
      </c>
      <c r="U6" s="6" t="s">
        <v>65</v>
      </c>
    </row>
    <row r="7" spans="1:22">
      <c r="A7" s="11">
        <f ca="1"/>
        <v>4634903</v>
      </c>
      <c r="B7" s="11" t="str">
        <f ca="1"/>
        <v>CONN,C-TAP,CU,#6SOL-#4STR,#6SOL/STR,COMP</v>
      </c>
      <c r="C7" s="11" t="str">
        <f ca="1"/>
        <v>EA</v>
      </c>
      <c r="D7" s="11" t="str">
        <f ca="1">IF($A7="","",_xlfn.TEXTJOIN(", ",TRUE,IF($G7&gt;0,'Template Setup'!$C$4,""),IF($H7&gt;0,'Template Setup'!$C$5,""),IF($I7&gt;0,'Template Setup'!$C$6,""),IF($J7&gt;0,'Template Setup'!$C$7,""),IF($K7&gt;0,'Template Setup'!$C$8,"")))</f>
        <v>FDC-687</v>
      </c>
      <c r="E7" s="6" t="str" cm="1">
        <f t="array" aca="1" ref="E7" ca="1">IF($A7="","",_xlfn.LET(_xlpm.sheets,CHOOSE({1,2,3,4,5},'Template Setup'!$C$4,'Template Setup'!$C$5,'Template Setup'!$C$6,'Template Setup'!$C$7,'Template Setup'!$C$8),_xlpm.nums,CHOOSE({1,2,3,4,5},$L7,$M7,$N7,$O7,$P7),_xlpm.qtys,CHOOSE({1,2,3,4,5},$G7,$H7,$I7,$J7,$K7),_xlpm.validNums,_xlfn._xlws.FILTER(_xlpm.nums,_xlpm.qtys&gt;0),_xlpm.validSheets,_xlfn._xlws.FILTER(_xlpm.sheets,_xlpm.qtys&gt;0),_xlpm.mx,IFERROR(MAX(_xlpm.validNums),0),IF(_xlpm.mx=0,"",INDEX(_xlpm.validSheets,MATCH(_xlpm.mx,_xlpm.validNums,0))&amp;" (+"&amp;$R7&amp;")")))</f>
        <v>FDC-687 (+1)</v>
      </c>
      <c r="F7" s="11" t="str">
        <f t="shared" ca="1" si="2"/>
        <v>PACP-FDC-000687</v>
      </c>
      <c r="G7" s="12">
        <f ca="1">IF($A7="","",IFERROR(SUMIF(INDIRECT("'"&amp;'Template Setup'!$C$4&amp;"'!C:C"),$A7,INDIRECT("'"&amp;'Template Setup'!$C$4&amp;"'!A:A")),0))</f>
        <v>1</v>
      </c>
      <c r="H7" s="12">
        <f ca="1">IF($A7="","",IFERROR(SUMIF(INDIRECT("'"&amp;'Template Setup'!$C$5&amp;"'!C:C"),$A7,INDIRECT("'"&amp;'Template Setup'!$C$5&amp;"'!A:A")),0))</f>
        <v>0</v>
      </c>
      <c r="I7" s="12">
        <f ca="1">IF($A7="","",IFERROR(SUMIF(INDIRECT("'"&amp;'Template Setup'!$C$6&amp;"'!C:C"),$A7,INDIRECT("'"&amp;'Template Setup'!$C$6&amp;"'!A:A")),0))</f>
        <v>0</v>
      </c>
      <c r="J7" s="12">
        <f ca="1">IF($A7="","",IFERROR(SUMIF(INDIRECT("'"&amp;'Template Setup'!$C$7&amp;"'!C:C"),$A7,INDIRECT("'"&amp;'Template Setup'!$C$7&amp;"'!A:A")),0))</f>
        <v>0</v>
      </c>
      <c r="K7" s="12">
        <f ca="1">IF($A7="","",IFERROR(SUMIF(INDIRECT("'"&amp;'Template Setup'!$C$8&amp;"'!C:C"),$A7,INDIRECT("'"&amp;'Template Setup'!$C$8&amp;"'!A:A")),0))</f>
        <v>0</v>
      </c>
      <c r="L7" s="11">
        <f ca="1">IF($A7="","",IFERROR(VALUE(MID(TRIM('Template Setup'!$C$4),FIND("-",TRIM('Template Setup'!$C$4))+1,10)),0))</f>
        <v>687</v>
      </c>
      <c r="M7" s="11">
        <f ca="1">IF($A7="","",IFERROR(VALUE(MID(TRIM('Template Setup'!$C$5),FIND("-",TRIM('Template Setup'!$C$5))+1,10)),0))</f>
        <v>0</v>
      </c>
      <c r="N7" s="11">
        <f ca="1">IF($A7="","",IFERROR(VALUE(MID(TRIM('Template Setup'!$C$6),FIND("-",TRIM('Template Setup'!$C$6))+1,10)),0))</f>
        <v>0</v>
      </c>
      <c r="O7" s="11">
        <f ca="1">IF($A7="","",IFERROR(VALUE(MID(TRIM('Template Setup'!$C$7),FIND("-",TRIM('Template Setup'!$C$7))+1,10)),0))</f>
        <v>0</v>
      </c>
      <c r="P7" s="11">
        <f ca="1">IF($A7="","",IFERROR(VALUE(MID(TRIM('Template Setup'!$C$8),FIND("-",TRIM('Template Setup'!$C$8))+1,10)),0))</f>
        <v>0</v>
      </c>
      <c r="Q7" s="9" t="str">
        <f ca="1">IF($A7="","",$A7&amp;"-"&amp;'Template Setup'!$C$16)</f>
        <v>4634903-7383695</v>
      </c>
      <c r="R7" s="24">
        <f t="shared" ca="1" si="0"/>
        <v>1</v>
      </c>
      <c r="S7" s="24"/>
      <c r="T7" s="24" t="str">
        <f t="shared" ca="1" si="1"/>
        <v/>
      </c>
      <c r="U7" s="6" t="s">
        <v>65</v>
      </c>
    </row>
    <row r="8" spans="1:22">
      <c r="A8" s="11">
        <f ca="1"/>
        <v>6117709</v>
      </c>
      <c r="B8" s="11" t="str">
        <f ca="1"/>
        <v>CONN,GRD,BRZ,XFMR,#8 SOL-#2 STR^</v>
      </c>
      <c r="C8" s="11" t="str">
        <f ca="1"/>
        <v>EA</v>
      </c>
      <c r="D8" s="11" t="str">
        <f ca="1">IF($A8="","",_xlfn.TEXTJOIN(", ",TRUE,IF($G8&gt;0,'Template Setup'!$C$4,""),IF($H8&gt;0,'Template Setup'!$C$5,""),IF($I8&gt;0,'Template Setup'!$C$6,""),IF($J8&gt;0,'Template Setup'!$C$7,""),IF($K8&gt;0,'Template Setup'!$C$8,"")))</f>
        <v>FDC-687</v>
      </c>
      <c r="E8" s="6" t="str" cm="1">
        <f t="array" aca="1" ref="E8" ca="1">IF($A8="","",_xlfn.LET(_xlpm.sheets,CHOOSE({1,2,3,4,5},'Template Setup'!$C$4,'Template Setup'!$C$5,'Template Setup'!$C$6,'Template Setup'!$C$7,'Template Setup'!$C$8),_xlpm.nums,CHOOSE({1,2,3,4,5},$L8,$M8,$N8,$O8,$P8),_xlpm.qtys,CHOOSE({1,2,3,4,5},$G8,$H8,$I8,$J8,$K8),_xlpm.validNums,_xlfn._xlws.FILTER(_xlpm.nums,_xlpm.qtys&gt;0),_xlpm.validSheets,_xlfn._xlws.FILTER(_xlpm.sheets,_xlpm.qtys&gt;0),_xlpm.mx,IFERROR(MAX(_xlpm.validNums),0),IF(_xlpm.mx=0,"",INDEX(_xlpm.validSheets,MATCH(_xlpm.mx,_xlpm.validNums,0))&amp;" (+"&amp;$R8&amp;")")))</f>
        <v>FDC-687 (+1)</v>
      </c>
      <c r="F8" s="11" t="str">
        <f t="shared" ca="1" si="2"/>
        <v>PACP-FDC-000687</v>
      </c>
      <c r="G8" s="12">
        <f ca="1">IF($A8="","",IFERROR(SUMIF(INDIRECT("'"&amp;'Template Setup'!$C$4&amp;"'!C:C"),$A8,INDIRECT("'"&amp;'Template Setup'!$C$4&amp;"'!A:A")),0))</f>
        <v>1</v>
      </c>
      <c r="H8" s="12">
        <f ca="1">IF($A8="","",IFERROR(SUMIF(INDIRECT("'"&amp;'Template Setup'!$C$5&amp;"'!C:C"),$A8,INDIRECT("'"&amp;'Template Setup'!$C$5&amp;"'!A:A")),0))</f>
        <v>0</v>
      </c>
      <c r="I8" s="12">
        <f ca="1">IF($A8="","",IFERROR(SUMIF(INDIRECT("'"&amp;'Template Setup'!$C$6&amp;"'!C:C"),$A8,INDIRECT("'"&amp;'Template Setup'!$C$6&amp;"'!A:A")),0))</f>
        <v>0</v>
      </c>
      <c r="J8" s="12">
        <f ca="1">IF($A8="","",IFERROR(SUMIF(INDIRECT("'"&amp;'Template Setup'!$C$7&amp;"'!C:C"),$A8,INDIRECT("'"&amp;'Template Setup'!$C$7&amp;"'!A:A")),0))</f>
        <v>0</v>
      </c>
      <c r="K8" s="12">
        <f ca="1">IF($A8="","",IFERROR(SUMIF(INDIRECT("'"&amp;'Template Setup'!$C$8&amp;"'!C:C"),$A8,INDIRECT("'"&amp;'Template Setup'!$C$8&amp;"'!A:A")),0))</f>
        <v>0</v>
      </c>
      <c r="L8" s="11">
        <f ca="1">IF($A8="","",IFERROR(VALUE(MID(TRIM('Template Setup'!$C$4),FIND("-",TRIM('Template Setup'!$C$4))+1,10)),0))</f>
        <v>687</v>
      </c>
      <c r="M8" s="11">
        <f ca="1">IF($A8="","",IFERROR(VALUE(MID(TRIM('Template Setup'!$C$5),FIND("-",TRIM('Template Setup'!$C$5))+1,10)),0))</f>
        <v>0</v>
      </c>
      <c r="N8" s="11">
        <f ca="1">IF($A8="","",IFERROR(VALUE(MID(TRIM('Template Setup'!$C$6),FIND("-",TRIM('Template Setup'!$C$6))+1,10)),0))</f>
        <v>0</v>
      </c>
      <c r="O8" s="11">
        <f ca="1">IF($A8="","",IFERROR(VALUE(MID(TRIM('Template Setup'!$C$7),FIND("-",TRIM('Template Setup'!$C$7))+1,10)),0))</f>
        <v>0</v>
      </c>
      <c r="P8" s="11">
        <f ca="1">IF($A8="","",IFERROR(VALUE(MID(TRIM('Template Setup'!$C$8),FIND("-",TRIM('Template Setup'!$C$8))+1,10)),0))</f>
        <v>0</v>
      </c>
      <c r="Q8" s="9" t="str">
        <f ca="1">IF($A8="","",$A8&amp;"-"&amp;'Template Setup'!$C$16)</f>
        <v>6117709-7383695</v>
      </c>
      <c r="R8" s="24">
        <f t="shared" ca="1" si="0"/>
        <v>1</v>
      </c>
      <c r="S8" s="24"/>
      <c r="T8" s="24" t="str">
        <f t="shared" ca="1" si="1"/>
        <v/>
      </c>
      <c r="U8" s="6" t="s">
        <v>65</v>
      </c>
    </row>
    <row r="9" spans="1:22">
      <c r="A9" s="11">
        <f ca="1"/>
        <v>6211106</v>
      </c>
      <c r="B9" s="11" t="str">
        <f ca="1"/>
        <v>BOLT,MACH,5/8" X 12",XARM,GALV</v>
      </c>
      <c r="C9" s="11" t="str">
        <f ca="1"/>
        <v>EA</v>
      </c>
      <c r="D9" s="11" t="str">
        <f ca="1">IF($A9="","",_xlfn.TEXTJOIN(", ",TRUE,IF($G9&gt;0,'Template Setup'!$C$4,""),IF($H9&gt;0,'Template Setup'!$C$5,""),IF($I9&gt;0,'Template Setup'!$C$6,""),IF($J9&gt;0,'Template Setup'!$C$7,""),IF($K9&gt;0,'Template Setup'!$C$8,"")))</f>
        <v>FDC-687</v>
      </c>
      <c r="E9" s="6" t="str" cm="1">
        <f t="array" aca="1" ref="E9" ca="1">IF($A9="","",_xlfn.LET(_xlpm.sheets,CHOOSE({1,2,3,4,5},'Template Setup'!$C$4,'Template Setup'!$C$5,'Template Setup'!$C$6,'Template Setup'!$C$7,'Template Setup'!$C$8),_xlpm.nums,CHOOSE({1,2,3,4,5},$L9,$M9,$N9,$O9,$P9),_xlpm.qtys,CHOOSE({1,2,3,4,5},$G9,$H9,$I9,$J9,$K9),_xlpm.validNums,_xlfn._xlws.FILTER(_xlpm.nums,_xlpm.qtys&gt;0),_xlpm.validSheets,_xlfn._xlws.FILTER(_xlpm.sheets,_xlpm.qtys&gt;0),_xlpm.mx,IFERROR(MAX(_xlpm.validNums),0),IF(_xlpm.mx=0,"",INDEX(_xlpm.validSheets,MATCH(_xlpm.mx,_xlpm.validNums,0))&amp;" (+"&amp;$R9&amp;")")))</f>
        <v>FDC-687 (+4)</v>
      </c>
      <c r="F9" s="11" t="str">
        <f t="shared" ca="1" si="2"/>
        <v>PACP-FDC-000687</v>
      </c>
      <c r="G9" s="12">
        <f ca="1">IF($A9="","",IFERROR(SUMIF(INDIRECT("'"&amp;'Template Setup'!$C$4&amp;"'!C:C"),$A9,INDIRECT("'"&amp;'Template Setup'!$C$4&amp;"'!A:A")),0))</f>
        <v>4</v>
      </c>
      <c r="H9" s="12">
        <f ca="1">IF($A9="","",IFERROR(SUMIF(INDIRECT("'"&amp;'Template Setup'!$C$5&amp;"'!C:C"),$A9,INDIRECT("'"&amp;'Template Setup'!$C$5&amp;"'!A:A")),0))</f>
        <v>0</v>
      </c>
      <c r="I9" s="12">
        <f ca="1">IF($A9="","",IFERROR(SUMIF(INDIRECT("'"&amp;'Template Setup'!$C$6&amp;"'!C:C"),$A9,INDIRECT("'"&amp;'Template Setup'!$C$6&amp;"'!A:A")),0))</f>
        <v>0</v>
      </c>
      <c r="J9" s="12">
        <f ca="1">IF($A9="","",IFERROR(SUMIF(INDIRECT("'"&amp;'Template Setup'!$C$7&amp;"'!C:C"),$A9,INDIRECT("'"&amp;'Template Setup'!$C$7&amp;"'!A:A")),0))</f>
        <v>0</v>
      </c>
      <c r="K9" s="12">
        <f ca="1">IF($A9="","",IFERROR(SUMIF(INDIRECT("'"&amp;'Template Setup'!$C$8&amp;"'!C:C"),$A9,INDIRECT("'"&amp;'Template Setup'!$C$8&amp;"'!A:A")),0))</f>
        <v>0</v>
      </c>
      <c r="L9" s="11">
        <f ca="1">IF($A9="","",IFERROR(VALUE(MID(TRIM('Template Setup'!$C$4),FIND("-",TRIM('Template Setup'!$C$4))+1,10)),0))</f>
        <v>687</v>
      </c>
      <c r="M9" s="11">
        <f ca="1">IF($A9="","",IFERROR(VALUE(MID(TRIM('Template Setup'!$C$5),FIND("-",TRIM('Template Setup'!$C$5))+1,10)),0))</f>
        <v>0</v>
      </c>
      <c r="N9" s="11">
        <f ca="1">IF($A9="","",IFERROR(VALUE(MID(TRIM('Template Setup'!$C$6),FIND("-",TRIM('Template Setup'!$C$6))+1,10)),0))</f>
        <v>0</v>
      </c>
      <c r="O9" s="11">
        <f ca="1">IF($A9="","",IFERROR(VALUE(MID(TRIM('Template Setup'!$C$7),FIND("-",TRIM('Template Setup'!$C$7))+1,10)),0))</f>
        <v>0</v>
      </c>
      <c r="P9" s="11">
        <f ca="1">IF($A9="","",IFERROR(VALUE(MID(TRIM('Template Setup'!$C$8),FIND("-",TRIM('Template Setup'!$C$8))+1,10)),0))</f>
        <v>0</v>
      </c>
      <c r="Q9" s="9" t="str">
        <f ca="1">IF($A9="","",$A9&amp;"-"&amp;'Template Setup'!$C$16)</f>
        <v>6211106-7383695</v>
      </c>
      <c r="R9" s="24">
        <f t="shared" ca="1" si="0"/>
        <v>4</v>
      </c>
      <c r="S9" s="24"/>
      <c r="T9" s="24" t="str">
        <f t="shared" ca="1" si="1"/>
        <v/>
      </c>
      <c r="U9" s="6" t="s">
        <v>65</v>
      </c>
    </row>
    <row r="10" spans="1:22">
      <c r="A10" s="11">
        <f ca="1"/>
        <v>6269203</v>
      </c>
      <c r="B10" s="11" t="str">
        <f ca="1"/>
        <v>WASHER,SQ,CURVED,3"X3", FOR 5/8 BOLTS</v>
      </c>
      <c r="C10" s="11" t="str">
        <f ca="1"/>
        <v>EA</v>
      </c>
      <c r="D10" s="11" t="str">
        <f ca="1">IF($A10="","",_xlfn.TEXTJOIN(", ",TRUE,IF($G10&gt;0,'Template Setup'!$C$4,""),IF($H10&gt;0,'Template Setup'!$C$5,""),IF($I10&gt;0,'Template Setup'!$C$6,""),IF($J10&gt;0,'Template Setup'!$C$7,""),IF($K10&gt;0,'Template Setup'!$C$8,"")))</f>
        <v>FDC-687</v>
      </c>
      <c r="E10" s="6" t="str" cm="1">
        <f t="array" aca="1" ref="E10" ca="1">IF($A10="","",_xlfn.LET(_xlpm.sheets,CHOOSE({1,2,3,4,5},'Template Setup'!$C$4,'Template Setup'!$C$5,'Template Setup'!$C$6,'Template Setup'!$C$7,'Template Setup'!$C$8),_xlpm.nums,CHOOSE({1,2,3,4,5},$L10,$M10,$N10,$O10,$P10),_xlpm.qtys,CHOOSE({1,2,3,4,5},$G10,$H10,$I10,$J10,$K10),_xlpm.validNums,_xlfn._xlws.FILTER(_xlpm.nums,_xlpm.qtys&gt;0),_xlpm.validSheets,_xlfn._xlws.FILTER(_xlpm.sheets,_xlpm.qtys&gt;0),_xlpm.mx,IFERROR(MAX(_xlpm.validNums),0),IF(_xlpm.mx=0,"",INDEX(_xlpm.validSheets,MATCH(_xlpm.mx,_xlpm.validNums,0))&amp;" (+"&amp;$R10&amp;")")))</f>
        <v>FDC-687 (+4)</v>
      </c>
      <c r="F10" s="11" t="str">
        <f t="shared" ca="1" si="2"/>
        <v>PACP-FDC-000687</v>
      </c>
      <c r="G10" s="12">
        <f ca="1">IF($A10="","",IFERROR(SUMIF(INDIRECT("'"&amp;'Template Setup'!$C$4&amp;"'!C:C"),$A10,INDIRECT("'"&amp;'Template Setup'!$C$4&amp;"'!A:A")),0))</f>
        <v>4</v>
      </c>
      <c r="H10" s="12">
        <f ca="1">IF($A10="","",IFERROR(SUMIF(INDIRECT("'"&amp;'Template Setup'!$C$5&amp;"'!C:C"),$A10,INDIRECT("'"&amp;'Template Setup'!$C$5&amp;"'!A:A")),0))</f>
        <v>0</v>
      </c>
      <c r="I10" s="12">
        <f ca="1">IF($A10="","",IFERROR(SUMIF(INDIRECT("'"&amp;'Template Setup'!$C$6&amp;"'!C:C"),$A10,INDIRECT("'"&amp;'Template Setup'!$C$6&amp;"'!A:A")),0))</f>
        <v>0</v>
      </c>
      <c r="J10" s="12">
        <f ca="1">IF($A10="","",IFERROR(SUMIF(INDIRECT("'"&amp;'Template Setup'!$C$7&amp;"'!C:C"),$A10,INDIRECT("'"&amp;'Template Setup'!$C$7&amp;"'!A:A")),0))</f>
        <v>0</v>
      </c>
      <c r="K10" s="12">
        <f ca="1">IF($A10="","",IFERROR(SUMIF(INDIRECT("'"&amp;'Template Setup'!$C$8&amp;"'!C:C"),$A10,INDIRECT("'"&amp;'Template Setup'!$C$8&amp;"'!A:A")),0))</f>
        <v>0</v>
      </c>
      <c r="L10" s="11">
        <f ca="1">IF($A10="","",IFERROR(VALUE(MID(TRIM('Template Setup'!$C$4),FIND("-",TRIM('Template Setup'!$C$4))+1,10)),0))</f>
        <v>687</v>
      </c>
      <c r="M10" s="11">
        <f ca="1">IF($A10="","",IFERROR(VALUE(MID(TRIM('Template Setup'!$C$5),FIND("-",TRIM('Template Setup'!$C$5))+1,10)),0))</f>
        <v>0</v>
      </c>
      <c r="N10" s="11">
        <f ca="1">IF($A10="","",IFERROR(VALUE(MID(TRIM('Template Setup'!$C$6),FIND("-",TRIM('Template Setup'!$C$6))+1,10)),0))</f>
        <v>0</v>
      </c>
      <c r="O10" s="11">
        <f ca="1">IF($A10="","",IFERROR(VALUE(MID(TRIM('Template Setup'!$C$7),FIND("-",TRIM('Template Setup'!$C$7))+1,10)),0))</f>
        <v>0</v>
      </c>
      <c r="P10" s="11">
        <f ca="1">IF($A10="","",IFERROR(VALUE(MID(TRIM('Template Setup'!$C$8),FIND("-",TRIM('Template Setup'!$C$8))+1,10)),0))</f>
        <v>0</v>
      </c>
      <c r="Q10" s="9" t="str">
        <f ca="1">IF($A10="","",$A10&amp;"-"&amp;'Template Setup'!$C$16)</f>
        <v>6269203-7383695</v>
      </c>
      <c r="R10" s="24">
        <f t="shared" ca="1" si="0"/>
        <v>4</v>
      </c>
      <c r="S10" s="24"/>
      <c r="T10" s="24" t="str">
        <f t="shared" ca="1" si="1"/>
        <v/>
      </c>
      <c r="U10" s="6" t="str">
        <f t="shared" ref="U10:U17" ca="1" si="3">IF($A10="","","☐")</f>
        <v>☐</v>
      </c>
    </row>
    <row r="11" spans="1:22">
      <c r="A11" s="11">
        <f ca="1"/>
        <v>6279707</v>
      </c>
      <c r="B11" s="11" t="str">
        <f ca="1"/>
        <v>WASHER,SPRING,5/8",DOUBLE HELIX</v>
      </c>
      <c r="C11" s="11" t="str">
        <f ca="1"/>
        <v>EA</v>
      </c>
      <c r="D11" s="11" t="str">
        <f ca="1">IF($A11="","",_xlfn.TEXTJOIN(", ",TRUE,IF($G11&gt;0,'Template Setup'!$C$4,""),IF($H11&gt;0,'Template Setup'!$C$5,""),IF($I11&gt;0,'Template Setup'!$C$6,""),IF($J11&gt;0,'Template Setup'!$C$7,""),IF($K11&gt;0,'Template Setup'!$C$8,"")))</f>
        <v>FDC-687</v>
      </c>
      <c r="E11" s="6" t="str" cm="1">
        <f t="array" aca="1" ref="E11" ca="1">IF($A11="","",_xlfn.LET(_xlpm.sheets,CHOOSE({1,2,3,4,5},'Template Setup'!$C$4,'Template Setup'!$C$5,'Template Setup'!$C$6,'Template Setup'!$C$7,'Template Setup'!$C$8),_xlpm.nums,CHOOSE({1,2,3,4,5},$L11,$M11,$N11,$O11,$P11),_xlpm.qtys,CHOOSE({1,2,3,4,5},$G11,$H11,$I11,$J11,$K11),_xlpm.validNums,_xlfn._xlws.FILTER(_xlpm.nums,_xlpm.qtys&gt;0),_xlpm.validSheets,_xlfn._xlws.FILTER(_xlpm.sheets,_xlpm.qtys&gt;0),_xlpm.mx,IFERROR(MAX(_xlpm.validNums),0),IF(_xlpm.mx=0,"",INDEX(_xlpm.validSheets,MATCH(_xlpm.mx,_xlpm.validNums,0))&amp;" (+"&amp;$R11&amp;")")))</f>
        <v>FDC-687 (+4)</v>
      </c>
      <c r="F11" s="11" t="str">
        <f t="shared" ca="1" si="2"/>
        <v>PACP-FDC-000687</v>
      </c>
      <c r="G11" s="12">
        <f ca="1">IF($A11="","",IFERROR(SUMIF(INDIRECT("'"&amp;'Template Setup'!$C$4&amp;"'!C:C"),$A11,INDIRECT("'"&amp;'Template Setup'!$C$4&amp;"'!A:A")),0))</f>
        <v>4</v>
      </c>
      <c r="H11" s="12">
        <f ca="1">IF($A11="","",IFERROR(SUMIF(INDIRECT("'"&amp;'Template Setup'!$C$5&amp;"'!C:C"),$A11,INDIRECT("'"&amp;'Template Setup'!$C$5&amp;"'!A:A")),0))</f>
        <v>0</v>
      </c>
      <c r="I11" s="12">
        <f ca="1">IF($A11="","",IFERROR(SUMIF(INDIRECT("'"&amp;'Template Setup'!$C$6&amp;"'!C:C"),$A11,INDIRECT("'"&amp;'Template Setup'!$C$6&amp;"'!A:A")),0))</f>
        <v>0</v>
      </c>
      <c r="J11" s="12">
        <f ca="1">IF($A11="","",IFERROR(SUMIF(INDIRECT("'"&amp;'Template Setup'!$C$7&amp;"'!C:C"),$A11,INDIRECT("'"&amp;'Template Setup'!$C$7&amp;"'!A:A")),0))</f>
        <v>0</v>
      </c>
      <c r="K11" s="12">
        <f ca="1">IF($A11="","",IFERROR(SUMIF(INDIRECT("'"&amp;'Template Setup'!$C$8&amp;"'!C:C"),$A11,INDIRECT("'"&amp;'Template Setup'!$C$8&amp;"'!A:A")),0))</f>
        <v>0</v>
      </c>
      <c r="L11" s="11">
        <f ca="1">IF($A11="","",IFERROR(VALUE(MID(TRIM('Template Setup'!$C$4),FIND("-",TRIM('Template Setup'!$C$4))+1,10)),0))</f>
        <v>687</v>
      </c>
      <c r="M11" s="11">
        <f ca="1">IF($A11="","",IFERROR(VALUE(MID(TRIM('Template Setup'!$C$5),FIND("-",TRIM('Template Setup'!$C$5))+1,10)),0))</f>
        <v>0</v>
      </c>
      <c r="N11" s="11">
        <f ca="1">IF($A11="","",IFERROR(VALUE(MID(TRIM('Template Setup'!$C$6),FIND("-",TRIM('Template Setup'!$C$6))+1,10)),0))</f>
        <v>0</v>
      </c>
      <c r="O11" s="11">
        <f ca="1">IF($A11="","",IFERROR(VALUE(MID(TRIM('Template Setup'!$C$7),FIND("-",TRIM('Template Setup'!$C$7))+1,10)),0))</f>
        <v>0</v>
      </c>
      <c r="P11" s="11">
        <f ca="1">IF($A11="","",IFERROR(VALUE(MID(TRIM('Template Setup'!$C$8),FIND("-",TRIM('Template Setup'!$C$8))+1,10)),0))</f>
        <v>0</v>
      </c>
      <c r="Q11" s="9" t="str">
        <f ca="1">IF($A11="","",$A11&amp;"-"&amp;'Template Setup'!$C$16)</f>
        <v>6279707-7383695</v>
      </c>
      <c r="R11" s="24">
        <f t="shared" ca="1" si="0"/>
        <v>4</v>
      </c>
      <c r="S11" s="24"/>
      <c r="T11" s="24" t="str">
        <f t="shared" ca="1" si="1"/>
        <v/>
      </c>
      <c r="U11" s="6" t="str">
        <f t="shared" ca="1" si="3"/>
        <v>☐</v>
      </c>
    </row>
    <row r="12" spans="1:22">
      <c r="A12" s="11">
        <f ca="1"/>
        <v>7991222</v>
      </c>
      <c r="B12" s="11" t="str">
        <f ca="1"/>
        <v>BRACKET,FIBERGLASS,18",CUTOUT &amp; ARRESTER</v>
      </c>
      <c r="C12" s="11" t="str">
        <f ca="1"/>
        <v>EA</v>
      </c>
      <c r="D12" s="11" t="str">
        <f ca="1">IF($A12="","",_xlfn.TEXTJOIN(", ",TRUE,IF($G12&gt;0,'Template Setup'!$C$4,""),IF($H12&gt;0,'Template Setup'!$C$5,""),IF($I12&gt;0,'Template Setup'!$C$6,""),IF($J12&gt;0,'Template Setup'!$C$7,""),IF($K12&gt;0,'Template Setup'!$C$8,"")))</f>
        <v>FDC-687</v>
      </c>
      <c r="E12" s="6" t="str" cm="1">
        <f t="array" aca="1" ref="E12" ca="1">IF($A12="","",_xlfn.LET(_xlpm.sheets,CHOOSE({1,2,3,4,5},'Template Setup'!$C$4,'Template Setup'!$C$5,'Template Setup'!$C$6,'Template Setup'!$C$7,'Template Setup'!$C$8),_xlpm.nums,CHOOSE({1,2,3,4,5},$L12,$M12,$N12,$O12,$P12),_xlpm.qtys,CHOOSE({1,2,3,4,5},$G12,$H12,$I12,$J12,$K12),_xlpm.validNums,_xlfn._xlws.FILTER(_xlpm.nums,_xlpm.qtys&gt;0),_xlpm.validSheets,_xlfn._xlws.FILTER(_xlpm.sheets,_xlpm.qtys&gt;0),_xlpm.mx,IFERROR(MAX(_xlpm.validNums),0),IF(_xlpm.mx=0,"",INDEX(_xlpm.validSheets,MATCH(_xlpm.mx,_xlpm.validNums,0))&amp;" (+"&amp;$R12&amp;")")))</f>
        <v>FDC-687 (+1)</v>
      </c>
      <c r="F12" s="11" t="str">
        <f t="shared" ca="1" si="2"/>
        <v>PACP-FDC-000687</v>
      </c>
      <c r="G12" s="12">
        <f ca="1">IF($A12="","",IFERROR(SUMIF(INDIRECT("'"&amp;'Template Setup'!$C$4&amp;"'!C:C"),$A12,INDIRECT("'"&amp;'Template Setup'!$C$4&amp;"'!A:A")),0))</f>
        <v>1</v>
      </c>
      <c r="H12" s="12">
        <f ca="1">IF($A12="","",IFERROR(SUMIF(INDIRECT("'"&amp;'Template Setup'!$C$5&amp;"'!C:C"),$A12,INDIRECT("'"&amp;'Template Setup'!$C$5&amp;"'!A:A")),0))</f>
        <v>0</v>
      </c>
      <c r="I12" s="12">
        <f ca="1">IF($A12="","",IFERROR(SUMIF(INDIRECT("'"&amp;'Template Setup'!$C$6&amp;"'!C:C"),$A12,INDIRECT("'"&amp;'Template Setup'!$C$6&amp;"'!A:A")),0))</f>
        <v>0</v>
      </c>
      <c r="J12" s="12">
        <f ca="1">IF($A12="","",IFERROR(SUMIF(INDIRECT("'"&amp;'Template Setup'!$C$7&amp;"'!C:C"),$A12,INDIRECT("'"&amp;'Template Setup'!$C$7&amp;"'!A:A")),0))</f>
        <v>0</v>
      </c>
      <c r="K12" s="12">
        <f ca="1">IF($A12="","",IFERROR(SUMIF(INDIRECT("'"&amp;'Template Setup'!$C$8&amp;"'!C:C"),$A12,INDIRECT("'"&amp;'Template Setup'!$C$8&amp;"'!A:A")),0))</f>
        <v>0</v>
      </c>
      <c r="L12" s="11">
        <f ca="1">IF($A12="","",IFERROR(VALUE(MID(TRIM('Template Setup'!$C$4),FIND("-",TRIM('Template Setup'!$C$4))+1,10)),0))</f>
        <v>687</v>
      </c>
      <c r="M12" s="11">
        <f ca="1">IF($A12="","",IFERROR(VALUE(MID(TRIM('Template Setup'!$C$5),FIND("-",TRIM('Template Setup'!$C$5))+1,10)),0))</f>
        <v>0</v>
      </c>
      <c r="N12" s="11">
        <f ca="1">IF($A12="","",IFERROR(VALUE(MID(TRIM('Template Setup'!$C$6),FIND("-",TRIM('Template Setup'!$C$6))+1,10)),0))</f>
        <v>0</v>
      </c>
      <c r="O12" s="11">
        <f ca="1">IF($A12="","",IFERROR(VALUE(MID(TRIM('Template Setup'!$C$7),FIND("-",TRIM('Template Setup'!$C$7))+1,10)),0))</f>
        <v>0</v>
      </c>
      <c r="P12" s="11">
        <f ca="1">IF($A12="","",IFERROR(VALUE(MID(TRIM('Template Setup'!$C$8),FIND("-",TRIM('Template Setup'!$C$8))+1,10)),0))</f>
        <v>0</v>
      </c>
      <c r="Q12" s="9" t="str">
        <f ca="1">IF($A12="","",$A12&amp;"-"&amp;'Template Setup'!$C$16)</f>
        <v>7991222-7383695</v>
      </c>
      <c r="R12" s="24">
        <f t="shared" ca="1" si="0"/>
        <v>1</v>
      </c>
      <c r="S12" s="24"/>
      <c r="T12" s="24" t="str">
        <f t="shared" ca="1" si="1"/>
        <v/>
      </c>
      <c r="U12" s="6" t="str">
        <f t="shared" ca="1" si="3"/>
        <v>☐</v>
      </c>
    </row>
    <row r="13" spans="1:22">
      <c r="A13" s="11">
        <f ca="1"/>
        <v>7999036</v>
      </c>
      <c r="B13" s="11" t="str">
        <f ca="1"/>
        <v>WIRE,JUMPER,#6-7 CU,SOFT-D,80 MILS COVER</v>
      </c>
      <c r="C13" s="11" t="str">
        <f ca="1"/>
        <v>FT</v>
      </c>
      <c r="D13" s="11" t="str">
        <f ca="1">IF($A13="","",_xlfn.TEXTJOIN(", ",TRUE,IF($G13&gt;0,'Template Setup'!$C$4,""),IF($H13&gt;0,'Template Setup'!$C$5,""),IF($I13&gt;0,'Template Setup'!$C$6,""),IF($J13&gt;0,'Template Setup'!$C$7,""),IF($K13&gt;0,'Template Setup'!$C$8,"")))</f>
        <v>FDC-687</v>
      </c>
      <c r="E13" s="6" t="str" cm="1">
        <f t="array" aca="1" ref="E13" ca="1">IF($A13="","",_xlfn.LET(_xlpm.sheets,CHOOSE({1,2,3,4,5},'Template Setup'!$C$4,'Template Setup'!$C$5,'Template Setup'!$C$6,'Template Setup'!$C$7,'Template Setup'!$C$8),_xlpm.nums,CHOOSE({1,2,3,4,5},$L13,$M13,$N13,$O13,$P13),_xlpm.qtys,CHOOSE({1,2,3,4,5},$G13,$H13,$I13,$J13,$K13),_xlpm.validNums,_xlfn._xlws.FILTER(_xlpm.nums,_xlpm.qtys&gt;0),_xlpm.validSheets,_xlfn._xlws.FILTER(_xlpm.sheets,_xlpm.qtys&gt;0),_xlpm.mx,IFERROR(MAX(_xlpm.validNums),0),IF(_xlpm.mx=0,"",INDEX(_xlpm.validSheets,MATCH(_xlpm.mx,_xlpm.validNums,0))&amp;" (+"&amp;$R13&amp;")")))</f>
        <v>FDC-687 (+24)</v>
      </c>
      <c r="F13" s="11" t="str">
        <f t="shared" ca="1" si="2"/>
        <v>PACP-FDC-000687</v>
      </c>
      <c r="G13" s="12">
        <f ca="1">IF($A13="","",IFERROR(SUMIF(INDIRECT("'"&amp;'Template Setup'!$C$4&amp;"'!C:C"),$A13,INDIRECT("'"&amp;'Template Setup'!$C$4&amp;"'!A:A")),0))</f>
        <v>24</v>
      </c>
      <c r="H13" s="12">
        <f ca="1">IF($A13="","",IFERROR(SUMIF(INDIRECT("'"&amp;'Template Setup'!$C$5&amp;"'!C:C"),$A13,INDIRECT("'"&amp;'Template Setup'!$C$5&amp;"'!A:A")),0))</f>
        <v>0</v>
      </c>
      <c r="I13" s="12">
        <f ca="1">IF($A13="","",IFERROR(SUMIF(INDIRECT("'"&amp;'Template Setup'!$C$6&amp;"'!C:C"),$A13,INDIRECT("'"&amp;'Template Setup'!$C$6&amp;"'!A:A")),0))</f>
        <v>0</v>
      </c>
      <c r="J13" s="12">
        <f ca="1">IF($A13="","",IFERROR(SUMIF(INDIRECT("'"&amp;'Template Setup'!$C$7&amp;"'!C:C"),$A13,INDIRECT("'"&amp;'Template Setup'!$C$7&amp;"'!A:A")),0))</f>
        <v>0</v>
      </c>
      <c r="K13" s="12">
        <f ca="1">IF($A13="","",IFERROR(SUMIF(INDIRECT("'"&amp;'Template Setup'!$C$8&amp;"'!C:C"),$A13,INDIRECT("'"&amp;'Template Setup'!$C$8&amp;"'!A:A")),0))</f>
        <v>0</v>
      </c>
      <c r="L13" s="11">
        <f ca="1">IF($A13="","",IFERROR(VALUE(MID(TRIM('Template Setup'!$C$4),FIND("-",TRIM('Template Setup'!$C$4))+1,10)),0))</f>
        <v>687</v>
      </c>
      <c r="M13" s="11">
        <f ca="1">IF($A13="","",IFERROR(VALUE(MID(TRIM('Template Setup'!$C$5),FIND("-",TRIM('Template Setup'!$C$5))+1,10)),0))</f>
        <v>0</v>
      </c>
      <c r="N13" s="11">
        <f ca="1">IF($A13="","",IFERROR(VALUE(MID(TRIM('Template Setup'!$C$6),FIND("-",TRIM('Template Setup'!$C$6))+1,10)),0))</f>
        <v>0</v>
      </c>
      <c r="O13" s="11">
        <f ca="1">IF($A13="","",IFERROR(VALUE(MID(TRIM('Template Setup'!$C$7),FIND("-",TRIM('Template Setup'!$C$7))+1,10)),0))</f>
        <v>0</v>
      </c>
      <c r="P13" s="11">
        <f ca="1">IF($A13="","",IFERROR(VALUE(MID(TRIM('Template Setup'!$C$8),FIND("-",TRIM('Template Setup'!$C$8))+1,10)),0))</f>
        <v>0</v>
      </c>
      <c r="Q13" s="9" t="str">
        <f ca="1">IF($A13="","",$A13&amp;"-"&amp;'Template Setup'!$C$16)</f>
        <v>7999036-7383695</v>
      </c>
      <c r="R13" s="24">
        <f t="shared" ca="1" si="0"/>
        <v>24</v>
      </c>
      <c r="S13" s="24"/>
      <c r="T13" s="24" t="str">
        <f t="shared" ca="1" si="1"/>
        <v/>
      </c>
      <c r="U13" s="6" t="str">
        <f t="shared" ca="1" si="3"/>
        <v>☐</v>
      </c>
    </row>
    <row r="14" spans="1:22">
      <c r="A14" s="11">
        <f ca="1"/>
        <v>7999719</v>
      </c>
      <c r="B14" s="11" t="str">
        <f ca="1"/>
        <v>CUTOUT,POLYMER,27KV,100A,12KA,UNIVERSAL^</v>
      </c>
      <c r="C14" s="11" t="str">
        <f ca="1"/>
        <v>EA</v>
      </c>
      <c r="D14" s="11" t="str">
        <f ca="1">IF($A14="","",_xlfn.TEXTJOIN(", ",TRUE,IF($G14&gt;0,'Template Setup'!$C$4,""),IF($H14&gt;0,'Template Setup'!$C$5,""),IF($I14&gt;0,'Template Setup'!$C$6,""),IF($J14&gt;0,'Template Setup'!$C$7,""),IF($K14&gt;0,'Template Setup'!$C$8,"")))</f>
        <v>FDC-687</v>
      </c>
      <c r="E14" s="6" t="str" cm="1">
        <f t="array" aca="1" ref="E14" ca="1">IF($A14="","",_xlfn.LET(_xlpm.sheets,CHOOSE({1,2,3,4,5},'Template Setup'!$C$4,'Template Setup'!$C$5,'Template Setup'!$C$6,'Template Setup'!$C$7,'Template Setup'!$C$8),_xlpm.nums,CHOOSE({1,2,3,4,5},$L14,$M14,$N14,$O14,$P14),_xlpm.qtys,CHOOSE({1,2,3,4,5},$G14,$H14,$I14,$J14,$K14),_xlpm.validNums,_xlfn._xlws.FILTER(_xlpm.nums,_xlpm.qtys&gt;0),_xlpm.validSheets,_xlfn._xlws.FILTER(_xlpm.sheets,_xlpm.qtys&gt;0),_xlpm.mx,IFERROR(MAX(_xlpm.validNums),0),IF(_xlpm.mx=0,"",INDEX(_xlpm.validSheets,MATCH(_xlpm.mx,_xlpm.validNums,0))&amp;" (+"&amp;$R14&amp;")")))</f>
        <v>FDC-687 (+1)</v>
      </c>
      <c r="F14" s="11" t="str">
        <f t="shared" ca="1" si="2"/>
        <v>PACP-FDC-000687</v>
      </c>
      <c r="G14" s="12">
        <f ca="1">IF($A14="","",IFERROR(SUMIF(INDIRECT("'"&amp;'Template Setup'!$C$4&amp;"'!C:C"),$A14,INDIRECT("'"&amp;'Template Setup'!$C$4&amp;"'!A:A")),0))</f>
        <v>1</v>
      </c>
      <c r="H14" s="12">
        <f ca="1">IF($A14="","",IFERROR(SUMIF(INDIRECT("'"&amp;'Template Setup'!$C$5&amp;"'!C:C"),$A14,INDIRECT("'"&amp;'Template Setup'!$C$5&amp;"'!A:A")),0))</f>
        <v>0</v>
      </c>
      <c r="I14" s="12">
        <f ca="1">IF($A14="","",IFERROR(SUMIF(INDIRECT("'"&amp;'Template Setup'!$C$6&amp;"'!C:C"),$A14,INDIRECT("'"&amp;'Template Setup'!$C$6&amp;"'!A:A")),0))</f>
        <v>0</v>
      </c>
      <c r="J14" s="12">
        <f ca="1">IF($A14="","",IFERROR(SUMIF(INDIRECT("'"&amp;'Template Setup'!$C$7&amp;"'!C:C"),$A14,INDIRECT("'"&amp;'Template Setup'!$C$7&amp;"'!A:A")),0))</f>
        <v>0</v>
      </c>
      <c r="K14" s="12">
        <f ca="1">IF($A14="","",IFERROR(SUMIF(INDIRECT("'"&amp;'Template Setup'!$C$8&amp;"'!C:C"),$A14,INDIRECT("'"&amp;'Template Setup'!$C$8&amp;"'!A:A")),0))</f>
        <v>0</v>
      </c>
      <c r="L14" s="11">
        <f ca="1">IF($A14="","",IFERROR(VALUE(MID(TRIM('Template Setup'!$C$4),FIND("-",TRIM('Template Setup'!$C$4))+1,10)),0))</f>
        <v>687</v>
      </c>
      <c r="M14" s="11">
        <f ca="1">IF($A14="","",IFERROR(VALUE(MID(TRIM('Template Setup'!$C$5),FIND("-",TRIM('Template Setup'!$C$5))+1,10)),0))</f>
        <v>0</v>
      </c>
      <c r="N14" s="11">
        <f ca="1">IF($A14="","",IFERROR(VALUE(MID(TRIM('Template Setup'!$C$6),FIND("-",TRIM('Template Setup'!$C$6))+1,10)),0))</f>
        <v>0</v>
      </c>
      <c r="O14" s="11">
        <f ca="1">IF($A14="","",IFERROR(VALUE(MID(TRIM('Template Setup'!$C$7),FIND("-",TRIM('Template Setup'!$C$7))+1,10)),0))</f>
        <v>0</v>
      </c>
      <c r="P14" s="11">
        <f ca="1">IF($A14="","",IFERROR(VALUE(MID(TRIM('Template Setup'!$C$8),FIND("-",TRIM('Template Setup'!$C$8))+1,10)),0))</f>
        <v>0</v>
      </c>
      <c r="Q14" s="9" t="str">
        <f ca="1">IF($A14="","",$A14&amp;"-"&amp;'Template Setup'!$C$16)</f>
        <v>7999719-7383695</v>
      </c>
      <c r="R14" s="24">
        <f t="shared" ca="1" si="0"/>
        <v>1</v>
      </c>
      <c r="S14" s="24"/>
      <c r="T14" s="24" t="str">
        <f t="shared" ca="1" si="1"/>
        <v/>
      </c>
      <c r="U14" s="6" t="str">
        <f t="shared" ca="1" si="3"/>
        <v>☐</v>
      </c>
    </row>
    <row r="15" spans="1:22">
      <c r="A15" s="11">
        <f ca="1"/>
        <v>7999796</v>
      </c>
      <c r="B15" s="11" t="str">
        <f ca="1"/>
        <v>GUARD,SPRING LOADED,EQUIP BUSHING COVER^</v>
      </c>
      <c r="C15" s="11" t="str">
        <f ca="1"/>
        <v>EA</v>
      </c>
      <c r="D15" s="11" t="str">
        <f ca="1">IF($A15="","",_xlfn.TEXTJOIN(", ",TRUE,IF($G15&gt;0,'Template Setup'!$C$4,""),IF($H15&gt;0,'Template Setup'!$C$5,""),IF($I15&gt;0,'Template Setup'!$C$6,""),IF($J15&gt;0,'Template Setup'!$C$7,""),IF($K15&gt;0,'Template Setup'!$C$8,"")))</f>
        <v>FDC-687</v>
      </c>
      <c r="E15" s="6" t="str" cm="1">
        <f t="array" aca="1" ref="E15" ca="1">IF($A15="","",_xlfn.LET(_xlpm.sheets,CHOOSE({1,2,3,4,5},'Template Setup'!$C$4,'Template Setup'!$C$5,'Template Setup'!$C$6,'Template Setup'!$C$7,'Template Setup'!$C$8),_xlpm.nums,CHOOSE({1,2,3,4,5},$L15,$M15,$N15,$O15,$P15),_xlpm.qtys,CHOOSE({1,2,3,4,5},$G15,$H15,$I15,$J15,$K15),_xlpm.validNums,_xlfn._xlws.FILTER(_xlpm.nums,_xlpm.qtys&gt;0),_xlpm.validSheets,_xlfn._xlws.FILTER(_xlpm.sheets,_xlpm.qtys&gt;0),_xlpm.mx,IFERROR(MAX(_xlpm.validNums),0),IF(_xlpm.mx=0,"",INDEX(_xlpm.validSheets,MATCH(_xlpm.mx,_xlpm.validNums,0))&amp;" (+"&amp;$R15&amp;")")))</f>
        <v>FDC-687 (+1)</v>
      </c>
      <c r="F15" s="11" t="str">
        <f t="shared" ca="1" si="2"/>
        <v>PACP-FDC-000687</v>
      </c>
      <c r="G15" s="12">
        <f ca="1">IF($A15="","",IFERROR(SUMIF(INDIRECT("'"&amp;'Template Setup'!$C$4&amp;"'!C:C"),$A15,INDIRECT("'"&amp;'Template Setup'!$C$4&amp;"'!A:A")),0))</f>
        <v>1</v>
      </c>
      <c r="H15" s="12">
        <f ca="1">IF($A15="","",IFERROR(SUMIF(INDIRECT("'"&amp;'Template Setup'!$C$5&amp;"'!C:C"),$A15,INDIRECT("'"&amp;'Template Setup'!$C$5&amp;"'!A:A")),0))</f>
        <v>0</v>
      </c>
      <c r="I15" s="12">
        <f ca="1">IF($A15="","",IFERROR(SUMIF(INDIRECT("'"&amp;'Template Setup'!$C$6&amp;"'!C:C"),$A15,INDIRECT("'"&amp;'Template Setup'!$C$6&amp;"'!A:A")),0))</f>
        <v>0</v>
      </c>
      <c r="J15" s="12">
        <f ca="1">IF($A15="","",IFERROR(SUMIF(INDIRECT("'"&amp;'Template Setup'!$C$7&amp;"'!C:C"),$A15,INDIRECT("'"&amp;'Template Setup'!$C$7&amp;"'!A:A")),0))</f>
        <v>0</v>
      </c>
      <c r="K15" s="12">
        <f ca="1">IF($A15="","",IFERROR(SUMIF(INDIRECT("'"&amp;'Template Setup'!$C$8&amp;"'!C:C"),$A15,INDIRECT("'"&amp;'Template Setup'!$C$8&amp;"'!A:A")),0))</f>
        <v>0</v>
      </c>
      <c r="L15" s="11">
        <f ca="1">IF($A15="","",IFERROR(VALUE(MID(TRIM('Template Setup'!$C$4),FIND("-",TRIM('Template Setup'!$C$4))+1,10)),0))</f>
        <v>687</v>
      </c>
      <c r="M15" s="11">
        <f ca="1">IF($A15="","",IFERROR(VALUE(MID(TRIM('Template Setup'!$C$5),FIND("-",TRIM('Template Setup'!$C$5))+1,10)),0))</f>
        <v>0</v>
      </c>
      <c r="N15" s="11">
        <f ca="1">IF($A15="","",IFERROR(VALUE(MID(TRIM('Template Setup'!$C$6),FIND("-",TRIM('Template Setup'!$C$6))+1,10)),0))</f>
        <v>0</v>
      </c>
      <c r="O15" s="11">
        <f ca="1">IF($A15="","",IFERROR(VALUE(MID(TRIM('Template Setup'!$C$7),FIND("-",TRIM('Template Setup'!$C$7))+1,10)),0))</f>
        <v>0</v>
      </c>
      <c r="P15" s="11">
        <f ca="1">IF($A15="","",IFERROR(VALUE(MID(TRIM('Template Setup'!$C$8),FIND("-",TRIM('Template Setup'!$C$8))+1,10)),0))</f>
        <v>0</v>
      </c>
      <c r="Q15" s="9" t="str">
        <f ca="1">IF($A15="","",$A15&amp;"-"&amp;'Template Setup'!$C$16)</f>
        <v>7999796-7383695</v>
      </c>
      <c r="R15" s="24">
        <f t="shared" ca="1" si="0"/>
        <v>1</v>
      </c>
      <c r="S15" s="24"/>
      <c r="T15" s="24" t="str">
        <f t="shared" ca="1" si="1"/>
        <v/>
      </c>
      <c r="U15" s="6" t="str">
        <f t="shared" ca="1" si="3"/>
        <v>☐</v>
      </c>
    </row>
    <row r="16" spans="1:22">
      <c r="A16" s="11">
        <f ca="1"/>
        <v>8004492</v>
      </c>
      <c r="B16" s="11" t="str">
        <f ca="1"/>
        <v>FUSE,ELF,6A,8.3KV,27KV CUTOUT,SGL BARREL</v>
      </c>
      <c r="C16" s="11" t="str">
        <f ca="1"/>
        <v>EA</v>
      </c>
      <c r="D16" s="11" t="str">
        <f ca="1">IF($A16="","",_xlfn.TEXTJOIN(", ",TRUE,IF($G16&gt;0,'Template Setup'!$C$4,""),IF($H16&gt;0,'Template Setup'!$C$5,""),IF($I16&gt;0,'Template Setup'!$C$6,""),IF($J16&gt;0,'Template Setup'!$C$7,""),IF($K16&gt;0,'Template Setup'!$C$8,"")))</f>
        <v>FDC-687</v>
      </c>
      <c r="E16" s="6" t="str" cm="1">
        <f t="array" aca="1" ref="E16" ca="1">IF($A16="","",_xlfn.LET(_xlpm.sheets,CHOOSE({1,2,3,4,5},'Template Setup'!$C$4,'Template Setup'!$C$5,'Template Setup'!$C$6,'Template Setup'!$C$7,'Template Setup'!$C$8),_xlpm.nums,CHOOSE({1,2,3,4,5},$L16,$M16,$N16,$O16,$P16),_xlpm.qtys,CHOOSE({1,2,3,4,5},$G16,$H16,$I16,$J16,$K16),_xlpm.validNums,_xlfn._xlws.FILTER(_xlpm.nums,_xlpm.qtys&gt;0),_xlpm.validSheets,_xlfn._xlws.FILTER(_xlpm.sheets,_xlpm.qtys&gt;0),_xlpm.mx,IFERROR(MAX(_xlpm.validNums),0),IF(_xlpm.mx=0,"",INDEX(_xlpm.validSheets,MATCH(_xlpm.mx,_xlpm.validNums,0))&amp;" (+"&amp;$R16&amp;")")))</f>
        <v>FDC-687 (+1)</v>
      </c>
      <c r="F16" s="11" t="str">
        <f t="shared" ca="1" si="2"/>
        <v>PACP-FDC-000687</v>
      </c>
      <c r="G16" s="12">
        <f ca="1">IF($A16="","",IFERROR(SUMIF(INDIRECT("'"&amp;'Template Setup'!$C$4&amp;"'!C:C"),$A16,INDIRECT("'"&amp;'Template Setup'!$C$4&amp;"'!A:A")),0))</f>
        <v>1</v>
      </c>
      <c r="H16" s="12">
        <f ca="1">IF($A16="","",IFERROR(SUMIF(INDIRECT("'"&amp;'Template Setup'!$C$5&amp;"'!C:C"),$A16,INDIRECT("'"&amp;'Template Setup'!$C$5&amp;"'!A:A")),0))</f>
        <v>0</v>
      </c>
      <c r="I16" s="12">
        <f ca="1">IF($A16="","",IFERROR(SUMIF(INDIRECT("'"&amp;'Template Setup'!$C$6&amp;"'!C:C"),$A16,INDIRECT("'"&amp;'Template Setup'!$C$6&amp;"'!A:A")),0))</f>
        <v>0</v>
      </c>
      <c r="J16" s="12">
        <f ca="1">IF($A16="","",IFERROR(SUMIF(INDIRECT("'"&amp;'Template Setup'!$C$7&amp;"'!C:C"),$A16,INDIRECT("'"&amp;'Template Setup'!$C$7&amp;"'!A:A")),0))</f>
        <v>0</v>
      </c>
      <c r="K16" s="12">
        <f ca="1">IF($A16="","",IFERROR(SUMIF(INDIRECT("'"&amp;'Template Setup'!$C$8&amp;"'!C:C"),$A16,INDIRECT("'"&amp;'Template Setup'!$C$8&amp;"'!A:A")),0))</f>
        <v>0</v>
      </c>
      <c r="L16" s="11">
        <f ca="1">IF($A16="","",IFERROR(VALUE(MID(TRIM('Template Setup'!$C$4),FIND("-",TRIM('Template Setup'!$C$4))+1,10)),0))</f>
        <v>687</v>
      </c>
      <c r="M16" s="11">
        <f ca="1">IF($A16="","",IFERROR(VALUE(MID(TRIM('Template Setup'!$C$5),FIND("-",TRIM('Template Setup'!$C$5))+1,10)),0))</f>
        <v>0</v>
      </c>
      <c r="N16" s="11">
        <f ca="1">IF($A16="","",IFERROR(VALUE(MID(TRIM('Template Setup'!$C$6),FIND("-",TRIM('Template Setup'!$C$6))+1,10)),0))</f>
        <v>0</v>
      </c>
      <c r="O16" s="11">
        <f ca="1">IF($A16="","",IFERROR(VALUE(MID(TRIM('Template Setup'!$C$7),FIND("-",TRIM('Template Setup'!$C$7))+1,10)),0))</f>
        <v>0</v>
      </c>
      <c r="P16" s="11">
        <f ca="1">IF($A16="","",IFERROR(VALUE(MID(TRIM('Template Setup'!$C$8),FIND("-",TRIM('Template Setup'!$C$8))+1,10)),0))</f>
        <v>0</v>
      </c>
      <c r="Q16" s="9" t="str">
        <f ca="1">IF($A16="","",$A16&amp;"-"&amp;'Template Setup'!$C$16)</f>
        <v>8004492-7383695</v>
      </c>
      <c r="R16" s="24">
        <f t="shared" ca="1" si="0"/>
        <v>1</v>
      </c>
      <c r="S16" s="24"/>
      <c r="T16" s="24" t="str">
        <f t="shared" ca="1" si="1"/>
        <v/>
      </c>
      <c r="U16" s="6" t="str">
        <f t="shared" ca="1" si="3"/>
        <v>☐</v>
      </c>
    </row>
    <row r="17" spans="1:21">
      <c r="A17" s="11">
        <f ca="1"/>
        <v>8005123</v>
      </c>
      <c r="B17" s="11" t="str">
        <f ca="1"/>
        <v>ARRESTER,SRG,NONEXPULSION,10KV,MOV</v>
      </c>
      <c r="C17" s="11" t="str">
        <f ca="1"/>
        <v>EA</v>
      </c>
      <c r="D17" s="11" t="str">
        <f ca="1">IF($A17="","",_xlfn.TEXTJOIN(", ",TRUE,IF($G17&gt;0,'Template Setup'!$C$4,""),IF($H17&gt;0,'Template Setup'!$C$5,""),IF($I17&gt;0,'Template Setup'!$C$6,""),IF($J17&gt;0,'Template Setup'!$C$7,""),IF($K17&gt;0,'Template Setup'!$C$8,"")))</f>
        <v>FDC-687</v>
      </c>
      <c r="E17" s="6" t="str" cm="1">
        <f t="array" aca="1" ref="E17" ca="1">IF($A17="","",_xlfn.LET(_xlpm.sheets,CHOOSE({1,2,3,4,5},'Template Setup'!$C$4,'Template Setup'!$C$5,'Template Setup'!$C$6,'Template Setup'!$C$7,'Template Setup'!$C$8),_xlpm.nums,CHOOSE({1,2,3,4,5},$L17,$M17,$N17,$O17,$P17),_xlpm.qtys,CHOOSE({1,2,3,4,5},$G17,$H17,$I17,$J17,$K17),_xlpm.validNums,_xlfn._xlws.FILTER(_xlpm.nums,_xlpm.qtys&gt;0),_xlpm.validSheets,_xlfn._xlws.FILTER(_xlpm.sheets,_xlpm.qtys&gt;0),_xlpm.mx,IFERROR(MAX(_xlpm.validNums),0),IF(_xlpm.mx=0,"",INDEX(_xlpm.validSheets,MATCH(_xlpm.mx,_xlpm.validNums,0))&amp;" (+"&amp;$R17&amp;")")))</f>
        <v>FDC-687 (+1)</v>
      </c>
      <c r="F17" s="11" t="str">
        <f t="shared" ca="1" si="2"/>
        <v>PACP-FDC-000687</v>
      </c>
      <c r="G17" s="12">
        <f ca="1">IF($A17="","",IFERROR(SUMIF(INDIRECT("'"&amp;'Template Setup'!$C$4&amp;"'!C:C"),$A17,INDIRECT("'"&amp;'Template Setup'!$C$4&amp;"'!A:A")),0))</f>
        <v>1</v>
      </c>
      <c r="H17" s="12">
        <f ca="1">IF($A17="","",IFERROR(SUMIF(INDIRECT("'"&amp;'Template Setup'!$C$5&amp;"'!C:C"),$A17,INDIRECT("'"&amp;'Template Setup'!$C$5&amp;"'!A:A")),0))</f>
        <v>0</v>
      </c>
      <c r="I17" s="12">
        <f ca="1">IF($A17="","",IFERROR(SUMIF(INDIRECT("'"&amp;'Template Setup'!$C$6&amp;"'!C:C"),$A17,INDIRECT("'"&amp;'Template Setup'!$C$6&amp;"'!A:A")),0))</f>
        <v>0</v>
      </c>
      <c r="J17" s="12">
        <f ca="1">IF($A17="","",IFERROR(SUMIF(INDIRECT("'"&amp;'Template Setup'!$C$7&amp;"'!C:C"),$A17,INDIRECT("'"&amp;'Template Setup'!$C$7&amp;"'!A:A")),0))</f>
        <v>0</v>
      </c>
      <c r="K17" s="12">
        <f ca="1">IF($A17="","",IFERROR(SUMIF(INDIRECT("'"&amp;'Template Setup'!$C$8&amp;"'!C:C"),$A17,INDIRECT("'"&amp;'Template Setup'!$C$8&amp;"'!A:A")),0))</f>
        <v>0</v>
      </c>
      <c r="L17" s="11">
        <f ca="1">IF($A17="","",IFERROR(VALUE(MID(TRIM('Template Setup'!$C$4),FIND("-",TRIM('Template Setup'!$C$4))+1,10)),0))</f>
        <v>687</v>
      </c>
      <c r="M17" s="11">
        <f ca="1">IF($A17="","",IFERROR(VALUE(MID(TRIM('Template Setup'!$C$5),FIND("-",TRIM('Template Setup'!$C$5))+1,10)),0))</f>
        <v>0</v>
      </c>
      <c r="N17" s="11">
        <f ca="1">IF($A17="","",IFERROR(VALUE(MID(TRIM('Template Setup'!$C$6),FIND("-",TRIM('Template Setup'!$C$6))+1,10)),0))</f>
        <v>0</v>
      </c>
      <c r="O17" s="11">
        <f ca="1">IF($A17="","",IFERROR(VALUE(MID(TRIM('Template Setup'!$C$7),FIND("-",TRIM('Template Setup'!$C$7))+1,10)),0))</f>
        <v>0</v>
      </c>
      <c r="P17" s="11">
        <f ca="1">IF($A17="","",IFERROR(VALUE(MID(TRIM('Template Setup'!$C$8),FIND("-",TRIM('Template Setup'!$C$8))+1,10)),0))</f>
        <v>0</v>
      </c>
      <c r="Q17" s="9" t="str">
        <f ca="1">IF($A17="","",$A17&amp;"-"&amp;'Template Setup'!$C$16)</f>
        <v>8005123-7383695</v>
      </c>
      <c r="R17" s="24">
        <f t="shared" ca="1" si="0"/>
        <v>1</v>
      </c>
      <c r="S17" s="24"/>
      <c r="T17" s="24" t="str">
        <f t="shared" ca="1" si="1"/>
        <v/>
      </c>
      <c r="U17" s="6" t="str">
        <f t="shared" ca="1" si="3"/>
        <v>☐</v>
      </c>
    </row>
    <row r="18" spans="1:21">
      <c r="A18" s="11">
        <f ca="1"/>
        <v>8006321</v>
      </c>
      <c r="B18" s="11" t="str">
        <f ca="1"/>
        <v>COVER,CUTOUT,FR RATED,POLYMER,27KV150BIL</v>
      </c>
      <c r="C18" s="11" t="str">
        <f ca="1"/>
        <v>EA</v>
      </c>
      <c r="D18" s="11" t="str">
        <f ca="1">IF($A18="","",_xlfn.TEXTJOIN(", ",TRUE,IF($G18&gt;0,'Template Setup'!$C$4,""),IF($H18&gt;0,'Template Setup'!$C$5,""),IF($I18&gt;0,'Template Setup'!$C$6,""),IF($J18&gt;0,'Template Setup'!$C$7,""),IF($K18&gt;0,'Template Setup'!$C$8,"")))</f>
        <v>FDC-687</v>
      </c>
      <c r="E18" s="6" t="str" cm="1">
        <f t="array" aca="1" ref="E18" ca="1">IF($A18="","",_xlfn.LET(_xlpm.sheets,CHOOSE({1,2,3,4,5},'Template Setup'!$C$4,'Template Setup'!$C$5,'Template Setup'!$C$6,'Template Setup'!$C$7,'Template Setup'!$C$8),_xlpm.nums,CHOOSE({1,2,3,4,5},$L18,$M18,$N18,$O18,$P18),_xlpm.qtys,CHOOSE({1,2,3,4,5},$G18,$H18,$I18,$J18,$K18),_xlpm.validNums,_xlfn._xlws.FILTER(_xlpm.nums,_xlpm.qtys&gt;0),_xlpm.validSheets,_xlfn._xlws.FILTER(_xlpm.sheets,_xlpm.qtys&gt;0),_xlpm.mx,IFERROR(MAX(_xlpm.validNums),0),IF(_xlpm.mx=0,"",INDEX(_xlpm.validSheets,MATCH(_xlpm.mx,_xlpm.validNums,0))&amp;" (+"&amp;$R18&amp;")")))</f>
        <v>FDC-687 (+1)</v>
      </c>
      <c r="F18" s="11" t="str">
        <f t="shared" ca="1" si="2"/>
        <v>PACP-FDC-000687</v>
      </c>
      <c r="G18" s="12">
        <f ca="1">IF($A18="","",IFERROR(SUMIF(INDIRECT("'"&amp;'Template Setup'!$C$4&amp;"'!C:C"),$A18,INDIRECT("'"&amp;'Template Setup'!$C$4&amp;"'!A:A")),0))</f>
        <v>1</v>
      </c>
      <c r="H18" s="12">
        <f ca="1">IF($A18="","",IFERROR(SUMIF(INDIRECT("'"&amp;'Template Setup'!$C$5&amp;"'!C:C"),$A18,INDIRECT("'"&amp;'Template Setup'!$C$5&amp;"'!A:A")),0))</f>
        <v>0</v>
      </c>
      <c r="I18" s="12">
        <f ca="1">IF($A18="","",IFERROR(SUMIF(INDIRECT("'"&amp;'Template Setup'!$C$6&amp;"'!C:C"),$A18,INDIRECT("'"&amp;'Template Setup'!$C$6&amp;"'!A:A")),0))</f>
        <v>0</v>
      </c>
      <c r="J18" s="12">
        <f ca="1">IF($A18="","",IFERROR(SUMIF(INDIRECT("'"&amp;'Template Setup'!$C$7&amp;"'!C:C"),$A18,INDIRECT("'"&amp;'Template Setup'!$C$7&amp;"'!A:A")),0))</f>
        <v>0</v>
      </c>
      <c r="K18" s="12">
        <f ca="1">IF($A18="","",IFERROR(SUMIF(INDIRECT("'"&amp;'Template Setup'!$C$8&amp;"'!C:C"),$A18,INDIRECT("'"&amp;'Template Setup'!$C$8&amp;"'!A:A")),0))</f>
        <v>0</v>
      </c>
      <c r="L18" s="11">
        <f ca="1">IF($A18="","",IFERROR(VALUE(MID(TRIM('Template Setup'!$C$4),FIND("-",TRIM('Template Setup'!$C$4))+1,10)),0))</f>
        <v>687</v>
      </c>
      <c r="M18" s="11">
        <f ca="1">IF($A18="","",IFERROR(VALUE(MID(TRIM('Template Setup'!$C$5),FIND("-",TRIM('Template Setup'!$C$5))+1,10)),0))</f>
        <v>0</v>
      </c>
      <c r="N18" s="11">
        <f ca="1">IF($A18="","",IFERROR(VALUE(MID(TRIM('Template Setup'!$C$6),FIND("-",TRIM('Template Setup'!$C$6))+1,10)),0))</f>
        <v>0</v>
      </c>
      <c r="O18" s="11">
        <f ca="1">IF($A18="","",IFERROR(VALUE(MID(TRIM('Template Setup'!$C$7),FIND("-",TRIM('Template Setup'!$C$7))+1,10)),0))</f>
        <v>0</v>
      </c>
      <c r="P18" s="11">
        <f ca="1">IF($A18="","",IFERROR(VALUE(MID(TRIM('Template Setup'!$C$8),FIND("-",TRIM('Template Setup'!$C$8))+1,10)),0))</f>
        <v>0</v>
      </c>
      <c r="Q18" s="9" t="str">
        <f ca="1">IF($A18="","",$A18&amp;"-"&amp;'Template Setup'!$C$16)</f>
        <v>8006321-7383695</v>
      </c>
      <c r="R18" s="24">
        <f t="shared" ca="1" si="0"/>
        <v>1</v>
      </c>
      <c r="S18" s="24"/>
      <c r="T18" s="24" t="str">
        <f t="shared" ca="1" si="1"/>
        <v/>
      </c>
      <c r="U18" s="6" t="str">
        <f t="shared" ref="U18:U81" ca="1" si="4">IF($A18="","","☐")</f>
        <v>☐</v>
      </c>
    </row>
    <row r="19" spans="1:21">
      <c r="A19" s="11">
        <f ca="1"/>
        <v>8006513</v>
      </c>
      <c r="B19" s="11" t="str">
        <f ca="1"/>
        <v>COVER,STIRRUP,COVERED CONDUCTOR,GRAY^</v>
      </c>
      <c r="C19" s="11" t="str">
        <f ca="1"/>
        <v>EA</v>
      </c>
      <c r="D19" s="11" t="str">
        <f ca="1">IF($A19="","",_xlfn.TEXTJOIN(", ",TRUE,IF($G19&gt;0,'Template Setup'!$C$4,""),IF($H19&gt;0,'Template Setup'!$C$5,""),IF($I19&gt;0,'Template Setup'!$C$6,""),IF($J19&gt;0,'Template Setup'!$C$7,""),IF($K19&gt;0,'Template Setup'!$C$8,"")))</f>
        <v>FDC-687</v>
      </c>
      <c r="E19" s="6" t="str" cm="1">
        <f t="array" aca="1" ref="E19" ca="1">IF($A19="","",_xlfn.LET(_xlpm.sheets,CHOOSE({1,2,3,4,5},'Template Setup'!$C$4,'Template Setup'!$C$5,'Template Setup'!$C$6,'Template Setup'!$C$7,'Template Setup'!$C$8),_xlpm.nums,CHOOSE({1,2,3,4,5},$L19,$M19,$N19,$O19,$P19),_xlpm.qtys,CHOOSE({1,2,3,4,5},$G19,$H19,$I19,$J19,$K19),_xlpm.validNums,_xlfn._xlws.FILTER(_xlpm.nums,_xlpm.qtys&gt;0),_xlpm.validSheets,_xlfn._xlws.FILTER(_xlpm.sheets,_xlpm.qtys&gt;0),_xlpm.mx,IFERROR(MAX(_xlpm.validNums),0),IF(_xlpm.mx=0,"",INDEX(_xlpm.validSheets,MATCH(_xlpm.mx,_xlpm.validNums,0))&amp;" (+"&amp;$R19&amp;")")))</f>
        <v>FDC-687 (+1)</v>
      </c>
      <c r="F19" s="11" t="str">
        <f t="shared" ca="1" si="2"/>
        <v>PACP-FDC-000687</v>
      </c>
      <c r="G19" s="12">
        <f ca="1">IF($A19="","",IFERROR(SUMIF(INDIRECT("'"&amp;'Template Setup'!$C$4&amp;"'!C:C"),$A19,INDIRECT("'"&amp;'Template Setup'!$C$4&amp;"'!A:A")),0))</f>
        <v>1</v>
      </c>
      <c r="H19" s="12">
        <f ca="1">IF($A19="","",IFERROR(SUMIF(INDIRECT("'"&amp;'Template Setup'!$C$5&amp;"'!C:C"),$A19,INDIRECT("'"&amp;'Template Setup'!$C$5&amp;"'!A:A")),0))</f>
        <v>0</v>
      </c>
      <c r="I19" s="12">
        <f ca="1">IF($A19="","",IFERROR(SUMIF(INDIRECT("'"&amp;'Template Setup'!$C$6&amp;"'!C:C"),$A19,INDIRECT("'"&amp;'Template Setup'!$C$6&amp;"'!A:A")),0))</f>
        <v>0</v>
      </c>
      <c r="J19" s="12">
        <f ca="1">IF($A19="","",IFERROR(SUMIF(INDIRECT("'"&amp;'Template Setup'!$C$7&amp;"'!C:C"),$A19,INDIRECT("'"&amp;'Template Setup'!$C$7&amp;"'!A:A")),0))</f>
        <v>0</v>
      </c>
      <c r="K19" s="12">
        <f ca="1">IF($A19="","",IFERROR(SUMIF(INDIRECT("'"&amp;'Template Setup'!$C$8&amp;"'!C:C"),$A19,INDIRECT("'"&amp;'Template Setup'!$C$8&amp;"'!A:A")),0))</f>
        <v>0</v>
      </c>
      <c r="L19" s="11">
        <f ca="1">IF($A19="","",IFERROR(VALUE(MID(TRIM('Template Setup'!$C$4),FIND("-",TRIM('Template Setup'!$C$4))+1,10)),0))</f>
        <v>687</v>
      </c>
      <c r="M19" s="11">
        <f ca="1">IF($A19="","",IFERROR(VALUE(MID(TRIM('Template Setup'!$C$5),FIND("-",TRIM('Template Setup'!$C$5))+1,10)),0))</f>
        <v>0</v>
      </c>
      <c r="N19" s="11">
        <f ca="1">IF($A19="","",IFERROR(VALUE(MID(TRIM('Template Setup'!$C$6),FIND("-",TRIM('Template Setup'!$C$6))+1,10)),0))</f>
        <v>0</v>
      </c>
      <c r="O19" s="11">
        <f ca="1">IF($A19="","",IFERROR(VALUE(MID(TRIM('Template Setup'!$C$7),FIND("-",TRIM('Template Setup'!$C$7))+1,10)),0))</f>
        <v>0</v>
      </c>
      <c r="P19" s="11">
        <f ca="1">IF($A19="","",IFERROR(VALUE(MID(TRIM('Template Setup'!$C$8),FIND("-",TRIM('Template Setup'!$C$8))+1,10)),0))</f>
        <v>0</v>
      </c>
      <c r="Q19" s="9" t="str">
        <f ca="1">IF($A19="","",$A19&amp;"-"&amp;'Template Setup'!$C$16)</f>
        <v>8006513-7383695</v>
      </c>
      <c r="R19" s="24">
        <f t="shared" ca="1" si="0"/>
        <v>1</v>
      </c>
      <c r="S19" s="24"/>
      <c r="T19" s="24" t="str">
        <f t="shared" ca="1" si="1"/>
        <v/>
      </c>
      <c r="U19" s="6" t="str">
        <f t="shared" ca="1" si="4"/>
        <v>☐</v>
      </c>
    </row>
    <row r="20" spans="1:21">
      <c r="A20" s="11"/>
      <c r="B20" s="11"/>
      <c r="C20" s="11"/>
      <c r="D20" s="11" t="str">
        <f>IF($A20="","",_xlfn.TEXTJOIN(", ",TRUE,IF($G20&gt;0,'Template Setup'!$C$4,""),IF($H20&gt;0,'Template Setup'!$C$5,""),IF($I20&gt;0,'Template Setup'!$C$6,""),IF($J20&gt;0,'Template Setup'!$C$7,""),IF($K20&gt;0,'Template Setup'!$C$8,"")))</f>
        <v/>
      </c>
      <c r="E20" s="6" t="str" cm="1">
        <f t="array" ref="E20">IF($A20="","",_xlfn.LET(_xlpm.sheets,CHOOSE({1,2,3,4,5},'Template Setup'!$C$4,'Template Setup'!$C$5,'Template Setup'!$C$6,'Template Setup'!$C$7,'Template Setup'!$C$8),_xlpm.nums,CHOOSE({1,2,3,4,5},$L20,$M20,$N20,$O20,$P20),_xlpm.qtys,CHOOSE({1,2,3,4,5},$G20,$H20,$I20,$J20,$K20),_xlpm.validNums,_xlfn._xlws.FILTER(_xlpm.nums,_xlpm.qtys&gt;0),_xlpm.validSheets,_xlfn._xlws.FILTER(_xlpm.sheets,_xlpm.qtys&gt;0),_xlpm.mx,IFERROR(MAX(_xlpm.validNums),0),IF(_xlpm.mx=0,"",INDEX(_xlpm.validSheets,MATCH(_xlpm.mx,_xlpm.validNums,0))&amp;" (+"&amp;$R20&amp;")")))</f>
        <v/>
      </c>
      <c r="F20" s="11" t="str">
        <f t="shared" si="2"/>
        <v/>
      </c>
      <c r="G20" s="12" t="str">
        <f ca="1">IF($A20="","",IFERROR(SUMIF(INDIRECT("'"&amp;'Template Setup'!$C$4&amp;"'!C:C"),$A20,INDIRECT("'"&amp;'Template Setup'!$C$4&amp;"'!A:A")),0))</f>
        <v/>
      </c>
      <c r="H20" s="12" t="str">
        <f ca="1">IF($A20="","",IFERROR(SUMIF(INDIRECT("'"&amp;'Template Setup'!$C$5&amp;"'!C:C"),$A20,INDIRECT("'"&amp;'Template Setup'!$C$5&amp;"'!A:A")),0))</f>
        <v/>
      </c>
      <c r="I20" s="12" t="str">
        <f ca="1">IF($A20="","",IFERROR(SUMIF(INDIRECT("'"&amp;'Template Setup'!$C$6&amp;"'!C:C"),$A20,INDIRECT("'"&amp;'Template Setup'!$C$6&amp;"'!A:A")),0))</f>
        <v/>
      </c>
      <c r="J20" s="12" t="str">
        <f ca="1">IF($A20="","",IFERROR(SUMIF(INDIRECT("'"&amp;'Template Setup'!$C$7&amp;"'!C:C"),$A20,INDIRECT("'"&amp;'Template Setup'!$C$7&amp;"'!A:A")),0))</f>
        <v/>
      </c>
      <c r="K20" s="12" t="str">
        <f ca="1">IF($A20="","",IFERROR(SUMIF(INDIRECT("'"&amp;'Template Setup'!$C$8&amp;"'!C:C"),$A20,INDIRECT("'"&amp;'Template Setup'!$C$8&amp;"'!A:A")),0))</f>
        <v/>
      </c>
      <c r="L20" s="11" t="str">
        <f>IF($A20="","",IFERROR(VALUE(MID(TRIM('Template Setup'!$C$4),FIND("-",TRIM('Template Setup'!$C$4))+1,10)),0))</f>
        <v/>
      </c>
      <c r="M20" s="11" t="str">
        <f>IF($A20="","",IFERROR(VALUE(MID(TRIM('Template Setup'!$C$5),FIND("-",TRIM('Template Setup'!$C$5))+1,10)),0))</f>
        <v/>
      </c>
      <c r="N20" s="11" t="str">
        <f>IF($A20="","",IFERROR(VALUE(MID(TRIM('Template Setup'!$C$6),FIND("-",TRIM('Template Setup'!$C$6))+1,10)),0))</f>
        <v/>
      </c>
      <c r="O20" s="11" t="str">
        <f>IF($A20="","",IFERROR(VALUE(MID(TRIM('Template Setup'!$C$7),FIND("-",TRIM('Template Setup'!$C$7))+1,10)),0))</f>
        <v/>
      </c>
      <c r="P20" s="11" t="str">
        <f>IF($A20="","",IFERROR(VALUE(MID(TRIM('Template Setup'!$C$8),FIND("-",TRIM('Template Setup'!$C$8))+1,10)),0))</f>
        <v/>
      </c>
      <c r="Q20" s="9" t="str">
        <f>IF($A20="","",$A20&amp;"-"&amp;'Template Setup'!$C$16)</f>
        <v/>
      </c>
      <c r="R20" s="24" t="str">
        <f t="shared" si="0"/>
        <v/>
      </c>
      <c r="S20" s="24"/>
      <c r="T20" s="24" t="str">
        <f t="shared" si="1"/>
        <v/>
      </c>
      <c r="U20" s="6" t="str">
        <f t="shared" si="4"/>
        <v/>
      </c>
    </row>
    <row r="21" spans="1:21">
      <c r="A21" s="11"/>
      <c r="B21" s="11"/>
      <c r="C21" s="11"/>
      <c r="D21" s="11" t="str">
        <f>IF($A21="","",_xlfn.TEXTJOIN(", ",TRUE,IF($G21&gt;0,'Template Setup'!$C$4,""),IF($H21&gt;0,'Template Setup'!$C$5,""),IF($I21&gt;0,'Template Setup'!$C$6,""),IF($J21&gt;0,'Template Setup'!$C$7,""),IF($K21&gt;0,'Template Setup'!$C$8,"")))</f>
        <v/>
      </c>
      <c r="E21" s="6" t="str" cm="1">
        <f t="array" ref="E21">IF($A21="","",_xlfn.LET(_xlpm.sheets,CHOOSE({1,2,3,4,5},'Template Setup'!$C$4,'Template Setup'!$C$5,'Template Setup'!$C$6,'Template Setup'!$C$7,'Template Setup'!$C$8),_xlpm.nums,CHOOSE({1,2,3,4,5},$L21,$M21,$N21,$O21,$P21),_xlpm.qtys,CHOOSE({1,2,3,4,5},$G21,$H21,$I21,$J21,$K21),_xlpm.validNums,_xlfn._xlws.FILTER(_xlpm.nums,_xlpm.qtys&gt;0),_xlpm.validSheets,_xlfn._xlws.FILTER(_xlpm.sheets,_xlpm.qtys&gt;0),_xlpm.mx,IFERROR(MAX(_xlpm.validNums),0),IF(_xlpm.mx=0,"",INDEX(_xlpm.validSheets,MATCH(_xlpm.mx,_xlpm.validNums,0))&amp;" (+"&amp;$R21&amp;")")))</f>
        <v/>
      </c>
      <c r="F21" s="11" t="str">
        <f t="shared" si="2"/>
        <v/>
      </c>
      <c r="G21" s="12" t="str">
        <f ca="1">IF($A21="","",IFERROR(SUMIF(INDIRECT("'"&amp;'Template Setup'!$C$4&amp;"'!C:C"),$A21,INDIRECT("'"&amp;'Template Setup'!$C$4&amp;"'!A:A")),0))</f>
        <v/>
      </c>
      <c r="H21" s="12" t="str">
        <f ca="1">IF($A21="","",IFERROR(SUMIF(INDIRECT("'"&amp;'Template Setup'!$C$5&amp;"'!C:C"),$A21,INDIRECT("'"&amp;'Template Setup'!$C$5&amp;"'!A:A")),0))</f>
        <v/>
      </c>
      <c r="I21" s="12" t="str">
        <f ca="1">IF($A21="","",IFERROR(SUMIF(INDIRECT("'"&amp;'Template Setup'!$C$6&amp;"'!C:C"),$A21,INDIRECT("'"&amp;'Template Setup'!$C$6&amp;"'!A:A")),0))</f>
        <v/>
      </c>
      <c r="J21" s="12" t="str">
        <f ca="1">IF($A21="","",IFERROR(SUMIF(INDIRECT("'"&amp;'Template Setup'!$C$7&amp;"'!C:C"),$A21,INDIRECT("'"&amp;'Template Setup'!$C$7&amp;"'!A:A")),0))</f>
        <v/>
      </c>
      <c r="K21" s="12" t="str">
        <f ca="1">IF($A21="","",IFERROR(SUMIF(INDIRECT("'"&amp;'Template Setup'!$C$8&amp;"'!C:C"),$A21,INDIRECT("'"&amp;'Template Setup'!$C$8&amp;"'!A:A")),0))</f>
        <v/>
      </c>
      <c r="L21" s="11" t="str">
        <f>IF($A21="","",IFERROR(VALUE(MID(TRIM('Template Setup'!$C$4),FIND("-",TRIM('Template Setup'!$C$4))+1,10)),0))</f>
        <v/>
      </c>
      <c r="M21" s="11" t="str">
        <f>IF($A21="","",IFERROR(VALUE(MID(TRIM('Template Setup'!$C$5),FIND("-",TRIM('Template Setup'!$C$5))+1,10)),0))</f>
        <v/>
      </c>
      <c r="N21" s="11" t="str">
        <f>IF($A21="","",IFERROR(VALUE(MID(TRIM('Template Setup'!$C$6),FIND("-",TRIM('Template Setup'!$C$6))+1,10)),0))</f>
        <v/>
      </c>
      <c r="O21" s="11" t="str">
        <f>IF($A21="","",IFERROR(VALUE(MID(TRIM('Template Setup'!$C$7),FIND("-",TRIM('Template Setup'!$C$7))+1,10)),0))</f>
        <v/>
      </c>
      <c r="P21" s="11" t="str">
        <f>IF($A21="","",IFERROR(VALUE(MID(TRIM('Template Setup'!$C$8),FIND("-",TRIM('Template Setup'!$C$8))+1,10)),0))</f>
        <v/>
      </c>
      <c r="Q21" s="28" t="str">
        <f>IF($A21="","",$A21&amp;"-"&amp;'Template Setup'!$C$16)</f>
        <v/>
      </c>
      <c r="R21" s="24" t="str">
        <f t="shared" si="0"/>
        <v/>
      </c>
      <c r="S21" s="24"/>
      <c r="T21" s="24" t="str">
        <f t="shared" si="1"/>
        <v/>
      </c>
      <c r="U21" s="6" t="str">
        <f t="shared" si="4"/>
        <v/>
      </c>
    </row>
    <row r="22" spans="1:21">
      <c r="A22" s="11"/>
      <c r="B22" s="11"/>
      <c r="C22" s="11"/>
      <c r="D22" s="11" t="str">
        <f>IF($A22="","",_xlfn.TEXTJOIN(", ",TRUE,IF($G22&gt;0,'Template Setup'!$C$4,""),IF($H22&gt;0,'Template Setup'!$C$5,""),IF($I22&gt;0,'Template Setup'!$C$6,""),IF($J22&gt;0,'Template Setup'!$C$7,""),IF($K22&gt;0,'Template Setup'!$C$8,"")))</f>
        <v/>
      </c>
      <c r="E22" s="6" t="str" cm="1">
        <f t="array" ref="E22">IF($A22="","",_xlfn.LET(_xlpm.sheets,CHOOSE({1,2,3,4,5},'Template Setup'!$C$4,'Template Setup'!$C$5,'Template Setup'!$C$6,'Template Setup'!$C$7,'Template Setup'!$C$8),_xlpm.nums,CHOOSE({1,2,3,4,5},$L22,$M22,$N22,$O22,$P22),_xlpm.qtys,CHOOSE({1,2,3,4,5},$G22,$H22,$I22,$J22,$K22),_xlpm.validNums,_xlfn._xlws.FILTER(_xlpm.nums,_xlpm.qtys&gt;0),_xlpm.validSheets,_xlfn._xlws.FILTER(_xlpm.sheets,_xlpm.qtys&gt;0),_xlpm.mx,IFERROR(MAX(_xlpm.validNums),0),IF(_xlpm.mx=0,"",INDEX(_xlpm.validSheets,MATCH(_xlpm.mx,_xlpm.validNums,0))&amp;" (+"&amp;$R22&amp;")")))</f>
        <v/>
      </c>
      <c r="F22" s="11" t="str">
        <f t="shared" si="2"/>
        <v/>
      </c>
      <c r="G22" s="12" t="str">
        <f ca="1">IF($A22="","",IFERROR(SUMIF(INDIRECT("'"&amp;'Template Setup'!$C$4&amp;"'!C:C"),$A22,INDIRECT("'"&amp;'Template Setup'!$C$4&amp;"'!A:A")),0))</f>
        <v/>
      </c>
      <c r="H22" s="12" t="str">
        <f ca="1">IF($A22="","",IFERROR(SUMIF(INDIRECT("'"&amp;'Template Setup'!$C$5&amp;"'!C:C"),$A22,INDIRECT("'"&amp;'Template Setup'!$C$5&amp;"'!A:A")),0))</f>
        <v/>
      </c>
      <c r="I22" s="12" t="str">
        <f ca="1">IF($A22="","",IFERROR(SUMIF(INDIRECT("'"&amp;'Template Setup'!$C$6&amp;"'!C:C"),$A22,INDIRECT("'"&amp;'Template Setup'!$C$6&amp;"'!A:A")),0))</f>
        <v/>
      </c>
      <c r="J22" s="12" t="str">
        <f ca="1">IF($A22="","",IFERROR(SUMIF(INDIRECT("'"&amp;'Template Setup'!$C$7&amp;"'!C:C"),$A22,INDIRECT("'"&amp;'Template Setup'!$C$7&amp;"'!A:A")),0))</f>
        <v/>
      </c>
      <c r="K22" s="12" t="str">
        <f ca="1">IF($A22="","",IFERROR(SUMIF(INDIRECT("'"&amp;'Template Setup'!$C$8&amp;"'!C:C"),$A22,INDIRECT("'"&amp;'Template Setup'!$C$8&amp;"'!A:A")),0))</f>
        <v/>
      </c>
      <c r="L22" s="11" t="str">
        <f>IF($A22="","",IFERROR(VALUE(MID(TRIM('Template Setup'!$C$4),FIND("-",TRIM('Template Setup'!$C$4))+1,10)),0))</f>
        <v/>
      </c>
      <c r="M22" s="11" t="str">
        <f>IF($A22="","",IFERROR(VALUE(MID(TRIM('Template Setup'!$C$5),FIND("-",TRIM('Template Setup'!$C$5))+1,10)),0))</f>
        <v/>
      </c>
      <c r="N22" s="11" t="str">
        <f>IF($A22="","",IFERROR(VALUE(MID(TRIM('Template Setup'!$C$6),FIND("-",TRIM('Template Setup'!$C$6))+1,10)),0))</f>
        <v/>
      </c>
      <c r="O22" s="11" t="str">
        <f>IF($A22="","",IFERROR(VALUE(MID(TRIM('Template Setup'!$C$7),FIND("-",TRIM('Template Setup'!$C$7))+1,10)),0))</f>
        <v/>
      </c>
      <c r="P22" s="11" t="str">
        <f>IF($A22="","",IFERROR(VALUE(MID(TRIM('Template Setup'!$C$8),FIND("-",TRIM('Template Setup'!$C$8))+1,10)),0))</f>
        <v/>
      </c>
      <c r="Q22" s="28" t="str">
        <f>IF($A22="","",$A22&amp;"-"&amp;'Template Setup'!$C$16)</f>
        <v/>
      </c>
      <c r="R22" s="24" t="str">
        <f t="shared" si="0"/>
        <v/>
      </c>
      <c r="S22" s="24"/>
      <c r="T22" s="24" t="str">
        <f t="shared" si="1"/>
        <v/>
      </c>
      <c r="U22" s="6" t="str">
        <f t="shared" si="4"/>
        <v/>
      </c>
    </row>
    <row r="23" spans="1:21">
      <c r="A23" s="11"/>
      <c r="B23" s="11"/>
      <c r="C23" s="11"/>
      <c r="D23" s="11" t="str">
        <f>IF($A23="","",_xlfn.TEXTJOIN(", ",TRUE,IF($G23&gt;0,'Template Setup'!$C$4,""),IF($H23&gt;0,'Template Setup'!$C$5,""),IF($I23&gt;0,'Template Setup'!$C$6,""),IF($J23&gt;0,'Template Setup'!$C$7,""),IF($K23&gt;0,'Template Setup'!$C$8,"")))</f>
        <v/>
      </c>
      <c r="E23" s="6" t="str" cm="1">
        <f t="array" ref="E23">IF($A23="","",_xlfn.LET(_xlpm.sheets,CHOOSE({1,2,3,4,5},'Template Setup'!$C$4,'Template Setup'!$C$5,'Template Setup'!$C$6,'Template Setup'!$C$7,'Template Setup'!$C$8),_xlpm.nums,CHOOSE({1,2,3,4,5},$L23,$M23,$N23,$O23,$P23),_xlpm.qtys,CHOOSE({1,2,3,4,5},$G23,$H23,$I23,$J23,$K23),_xlpm.validNums,_xlfn._xlws.FILTER(_xlpm.nums,_xlpm.qtys&gt;0),_xlpm.validSheets,_xlfn._xlws.FILTER(_xlpm.sheets,_xlpm.qtys&gt;0),_xlpm.mx,IFERROR(MAX(_xlpm.validNums),0),IF(_xlpm.mx=0,"",INDEX(_xlpm.validSheets,MATCH(_xlpm.mx,_xlpm.validNums,0))&amp;" (+"&amp;$R23&amp;")")))</f>
        <v/>
      </c>
      <c r="F23" s="11" t="str">
        <f t="shared" si="2"/>
        <v/>
      </c>
      <c r="G23" s="12" t="str">
        <f ca="1">IF($A23="","",IFERROR(SUMIF(INDIRECT("'"&amp;'Template Setup'!$C$4&amp;"'!C:C"),$A23,INDIRECT("'"&amp;'Template Setup'!$C$4&amp;"'!A:A")),0))</f>
        <v/>
      </c>
      <c r="H23" s="12" t="str">
        <f ca="1">IF($A23="","",IFERROR(SUMIF(INDIRECT("'"&amp;'Template Setup'!$C$5&amp;"'!C:C"),$A23,INDIRECT("'"&amp;'Template Setup'!$C$5&amp;"'!A:A")),0))</f>
        <v/>
      </c>
      <c r="I23" s="12" t="str">
        <f ca="1">IF($A23="","",IFERROR(SUMIF(INDIRECT("'"&amp;'Template Setup'!$C$6&amp;"'!C:C"),$A23,INDIRECT("'"&amp;'Template Setup'!$C$6&amp;"'!A:A")),0))</f>
        <v/>
      </c>
      <c r="J23" s="12" t="str">
        <f ca="1">IF($A23="","",IFERROR(SUMIF(INDIRECT("'"&amp;'Template Setup'!$C$7&amp;"'!C:C"),$A23,INDIRECT("'"&amp;'Template Setup'!$C$7&amp;"'!A:A")),0))</f>
        <v/>
      </c>
      <c r="K23" s="12" t="str">
        <f ca="1">IF($A23="","",IFERROR(SUMIF(INDIRECT("'"&amp;'Template Setup'!$C$8&amp;"'!C:C"),$A23,INDIRECT("'"&amp;'Template Setup'!$C$8&amp;"'!A:A")),0))</f>
        <v/>
      </c>
      <c r="L23" s="11" t="str">
        <f>IF($A23="","",IFERROR(VALUE(MID(TRIM('Template Setup'!$C$4),FIND("-",TRIM('Template Setup'!$C$4))+1,10)),0))</f>
        <v/>
      </c>
      <c r="M23" s="11" t="str">
        <f>IF($A23="","",IFERROR(VALUE(MID(TRIM('Template Setup'!$C$5),FIND("-",TRIM('Template Setup'!$C$5))+1,10)),0))</f>
        <v/>
      </c>
      <c r="N23" s="11" t="str">
        <f>IF($A23="","",IFERROR(VALUE(MID(TRIM('Template Setup'!$C$6),FIND("-",TRIM('Template Setup'!$C$6))+1,10)),0))</f>
        <v/>
      </c>
      <c r="O23" s="11" t="str">
        <f>IF($A23="","",IFERROR(VALUE(MID(TRIM('Template Setup'!$C$7),FIND("-",TRIM('Template Setup'!$C$7))+1,10)),0))</f>
        <v/>
      </c>
      <c r="P23" s="11" t="str">
        <f>IF($A23="","",IFERROR(VALUE(MID(TRIM('Template Setup'!$C$8),FIND("-",TRIM('Template Setup'!$C$8))+1,10)),0))</f>
        <v/>
      </c>
      <c r="Q23" s="9" t="str">
        <f>IF($A23="","",$A23&amp;"-"&amp;'Template Setup'!$C$16)</f>
        <v/>
      </c>
      <c r="R23" s="24" t="str">
        <f t="shared" si="0"/>
        <v/>
      </c>
      <c r="S23" s="24"/>
      <c r="T23" s="24" t="str">
        <f t="shared" si="1"/>
        <v/>
      </c>
      <c r="U23" s="6" t="str">
        <f t="shared" si="4"/>
        <v/>
      </c>
    </row>
    <row r="24" spans="1:21">
      <c r="A24" s="11"/>
      <c r="B24" s="11"/>
      <c r="C24" s="11"/>
      <c r="D24" s="11" t="str">
        <f>IF($A24="","",_xlfn.TEXTJOIN(", ",TRUE,IF($G24&gt;0,'Template Setup'!$C$4,""),IF($H24&gt;0,'Template Setup'!$C$5,""),IF($I24&gt;0,'Template Setup'!$C$6,""),IF($J24&gt;0,'Template Setup'!$C$7,""),IF($K24&gt;0,'Template Setup'!$C$8,"")))</f>
        <v/>
      </c>
      <c r="E24" s="6" t="str" cm="1">
        <f t="array" ref="E24">IF($A24="","",_xlfn.LET(_xlpm.sheets,CHOOSE({1,2,3,4,5},'Template Setup'!$C$4,'Template Setup'!$C$5,'Template Setup'!$C$6,'Template Setup'!$C$7,'Template Setup'!$C$8),_xlpm.nums,CHOOSE({1,2,3,4,5},$L24,$M24,$N24,$O24,$P24),_xlpm.qtys,CHOOSE({1,2,3,4,5},$G24,$H24,$I24,$J24,$K24),_xlpm.validNums,_xlfn._xlws.FILTER(_xlpm.nums,_xlpm.qtys&gt;0),_xlpm.validSheets,_xlfn._xlws.FILTER(_xlpm.sheets,_xlpm.qtys&gt;0),_xlpm.mx,IFERROR(MAX(_xlpm.validNums),0),IF(_xlpm.mx=0,"",INDEX(_xlpm.validSheets,MATCH(_xlpm.mx,_xlpm.validNums,0))&amp;" (+"&amp;$R24&amp;")")))</f>
        <v/>
      </c>
      <c r="F24" s="11" t="str">
        <f t="shared" si="2"/>
        <v/>
      </c>
      <c r="G24" s="12" t="str">
        <f ca="1">IF($A24="","",IFERROR(SUMIF(INDIRECT("'"&amp;'Template Setup'!$C$4&amp;"'!C:C"),$A24,INDIRECT("'"&amp;'Template Setup'!$C$4&amp;"'!A:A")),0))</f>
        <v/>
      </c>
      <c r="H24" s="12" t="str">
        <f ca="1">IF($A24="","",IFERROR(SUMIF(INDIRECT("'"&amp;'Template Setup'!$C$5&amp;"'!C:C"),$A24,INDIRECT("'"&amp;'Template Setup'!$C$5&amp;"'!A:A")),0))</f>
        <v/>
      </c>
      <c r="I24" s="12" t="str">
        <f ca="1">IF($A24="","",IFERROR(SUMIF(INDIRECT("'"&amp;'Template Setup'!$C$6&amp;"'!C:C"),$A24,INDIRECT("'"&amp;'Template Setup'!$C$6&amp;"'!A:A")),0))</f>
        <v/>
      </c>
      <c r="J24" s="12" t="str">
        <f ca="1">IF($A24="","",IFERROR(SUMIF(INDIRECT("'"&amp;'Template Setup'!$C$7&amp;"'!C:C"),$A24,INDIRECT("'"&amp;'Template Setup'!$C$7&amp;"'!A:A")),0))</f>
        <v/>
      </c>
      <c r="K24" s="12" t="str">
        <f ca="1">IF($A24="","",IFERROR(SUMIF(INDIRECT("'"&amp;'Template Setup'!$C$8&amp;"'!C:C"),$A24,INDIRECT("'"&amp;'Template Setup'!$C$8&amp;"'!A:A")),0))</f>
        <v/>
      </c>
      <c r="L24" s="11" t="str">
        <f>IF($A24="","",IFERROR(VALUE(MID(TRIM('Template Setup'!$C$4),FIND("-",TRIM('Template Setup'!$C$4))+1,10)),0))</f>
        <v/>
      </c>
      <c r="M24" s="11" t="str">
        <f>IF($A24="","",IFERROR(VALUE(MID(TRIM('Template Setup'!$C$5),FIND("-",TRIM('Template Setup'!$C$5))+1,10)),0))</f>
        <v/>
      </c>
      <c r="N24" s="11" t="str">
        <f>IF($A24="","",IFERROR(VALUE(MID(TRIM('Template Setup'!$C$6),FIND("-",TRIM('Template Setup'!$C$6))+1,10)),0))</f>
        <v/>
      </c>
      <c r="O24" s="11" t="str">
        <f>IF($A24="","",IFERROR(VALUE(MID(TRIM('Template Setup'!$C$7),FIND("-",TRIM('Template Setup'!$C$7))+1,10)),0))</f>
        <v/>
      </c>
      <c r="P24" s="11" t="str">
        <f>IF($A24="","",IFERROR(VALUE(MID(TRIM('Template Setup'!$C$8),FIND("-",TRIM('Template Setup'!$C$8))+1,10)),0))</f>
        <v/>
      </c>
      <c r="Q24" s="9" t="str">
        <f>IF($A24="","",$A24&amp;"-"&amp;'Template Setup'!$C$16)</f>
        <v/>
      </c>
      <c r="R24" s="24" t="str">
        <f t="shared" si="0"/>
        <v/>
      </c>
      <c r="S24" s="24"/>
      <c r="T24" s="24" t="str">
        <f t="shared" si="1"/>
        <v/>
      </c>
      <c r="U24" s="6" t="str">
        <f t="shared" si="4"/>
        <v/>
      </c>
    </row>
    <row r="25" spans="1:21">
      <c r="A25" s="11"/>
      <c r="B25" s="11"/>
      <c r="C25" s="11"/>
      <c r="D25" s="11" t="str">
        <f>IF($A25="","",_xlfn.TEXTJOIN(", ",TRUE,IF($G25&gt;0,'Template Setup'!$C$4,""),IF($H25&gt;0,'Template Setup'!$C$5,""),IF($I25&gt;0,'Template Setup'!$C$6,""),IF($J25&gt;0,'Template Setup'!$C$7,""),IF($K25&gt;0,'Template Setup'!$C$8,"")))</f>
        <v/>
      </c>
      <c r="E25" s="6" t="str" cm="1">
        <f t="array" ref="E25">IF($A25="","",_xlfn.LET(_xlpm.sheets,CHOOSE({1,2,3,4,5},'Template Setup'!$C$4,'Template Setup'!$C$5,'Template Setup'!$C$6,'Template Setup'!$C$7,'Template Setup'!$C$8),_xlpm.nums,CHOOSE({1,2,3,4,5},$L25,$M25,$N25,$O25,$P25),_xlpm.qtys,CHOOSE({1,2,3,4,5},$G25,$H25,$I25,$J25,$K25),_xlpm.validNums,_xlfn._xlws.FILTER(_xlpm.nums,_xlpm.qtys&gt;0),_xlpm.validSheets,_xlfn._xlws.FILTER(_xlpm.sheets,_xlpm.qtys&gt;0),_xlpm.mx,IFERROR(MAX(_xlpm.validNums),0),IF(_xlpm.mx=0,"",INDEX(_xlpm.validSheets,MATCH(_xlpm.mx,_xlpm.validNums,0))&amp;" (+"&amp;$R25&amp;")")))</f>
        <v/>
      </c>
      <c r="F25" s="11" t="str">
        <f t="shared" si="2"/>
        <v/>
      </c>
      <c r="G25" s="12" t="str">
        <f ca="1">IF($A25="","",IFERROR(SUMIF(INDIRECT("'"&amp;'Template Setup'!$C$4&amp;"'!C:C"),$A25,INDIRECT("'"&amp;'Template Setup'!$C$4&amp;"'!A:A")),0))</f>
        <v/>
      </c>
      <c r="H25" s="12" t="str">
        <f ca="1">IF($A25="","",IFERROR(SUMIF(INDIRECT("'"&amp;'Template Setup'!$C$5&amp;"'!C:C"),$A25,INDIRECT("'"&amp;'Template Setup'!$C$5&amp;"'!A:A")),0))</f>
        <v/>
      </c>
      <c r="I25" s="12" t="str">
        <f ca="1">IF($A25="","",IFERROR(SUMIF(INDIRECT("'"&amp;'Template Setup'!$C$6&amp;"'!C:C"),$A25,INDIRECT("'"&amp;'Template Setup'!$C$6&amp;"'!A:A")),0))</f>
        <v/>
      </c>
      <c r="J25" s="12" t="str">
        <f ca="1">IF($A25="","",IFERROR(SUMIF(INDIRECT("'"&amp;'Template Setup'!$C$7&amp;"'!C:C"),$A25,INDIRECT("'"&amp;'Template Setup'!$C$7&amp;"'!A:A")),0))</f>
        <v/>
      </c>
      <c r="K25" s="12" t="str">
        <f ca="1">IF($A25="","",IFERROR(SUMIF(INDIRECT("'"&amp;'Template Setup'!$C$8&amp;"'!C:C"),$A25,INDIRECT("'"&amp;'Template Setup'!$C$8&amp;"'!A:A")),0))</f>
        <v/>
      </c>
      <c r="L25" s="11" t="str">
        <f>IF($A25="","",IFERROR(VALUE(MID(TRIM('Template Setup'!$C$4),FIND("-",TRIM('Template Setup'!$C$4))+1,10)),0))</f>
        <v/>
      </c>
      <c r="M25" s="11" t="str">
        <f>IF($A25="","",IFERROR(VALUE(MID(TRIM('Template Setup'!$C$5),FIND("-",TRIM('Template Setup'!$C$5))+1,10)),0))</f>
        <v/>
      </c>
      <c r="N25" s="11" t="str">
        <f>IF($A25="","",IFERROR(VALUE(MID(TRIM('Template Setup'!$C$6),FIND("-",TRIM('Template Setup'!$C$6))+1,10)),0))</f>
        <v/>
      </c>
      <c r="O25" s="11" t="str">
        <f>IF($A25="","",IFERROR(VALUE(MID(TRIM('Template Setup'!$C$7),FIND("-",TRIM('Template Setup'!$C$7))+1,10)),0))</f>
        <v/>
      </c>
      <c r="P25" s="11" t="str">
        <f>IF($A25="","",IFERROR(VALUE(MID(TRIM('Template Setup'!$C$8),FIND("-",TRIM('Template Setup'!$C$8))+1,10)),0))</f>
        <v/>
      </c>
      <c r="Q25" s="9" t="str">
        <f>IF($A25="","",$A25&amp;"-"&amp;'Template Setup'!$C$16)</f>
        <v/>
      </c>
      <c r="R25" s="24" t="str">
        <f t="shared" si="0"/>
        <v/>
      </c>
      <c r="S25" s="24"/>
      <c r="T25" s="24" t="str">
        <f t="shared" si="1"/>
        <v/>
      </c>
      <c r="U25" s="6" t="str">
        <f t="shared" si="4"/>
        <v/>
      </c>
    </row>
    <row r="26" spans="1:21">
      <c r="A26" s="11"/>
      <c r="B26" s="11"/>
      <c r="C26" s="11"/>
      <c r="D26" s="11" t="str">
        <f>IF($A26="","",_xlfn.TEXTJOIN(", ",TRUE,IF($G26&gt;0,'Template Setup'!$C$4,""),IF($H26&gt;0,'Template Setup'!$C$5,""),IF($I26&gt;0,'Template Setup'!$C$6,""),IF($J26&gt;0,'Template Setup'!$C$7,""),IF($K26&gt;0,'Template Setup'!$C$8,"")))</f>
        <v/>
      </c>
      <c r="E26" s="6" t="str" cm="1">
        <f t="array" ref="E26">IF($A26="","",_xlfn.LET(_xlpm.sheets,CHOOSE({1,2,3,4,5},'Template Setup'!$C$4,'Template Setup'!$C$5,'Template Setup'!$C$6,'Template Setup'!$C$7,'Template Setup'!$C$8),_xlpm.nums,CHOOSE({1,2,3,4,5},$L26,$M26,$N26,$O26,$P26),_xlpm.qtys,CHOOSE({1,2,3,4,5},$G26,$H26,$I26,$J26,$K26),_xlpm.validNums,_xlfn._xlws.FILTER(_xlpm.nums,_xlpm.qtys&gt;0),_xlpm.validSheets,_xlfn._xlws.FILTER(_xlpm.sheets,_xlpm.qtys&gt;0),_xlpm.mx,IFERROR(MAX(_xlpm.validNums),0),IF(_xlpm.mx=0,"",INDEX(_xlpm.validSheets,MATCH(_xlpm.mx,_xlpm.validNums,0))&amp;" (+"&amp;$R26&amp;")")))</f>
        <v/>
      </c>
      <c r="F26" s="11" t="str">
        <f t="shared" si="2"/>
        <v/>
      </c>
      <c r="G26" s="12" t="str">
        <f ca="1">IF($A26="","",IFERROR(SUMIF(INDIRECT("'"&amp;'Template Setup'!$C$4&amp;"'!C:C"),$A26,INDIRECT("'"&amp;'Template Setup'!$C$4&amp;"'!A:A")),0))</f>
        <v/>
      </c>
      <c r="H26" s="12" t="str">
        <f ca="1">IF($A26="","",IFERROR(SUMIF(INDIRECT("'"&amp;'Template Setup'!$C$5&amp;"'!C:C"),$A26,INDIRECT("'"&amp;'Template Setup'!$C$5&amp;"'!A:A")),0))</f>
        <v/>
      </c>
      <c r="I26" s="12" t="str">
        <f ca="1">IF($A26="","",IFERROR(SUMIF(INDIRECT("'"&amp;'Template Setup'!$C$6&amp;"'!C:C"),$A26,INDIRECT("'"&amp;'Template Setup'!$C$6&amp;"'!A:A")),0))</f>
        <v/>
      </c>
      <c r="J26" s="12" t="str">
        <f ca="1">IF($A26="","",IFERROR(SUMIF(INDIRECT("'"&amp;'Template Setup'!$C$7&amp;"'!C:C"),$A26,INDIRECT("'"&amp;'Template Setup'!$C$7&amp;"'!A:A")),0))</f>
        <v/>
      </c>
      <c r="K26" s="12" t="str">
        <f ca="1">IF($A26="","",IFERROR(SUMIF(INDIRECT("'"&amp;'Template Setup'!$C$8&amp;"'!C:C"),$A26,INDIRECT("'"&amp;'Template Setup'!$C$8&amp;"'!A:A")),0))</f>
        <v/>
      </c>
      <c r="L26" s="11" t="str">
        <f>IF($A26="","",IFERROR(VALUE(MID(TRIM('Template Setup'!$C$4),FIND("-",TRIM('Template Setup'!$C$4))+1,10)),0))</f>
        <v/>
      </c>
      <c r="M26" s="11" t="str">
        <f>IF($A26="","",IFERROR(VALUE(MID(TRIM('Template Setup'!$C$5),FIND("-",TRIM('Template Setup'!$C$5))+1,10)),0))</f>
        <v/>
      </c>
      <c r="N26" s="11" t="str">
        <f>IF($A26="","",IFERROR(VALUE(MID(TRIM('Template Setup'!$C$6),FIND("-",TRIM('Template Setup'!$C$6))+1,10)),0))</f>
        <v/>
      </c>
      <c r="O26" s="11" t="str">
        <f>IF($A26="","",IFERROR(VALUE(MID(TRIM('Template Setup'!$C$7),FIND("-",TRIM('Template Setup'!$C$7))+1,10)),0))</f>
        <v/>
      </c>
      <c r="P26" s="11" t="str">
        <f>IF($A26="","",IFERROR(VALUE(MID(TRIM('Template Setup'!$C$8),FIND("-",TRIM('Template Setup'!$C$8))+1,10)),0))</f>
        <v/>
      </c>
      <c r="Q26" s="9" t="str">
        <f>IF($A26="","",$A26&amp;"-"&amp;'Template Setup'!$C$16)</f>
        <v/>
      </c>
      <c r="R26" s="24" t="str">
        <f t="shared" si="0"/>
        <v/>
      </c>
      <c r="S26" s="24"/>
      <c r="T26" s="24" t="str">
        <f t="shared" si="1"/>
        <v/>
      </c>
      <c r="U26" s="6" t="str">
        <f t="shared" si="4"/>
        <v/>
      </c>
    </row>
    <row r="27" spans="1:21">
      <c r="A27" s="11"/>
      <c r="B27" s="11"/>
      <c r="C27" s="11"/>
      <c r="D27" s="11" t="str">
        <f>IF($A27="","",_xlfn.TEXTJOIN(", ",TRUE,IF($G27&gt;0,'Template Setup'!$C$4,""),IF($H27&gt;0,'Template Setup'!$C$5,""),IF($I27&gt;0,'Template Setup'!$C$6,""),IF($J27&gt;0,'Template Setup'!$C$7,""),IF($K27&gt;0,'Template Setup'!$C$8,"")))</f>
        <v/>
      </c>
      <c r="E27" s="6" t="str" cm="1">
        <f t="array" ref="E27">IF($A27="","",_xlfn.LET(_xlpm.sheets,CHOOSE({1,2,3,4,5},'Template Setup'!$C$4,'Template Setup'!$C$5,'Template Setup'!$C$6,'Template Setup'!$C$7,'Template Setup'!$C$8),_xlpm.nums,CHOOSE({1,2,3,4,5},$L27,$M27,$N27,$O27,$P27),_xlpm.qtys,CHOOSE({1,2,3,4,5},$G27,$H27,$I27,$J27,$K27),_xlpm.validNums,_xlfn._xlws.FILTER(_xlpm.nums,_xlpm.qtys&gt;0),_xlpm.validSheets,_xlfn._xlws.FILTER(_xlpm.sheets,_xlpm.qtys&gt;0),_xlpm.mx,IFERROR(MAX(_xlpm.validNums),0),IF(_xlpm.mx=0,"",INDEX(_xlpm.validSheets,MATCH(_xlpm.mx,_xlpm.validNums,0))&amp;" (+"&amp;$R27&amp;")")))</f>
        <v/>
      </c>
      <c r="F27" s="11" t="str">
        <f t="shared" si="2"/>
        <v/>
      </c>
      <c r="G27" s="12" t="str">
        <f ca="1">IF($A27="","",IFERROR(SUMIF(INDIRECT("'"&amp;'Template Setup'!$C$4&amp;"'!C:C"),$A27,INDIRECT("'"&amp;'Template Setup'!$C$4&amp;"'!A:A")),0))</f>
        <v/>
      </c>
      <c r="H27" s="12" t="str">
        <f ca="1">IF($A27="","",IFERROR(SUMIF(INDIRECT("'"&amp;'Template Setup'!$C$5&amp;"'!C:C"),$A27,INDIRECT("'"&amp;'Template Setup'!$C$5&amp;"'!A:A")),0))</f>
        <v/>
      </c>
      <c r="I27" s="12" t="str">
        <f ca="1">IF($A27="","",IFERROR(SUMIF(INDIRECT("'"&amp;'Template Setup'!$C$6&amp;"'!C:C"),$A27,INDIRECT("'"&amp;'Template Setup'!$C$6&amp;"'!A:A")),0))</f>
        <v/>
      </c>
      <c r="J27" s="12" t="str">
        <f ca="1">IF($A27="","",IFERROR(SUMIF(INDIRECT("'"&amp;'Template Setup'!$C$7&amp;"'!C:C"),$A27,INDIRECT("'"&amp;'Template Setup'!$C$7&amp;"'!A:A")),0))</f>
        <v/>
      </c>
      <c r="K27" s="12" t="str">
        <f ca="1">IF($A27="","",IFERROR(SUMIF(INDIRECT("'"&amp;'Template Setup'!$C$8&amp;"'!C:C"),$A27,INDIRECT("'"&amp;'Template Setup'!$C$8&amp;"'!A:A")),0))</f>
        <v/>
      </c>
      <c r="L27" s="11" t="str">
        <f>IF($A27="","",IFERROR(VALUE(MID(TRIM('Template Setup'!$C$4),FIND("-",TRIM('Template Setup'!$C$4))+1,10)),0))</f>
        <v/>
      </c>
      <c r="M27" s="11" t="str">
        <f>IF($A27="","",IFERROR(VALUE(MID(TRIM('Template Setup'!$C$5),FIND("-",TRIM('Template Setup'!$C$5))+1,10)),0))</f>
        <v/>
      </c>
      <c r="N27" s="11" t="str">
        <f>IF($A27="","",IFERROR(VALUE(MID(TRIM('Template Setup'!$C$6),FIND("-",TRIM('Template Setup'!$C$6))+1,10)),0))</f>
        <v/>
      </c>
      <c r="O27" s="11" t="str">
        <f>IF($A27="","",IFERROR(VALUE(MID(TRIM('Template Setup'!$C$7),FIND("-",TRIM('Template Setup'!$C$7))+1,10)),0))</f>
        <v/>
      </c>
      <c r="P27" s="11" t="str">
        <f>IF($A27="","",IFERROR(VALUE(MID(TRIM('Template Setup'!$C$8),FIND("-",TRIM('Template Setup'!$C$8))+1,10)),0))</f>
        <v/>
      </c>
      <c r="Q27" s="9" t="str">
        <f>IF($A27="","",$A27&amp;"-"&amp;'Template Setup'!$C$16)</f>
        <v/>
      </c>
      <c r="R27" s="24" t="str">
        <f t="shared" si="0"/>
        <v/>
      </c>
      <c r="S27" s="24"/>
      <c r="T27" s="24" t="str">
        <f t="shared" si="1"/>
        <v/>
      </c>
      <c r="U27" s="6" t="str">
        <f t="shared" si="4"/>
        <v/>
      </c>
    </row>
    <row r="28" spans="1:21">
      <c r="A28" s="11"/>
      <c r="B28" s="11"/>
      <c r="C28" s="11"/>
      <c r="D28" s="11" t="str">
        <f>IF($A28="","",_xlfn.TEXTJOIN(", ",TRUE,IF($G28&gt;0,'Template Setup'!$C$4,""),IF($H28&gt;0,'Template Setup'!$C$5,""),IF($I28&gt;0,'Template Setup'!$C$6,""),IF($J28&gt;0,'Template Setup'!$C$7,""),IF($K28&gt;0,'Template Setup'!$C$8,"")))</f>
        <v/>
      </c>
      <c r="E28" s="6" t="str" cm="1">
        <f t="array" ref="E28">IF($A28="","",_xlfn.LET(_xlpm.sheets,CHOOSE({1,2,3,4,5},'Template Setup'!$C$4,'Template Setup'!$C$5,'Template Setup'!$C$6,'Template Setup'!$C$7,'Template Setup'!$C$8),_xlpm.nums,CHOOSE({1,2,3,4,5},$L28,$M28,$N28,$O28,$P28),_xlpm.qtys,CHOOSE({1,2,3,4,5},$G28,$H28,$I28,$J28,$K28),_xlpm.validNums,_xlfn._xlws.FILTER(_xlpm.nums,_xlpm.qtys&gt;0),_xlpm.validSheets,_xlfn._xlws.FILTER(_xlpm.sheets,_xlpm.qtys&gt;0),_xlpm.mx,IFERROR(MAX(_xlpm.validNums),0),IF(_xlpm.mx=0,"",INDEX(_xlpm.validSheets,MATCH(_xlpm.mx,_xlpm.validNums,0))&amp;" (+"&amp;$R28&amp;")")))</f>
        <v/>
      </c>
      <c r="F28" s="11" t="str">
        <f t="shared" si="2"/>
        <v/>
      </c>
      <c r="G28" s="12" t="str">
        <f ca="1">IF($A28="","",IFERROR(SUMIF(INDIRECT("'"&amp;'Template Setup'!$C$4&amp;"'!C:C"),$A28,INDIRECT("'"&amp;'Template Setup'!$C$4&amp;"'!A:A")),0))</f>
        <v/>
      </c>
      <c r="H28" s="12" t="str">
        <f ca="1">IF($A28="","",IFERROR(SUMIF(INDIRECT("'"&amp;'Template Setup'!$C$5&amp;"'!C:C"),$A28,INDIRECT("'"&amp;'Template Setup'!$C$5&amp;"'!A:A")),0))</f>
        <v/>
      </c>
      <c r="I28" s="12" t="str">
        <f ca="1">IF($A28="","",IFERROR(SUMIF(INDIRECT("'"&amp;'Template Setup'!$C$6&amp;"'!C:C"),$A28,INDIRECT("'"&amp;'Template Setup'!$C$6&amp;"'!A:A")),0))</f>
        <v/>
      </c>
      <c r="J28" s="12" t="str">
        <f ca="1">IF($A28="","",IFERROR(SUMIF(INDIRECT("'"&amp;'Template Setup'!$C$7&amp;"'!C:C"),$A28,INDIRECT("'"&amp;'Template Setup'!$C$7&amp;"'!A:A")),0))</f>
        <v/>
      </c>
      <c r="K28" s="12" t="str">
        <f ca="1">IF($A28="","",IFERROR(SUMIF(INDIRECT("'"&amp;'Template Setup'!$C$8&amp;"'!C:C"),$A28,INDIRECT("'"&amp;'Template Setup'!$C$8&amp;"'!A:A")),0))</f>
        <v/>
      </c>
      <c r="L28" s="11" t="str">
        <f>IF($A28="","",IFERROR(VALUE(MID(TRIM('Template Setup'!$C$4),FIND("-",TRIM('Template Setup'!$C$4))+1,10)),0))</f>
        <v/>
      </c>
      <c r="M28" s="11" t="str">
        <f>IF($A28="","",IFERROR(VALUE(MID(TRIM('Template Setup'!$C$5),FIND("-",TRIM('Template Setup'!$C$5))+1,10)),0))</f>
        <v/>
      </c>
      <c r="N28" s="11" t="str">
        <f>IF($A28="","",IFERROR(VALUE(MID(TRIM('Template Setup'!$C$6),FIND("-",TRIM('Template Setup'!$C$6))+1,10)),0))</f>
        <v/>
      </c>
      <c r="O28" s="11" t="str">
        <f>IF($A28="","",IFERROR(VALUE(MID(TRIM('Template Setup'!$C$7),FIND("-",TRIM('Template Setup'!$C$7))+1,10)),0))</f>
        <v/>
      </c>
      <c r="P28" s="11" t="str">
        <f>IF($A28="","",IFERROR(VALUE(MID(TRIM('Template Setup'!$C$8),FIND("-",TRIM('Template Setup'!$C$8))+1,10)),0))</f>
        <v/>
      </c>
      <c r="Q28" s="9" t="str">
        <f>IF($A28="","",$A28&amp;"-"&amp;'Template Setup'!$C$16)</f>
        <v/>
      </c>
      <c r="R28" s="24" t="str">
        <f t="shared" si="0"/>
        <v/>
      </c>
      <c r="S28" s="24"/>
      <c r="T28" s="24" t="str">
        <f t="shared" si="1"/>
        <v/>
      </c>
      <c r="U28" s="6" t="str">
        <f t="shared" si="4"/>
        <v/>
      </c>
    </row>
    <row r="29" spans="1:21">
      <c r="A29" s="11"/>
      <c r="B29" s="11"/>
      <c r="C29" s="11"/>
      <c r="D29" s="11" t="str">
        <f>IF($A29="","",_xlfn.TEXTJOIN(", ",TRUE,IF($G29&gt;0,'Template Setup'!$C$4,""),IF($H29&gt;0,'Template Setup'!$C$5,""),IF($I29&gt;0,'Template Setup'!$C$6,""),IF($J29&gt;0,'Template Setup'!$C$7,""),IF($K29&gt;0,'Template Setup'!$C$8,"")))</f>
        <v/>
      </c>
      <c r="E29" s="6" t="str" cm="1">
        <f t="array" ref="E29">IF($A29="","",_xlfn.LET(_xlpm.sheets,CHOOSE({1,2,3,4,5},'Template Setup'!$C$4,'Template Setup'!$C$5,'Template Setup'!$C$6,'Template Setup'!$C$7,'Template Setup'!$C$8),_xlpm.nums,CHOOSE({1,2,3,4,5},$L29,$M29,$N29,$O29,$P29),_xlpm.qtys,CHOOSE({1,2,3,4,5},$G29,$H29,$I29,$J29,$K29),_xlpm.validNums,_xlfn._xlws.FILTER(_xlpm.nums,_xlpm.qtys&gt;0),_xlpm.validSheets,_xlfn._xlws.FILTER(_xlpm.sheets,_xlpm.qtys&gt;0),_xlpm.mx,IFERROR(MAX(_xlpm.validNums),0),IF(_xlpm.mx=0,"",INDEX(_xlpm.validSheets,MATCH(_xlpm.mx,_xlpm.validNums,0))&amp;" (+"&amp;$R29&amp;")")))</f>
        <v/>
      </c>
      <c r="F29" s="11" t="str">
        <f t="shared" si="2"/>
        <v/>
      </c>
      <c r="G29" s="12" t="str">
        <f ca="1">IF($A29="","",IFERROR(SUMIF(INDIRECT("'"&amp;'Template Setup'!$C$4&amp;"'!C:C"),$A29,INDIRECT("'"&amp;'Template Setup'!$C$4&amp;"'!A:A")),0))</f>
        <v/>
      </c>
      <c r="H29" s="12" t="str">
        <f ca="1">IF($A29="","",IFERROR(SUMIF(INDIRECT("'"&amp;'Template Setup'!$C$5&amp;"'!C:C"),$A29,INDIRECT("'"&amp;'Template Setup'!$C$5&amp;"'!A:A")),0))</f>
        <v/>
      </c>
      <c r="I29" s="12" t="str">
        <f ca="1">IF($A29="","",IFERROR(SUMIF(INDIRECT("'"&amp;'Template Setup'!$C$6&amp;"'!C:C"),$A29,INDIRECT("'"&amp;'Template Setup'!$C$6&amp;"'!A:A")),0))</f>
        <v/>
      </c>
      <c r="J29" s="12" t="str">
        <f ca="1">IF($A29="","",IFERROR(SUMIF(INDIRECT("'"&amp;'Template Setup'!$C$7&amp;"'!C:C"),$A29,INDIRECT("'"&amp;'Template Setup'!$C$7&amp;"'!A:A")),0))</f>
        <v/>
      </c>
      <c r="K29" s="12" t="str">
        <f ca="1">IF($A29="","",IFERROR(SUMIF(INDIRECT("'"&amp;'Template Setup'!$C$8&amp;"'!C:C"),$A29,INDIRECT("'"&amp;'Template Setup'!$C$8&amp;"'!A:A")),0))</f>
        <v/>
      </c>
      <c r="L29" s="11" t="str">
        <f>IF($A29="","",IFERROR(VALUE(MID(TRIM('Template Setup'!$C$4),FIND("-",TRIM('Template Setup'!$C$4))+1,10)),0))</f>
        <v/>
      </c>
      <c r="M29" s="11" t="str">
        <f>IF($A29="","",IFERROR(VALUE(MID(TRIM('Template Setup'!$C$5),FIND("-",TRIM('Template Setup'!$C$5))+1,10)),0))</f>
        <v/>
      </c>
      <c r="N29" s="11" t="str">
        <f>IF($A29="","",IFERROR(VALUE(MID(TRIM('Template Setup'!$C$6),FIND("-",TRIM('Template Setup'!$C$6))+1,10)),0))</f>
        <v/>
      </c>
      <c r="O29" s="11" t="str">
        <f>IF($A29="","",IFERROR(VALUE(MID(TRIM('Template Setup'!$C$7),FIND("-",TRIM('Template Setup'!$C$7))+1,10)),0))</f>
        <v/>
      </c>
      <c r="P29" s="11" t="str">
        <f>IF($A29="","",IFERROR(VALUE(MID(TRIM('Template Setup'!$C$8),FIND("-",TRIM('Template Setup'!$C$8))+1,10)),0))</f>
        <v/>
      </c>
      <c r="Q29" s="9" t="str">
        <f>IF($A29="","",$A29&amp;"-"&amp;'Template Setup'!$C$16)</f>
        <v/>
      </c>
      <c r="R29" s="24" t="str">
        <f t="shared" si="0"/>
        <v/>
      </c>
      <c r="S29" s="24"/>
      <c r="T29" s="24" t="str">
        <f t="shared" si="1"/>
        <v/>
      </c>
      <c r="U29" s="6" t="str">
        <f t="shared" si="4"/>
        <v/>
      </c>
    </row>
    <row r="30" spans="1:21">
      <c r="A30" s="11"/>
      <c r="B30" s="11"/>
      <c r="C30" s="11"/>
      <c r="D30" s="11" t="str">
        <f>IF($A30="","",_xlfn.TEXTJOIN(", ",TRUE,IF($G30&gt;0,'Template Setup'!$C$4,""),IF($H30&gt;0,'Template Setup'!$C$5,""),IF($I30&gt;0,'Template Setup'!$C$6,""),IF($J30&gt;0,'Template Setup'!$C$7,""),IF($K30&gt;0,'Template Setup'!$C$8,"")))</f>
        <v/>
      </c>
      <c r="E30" s="6" t="str" cm="1">
        <f t="array" ref="E30">IF($A30="","",_xlfn.LET(_xlpm.sheets,CHOOSE({1,2,3,4,5},'Template Setup'!$C$4,'Template Setup'!$C$5,'Template Setup'!$C$6,'Template Setup'!$C$7,'Template Setup'!$C$8),_xlpm.nums,CHOOSE({1,2,3,4,5},$L30,$M30,$N30,$O30,$P30),_xlpm.qtys,CHOOSE({1,2,3,4,5},$G30,$H30,$I30,$J30,$K30),_xlpm.validNums,_xlfn._xlws.FILTER(_xlpm.nums,_xlpm.qtys&gt;0),_xlpm.validSheets,_xlfn._xlws.FILTER(_xlpm.sheets,_xlpm.qtys&gt;0),_xlpm.mx,IFERROR(MAX(_xlpm.validNums),0),IF(_xlpm.mx=0,"",INDEX(_xlpm.validSheets,MATCH(_xlpm.mx,_xlpm.validNums,0))&amp;" (+"&amp;$R30&amp;")")))</f>
        <v/>
      </c>
      <c r="F30" s="11" t="str">
        <f t="shared" si="2"/>
        <v/>
      </c>
      <c r="G30" s="12" t="str">
        <f ca="1">IF($A30="","",IFERROR(SUMIF(INDIRECT("'"&amp;'Template Setup'!$C$4&amp;"'!C:C"),$A30,INDIRECT("'"&amp;'Template Setup'!$C$4&amp;"'!A:A")),0))</f>
        <v/>
      </c>
      <c r="H30" s="12" t="str">
        <f ca="1">IF($A30="","",IFERROR(SUMIF(INDIRECT("'"&amp;'Template Setup'!$C$5&amp;"'!C:C"),$A30,INDIRECT("'"&amp;'Template Setup'!$C$5&amp;"'!A:A")),0))</f>
        <v/>
      </c>
      <c r="I30" s="12" t="str">
        <f ca="1">IF($A30="","",IFERROR(SUMIF(INDIRECT("'"&amp;'Template Setup'!$C$6&amp;"'!C:C"),$A30,INDIRECT("'"&amp;'Template Setup'!$C$6&amp;"'!A:A")),0))</f>
        <v/>
      </c>
      <c r="J30" s="12" t="str">
        <f ca="1">IF($A30="","",IFERROR(SUMIF(INDIRECT("'"&amp;'Template Setup'!$C$7&amp;"'!C:C"),$A30,INDIRECT("'"&amp;'Template Setup'!$C$7&amp;"'!A:A")),0))</f>
        <v/>
      </c>
      <c r="K30" s="12" t="str">
        <f ca="1">IF($A30="","",IFERROR(SUMIF(INDIRECT("'"&amp;'Template Setup'!$C$8&amp;"'!C:C"),$A30,INDIRECT("'"&amp;'Template Setup'!$C$8&amp;"'!A:A")),0))</f>
        <v/>
      </c>
      <c r="L30" s="11" t="str">
        <f>IF($A30="","",IFERROR(VALUE(MID(TRIM('Template Setup'!$C$4),FIND("-",TRIM('Template Setup'!$C$4))+1,10)),0))</f>
        <v/>
      </c>
      <c r="M30" s="11" t="str">
        <f>IF($A30="","",IFERROR(VALUE(MID(TRIM('Template Setup'!$C$5),FIND("-",TRIM('Template Setup'!$C$5))+1,10)),0))</f>
        <v/>
      </c>
      <c r="N30" s="11" t="str">
        <f>IF($A30="","",IFERROR(VALUE(MID(TRIM('Template Setup'!$C$6),FIND("-",TRIM('Template Setup'!$C$6))+1,10)),0))</f>
        <v/>
      </c>
      <c r="O30" s="11" t="str">
        <f>IF($A30="","",IFERROR(VALUE(MID(TRIM('Template Setup'!$C$7),FIND("-",TRIM('Template Setup'!$C$7))+1,10)),0))</f>
        <v/>
      </c>
      <c r="P30" s="11" t="str">
        <f>IF($A30="","",IFERROR(VALUE(MID(TRIM('Template Setup'!$C$8),FIND("-",TRIM('Template Setup'!$C$8))+1,10)),0))</f>
        <v/>
      </c>
      <c r="Q30" s="9" t="str">
        <f>IF($A30="","",$A30&amp;"-"&amp;'Template Setup'!$C$16)</f>
        <v/>
      </c>
      <c r="R30" s="24" t="str">
        <f t="shared" si="0"/>
        <v/>
      </c>
      <c r="S30" s="24"/>
      <c r="T30" s="24" t="str">
        <f t="shared" si="1"/>
        <v/>
      </c>
      <c r="U30" s="6" t="str">
        <f t="shared" si="4"/>
        <v/>
      </c>
    </row>
    <row r="31" spans="1:21">
      <c r="A31" s="11"/>
      <c r="B31" s="11"/>
      <c r="C31" s="11"/>
      <c r="D31" s="11" t="str">
        <f>IF($A31="","",_xlfn.TEXTJOIN(", ",TRUE,IF($G31&gt;0,'Template Setup'!$C$4,""),IF($H31&gt;0,'Template Setup'!$C$5,""),IF($I31&gt;0,'Template Setup'!$C$6,""),IF($J31&gt;0,'Template Setup'!$C$7,""),IF($K31&gt;0,'Template Setup'!$C$8,"")))</f>
        <v/>
      </c>
      <c r="E31" s="6" t="str" cm="1">
        <f t="array" ref="E31">IF($A31="","",_xlfn.LET(_xlpm.sheets,CHOOSE({1,2,3,4,5},'Template Setup'!$C$4,'Template Setup'!$C$5,'Template Setup'!$C$6,'Template Setup'!$C$7,'Template Setup'!$C$8),_xlpm.nums,CHOOSE({1,2,3,4,5},$L31,$M31,$N31,$O31,$P31),_xlpm.qtys,CHOOSE({1,2,3,4,5},$G31,$H31,$I31,$J31,$K31),_xlpm.validNums,_xlfn._xlws.FILTER(_xlpm.nums,_xlpm.qtys&gt;0),_xlpm.validSheets,_xlfn._xlws.FILTER(_xlpm.sheets,_xlpm.qtys&gt;0),_xlpm.mx,IFERROR(MAX(_xlpm.validNums),0),IF(_xlpm.mx=0,"",INDEX(_xlpm.validSheets,MATCH(_xlpm.mx,_xlpm.validNums,0))&amp;" (+"&amp;$R31&amp;")")))</f>
        <v/>
      </c>
      <c r="F31" s="11" t="str">
        <f t="shared" si="2"/>
        <v/>
      </c>
      <c r="G31" s="12" t="str">
        <f ca="1">IF($A31="","",IFERROR(SUMIF(INDIRECT("'"&amp;'Template Setup'!$C$4&amp;"'!C:C"),$A31,INDIRECT("'"&amp;'Template Setup'!$C$4&amp;"'!A:A")),0))</f>
        <v/>
      </c>
      <c r="H31" s="12" t="str">
        <f ca="1">IF($A31="","",IFERROR(SUMIF(INDIRECT("'"&amp;'Template Setup'!$C$5&amp;"'!C:C"),$A31,INDIRECT("'"&amp;'Template Setup'!$C$5&amp;"'!A:A")),0))</f>
        <v/>
      </c>
      <c r="I31" s="12" t="str">
        <f ca="1">IF($A31="","",IFERROR(SUMIF(INDIRECT("'"&amp;'Template Setup'!$C$6&amp;"'!C:C"),$A31,INDIRECT("'"&amp;'Template Setup'!$C$6&amp;"'!A:A")),0))</f>
        <v/>
      </c>
      <c r="J31" s="12" t="str">
        <f ca="1">IF($A31="","",IFERROR(SUMIF(INDIRECT("'"&amp;'Template Setup'!$C$7&amp;"'!C:C"),$A31,INDIRECT("'"&amp;'Template Setup'!$C$7&amp;"'!A:A")),0))</f>
        <v/>
      </c>
      <c r="K31" s="12" t="str">
        <f ca="1">IF($A31="","",IFERROR(SUMIF(INDIRECT("'"&amp;'Template Setup'!$C$8&amp;"'!C:C"),$A31,INDIRECT("'"&amp;'Template Setup'!$C$8&amp;"'!A:A")),0))</f>
        <v/>
      </c>
      <c r="L31" s="11" t="str">
        <f>IF($A31="","",IFERROR(VALUE(MID(TRIM('Template Setup'!$C$4),FIND("-",TRIM('Template Setup'!$C$4))+1,10)),0))</f>
        <v/>
      </c>
      <c r="M31" s="11" t="str">
        <f>IF($A31="","",IFERROR(VALUE(MID(TRIM('Template Setup'!$C$5),FIND("-",TRIM('Template Setup'!$C$5))+1,10)),0))</f>
        <v/>
      </c>
      <c r="N31" s="11" t="str">
        <f>IF($A31="","",IFERROR(VALUE(MID(TRIM('Template Setup'!$C$6),FIND("-",TRIM('Template Setup'!$C$6))+1,10)),0))</f>
        <v/>
      </c>
      <c r="O31" s="11" t="str">
        <f>IF($A31="","",IFERROR(VALUE(MID(TRIM('Template Setup'!$C$7),FIND("-",TRIM('Template Setup'!$C$7))+1,10)),0))</f>
        <v/>
      </c>
      <c r="P31" s="11" t="str">
        <f>IF($A31="","",IFERROR(VALUE(MID(TRIM('Template Setup'!$C$8),FIND("-",TRIM('Template Setup'!$C$8))+1,10)),0))</f>
        <v/>
      </c>
      <c r="Q31" s="9" t="str">
        <f>IF($A31="","",$A31&amp;"-"&amp;'Template Setup'!$C$16)</f>
        <v/>
      </c>
      <c r="R31" s="24" t="str">
        <f t="shared" si="0"/>
        <v/>
      </c>
      <c r="S31" s="24"/>
      <c r="T31" s="24" t="str">
        <f t="shared" si="1"/>
        <v/>
      </c>
      <c r="U31" s="6" t="str">
        <f t="shared" si="4"/>
        <v/>
      </c>
    </row>
    <row r="32" spans="1:21">
      <c r="A32" s="11"/>
      <c r="B32" s="11"/>
      <c r="C32" s="11"/>
      <c r="D32" s="11" t="str">
        <f>IF($A32="","",_xlfn.TEXTJOIN(", ",TRUE,IF($G32&gt;0,'Template Setup'!$C$4,""),IF($H32&gt;0,'Template Setup'!$C$5,""),IF($I32&gt;0,'Template Setup'!$C$6,""),IF($J32&gt;0,'Template Setup'!$C$7,""),IF($K32&gt;0,'Template Setup'!$C$8,"")))</f>
        <v/>
      </c>
      <c r="E32" s="6" t="str" cm="1">
        <f t="array" ref="E32">IF($A32="","",_xlfn.LET(_xlpm.sheets,CHOOSE({1,2,3,4,5},'Template Setup'!$C$4,'Template Setup'!$C$5,'Template Setup'!$C$6,'Template Setup'!$C$7,'Template Setup'!$C$8),_xlpm.nums,CHOOSE({1,2,3,4,5},$L32,$M32,$N32,$O32,$P32),_xlpm.qtys,CHOOSE({1,2,3,4,5},$G32,$H32,$I32,$J32,$K32),_xlpm.validNums,_xlfn._xlws.FILTER(_xlpm.nums,_xlpm.qtys&gt;0),_xlpm.validSheets,_xlfn._xlws.FILTER(_xlpm.sheets,_xlpm.qtys&gt;0),_xlpm.mx,IFERROR(MAX(_xlpm.validNums),0),IF(_xlpm.mx=0,"",INDEX(_xlpm.validSheets,MATCH(_xlpm.mx,_xlpm.validNums,0))&amp;" (+"&amp;$R32&amp;")")))</f>
        <v/>
      </c>
      <c r="F32" s="11" t="str">
        <f t="shared" si="2"/>
        <v/>
      </c>
      <c r="G32" s="12" t="str">
        <f ca="1">IF($A32="","",IFERROR(SUMIF(INDIRECT("'"&amp;'Template Setup'!$C$4&amp;"'!C:C"),$A32,INDIRECT("'"&amp;'Template Setup'!$C$4&amp;"'!A:A")),0))</f>
        <v/>
      </c>
      <c r="H32" s="12" t="str">
        <f ca="1">IF($A32="","",IFERROR(SUMIF(INDIRECT("'"&amp;'Template Setup'!$C$5&amp;"'!C:C"),$A32,INDIRECT("'"&amp;'Template Setup'!$C$5&amp;"'!A:A")),0))</f>
        <v/>
      </c>
      <c r="I32" s="12" t="str">
        <f ca="1">IF($A32="","",IFERROR(SUMIF(INDIRECT("'"&amp;'Template Setup'!$C$6&amp;"'!C:C"),$A32,INDIRECT("'"&amp;'Template Setup'!$C$6&amp;"'!A:A")),0))</f>
        <v/>
      </c>
      <c r="J32" s="12" t="str">
        <f ca="1">IF($A32="","",IFERROR(SUMIF(INDIRECT("'"&amp;'Template Setup'!$C$7&amp;"'!C:C"),$A32,INDIRECT("'"&amp;'Template Setup'!$C$7&amp;"'!A:A")),0))</f>
        <v/>
      </c>
      <c r="K32" s="12" t="str">
        <f ca="1">IF($A32="","",IFERROR(SUMIF(INDIRECT("'"&amp;'Template Setup'!$C$8&amp;"'!C:C"),$A32,INDIRECT("'"&amp;'Template Setup'!$C$8&amp;"'!A:A")),0))</f>
        <v/>
      </c>
      <c r="L32" s="11" t="str">
        <f>IF($A32="","",IFERROR(VALUE(MID(TRIM('Template Setup'!$C$4),FIND("-",TRIM('Template Setup'!$C$4))+1,10)),0))</f>
        <v/>
      </c>
      <c r="M32" s="11" t="str">
        <f>IF($A32="","",IFERROR(VALUE(MID(TRIM('Template Setup'!$C$5),FIND("-",TRIM('Template Setup'!$C$5))+1,10)),0))</f>
        <v/>
      </c>
      <c r="N32" s="11" t="str">
        <f>IF($A32="","",IFERROR(VALUE(MID(TRIM('Template Setup'!$C$6),FIND("-",TRIM('Template Setup'!$C$6))+1,10)),0))</f>
        <v/>
      </c>
      <c r="O32" s="11" t="str">
        <f>IF($A32="","",IFERROR(VALUE(MID(TRIM('Template Setup'!$C$7),FIND("-",TRIM('Template Setup'!$C$7))+1,10)),0))</f>
        <v/>
      </c>
      <c r="P32" s="11" t="str">
        <f>IF($A32="","",IFERROR(VALUE(MID(TRIM('Template Setup'!$C$8),FIND("-",TRIM('Template Setup'!$C$8))+1,10)),0))</f>
        <v/>
      </c>
      <c r="Q32" s="9" t="str">
        <f>IF($A32="","",$A32&amp;"-"&amp;'Template Setup'!$C$16)</f>
        <v/>
      </c>
      <c r="R32" s="24" t="str">
        <f t="shared" si="0"/>
        <v/>
      </c>
      <c r="S32" s="24"/>
      <c r="T32" s="24" t="str">
        <f t="shared" si="1"/>
        <v/>
      </c>
      <c r="U32" s="6" t="str">
        <f t="shared" si="4"/>
        <v/>
      </c>
    </row>
    <row r="33" spans="1:21">
      <c r="A33" s="11"/>
      <c r="B33" s="11"/>
      <c r="C33" s="11"/>
      <c r="D33" s="11" t="str">
        <f>IF($A33="","",_xlfn.TEXTJOIN(", ",TRUE,IF($G33&gt;0,'Template Setup'!$C$4,""),IF($H33&gt;0,'Template Setup'!$C$5,""),IF($I33&gt;0,'Template Setup'!$C$6,""),IF($J33&gt;0,'Template Setup'!$C$7,""),IF($K33&gt;0,'Template Setup'!$C$8,"")))</f>
        <v/>
      </c>
      <c r="E33" s="6" t="str" cm="1">
        <f t="array" ref="E33">IF($A33="","",_xlfn.LET(_xlpm.sheets,CHOOSE({1,2,3,4,5},'Template Setup'!$C$4,'Template Setup'!$C$5,'Template Setup'!$C$6,'Template Setup'!$C$7,'Template Setup'!$C$8),_xlpm.nums,CHOOSE({1,2,3,4,5},$L33,$M33,$N33,$O33,$P33),_xlpm.qtys,CHOOSE({1,2,3,4,5},$G33,$H33,$I33,$J33,$K33),_xlpm.validNums,_xlfn._xlws.FILTER(_xlpm.nums,_xlpm.qtys&gt;0),_xlpm.validSheets,_xlfn._xlws.FILTER(_xlpm.sheets,_xlpm.qtys&gt;0),_xlpm.mx,IFERROR(MAX(_xlpm.validNums),0),IF(_xlpm.mx=0,"",INDEX(_xlpm.validSheets,MATCH(_xlpm.mx,_xlpm.validNums,0))&amp;" (+"&amp;$R33&amp;")")))</f>
        <v/>
      </c>
      <c r="F33" s="11" t="str">
        <f t="shared" si="2"/>
        <v/>
      </c>
      <c r="G33" s="12" t="str">
        <f ca="1">IF($A33="","",IFERROR(SUMIF(INDIRECT("'"&amp;'Template Setup'!$C$4&amp;"'!C:C"),$A33,INDIRECT("'"&amp;'Template Setup'!$C$4&amp;"'!A:A")),0))</f>
        <v/>
      </c>
      <c r="H33" s="12" t="str">
        <f ca="1">IF($A33="","",IFERROR(SUMIF(INDIRECT("'"&amp;'Template Setup'!$C$5&amp;"'!C:C"),$A33,INDIRECT("'"&amp;'Template Setup'!$C$5&amp;"'!A:A")),0))</f>
        <v/>
      </c>
      <c r="I33" s="12" t="str">
        <f ca="1">IF($A33="","",IFERROR(SUMIF(INDIRECT("'"&amp;'Template Setup'!$C$6&amp;"'!C:C"),$A33,INDIRECT("'"&amp;'Template Setup'!$C$6&amp;"'!A:A")),0))</f>
        <v/>
      </c>
      <c r="J33" s="12" t="str">
        <f ca="1">IF($A33="","",IFERROR(SUMIF(INDIRECT("'"&amp;'Template Setup'!$C$7&amp;"'!C:C"),$A33,INDIRECT("'"&amp;'Template Setup'!$C$7&amp;"'!A:A")),0))</f>
        <v/>
      </c>
      <c r="K33" s="12" t="str">
        <f ca="1">IF($A33="","",IFERROR(SUMIF(INDIRECT("'"&amp;'Template Setup'!$C$8&amp;"'!C:C"),$A33,INDIRECT("'"&amp;'Template Setup'!$C$8&amp;"'!A:A")),0))</f>
        <v/>
      </c>
      <c r="L33" s="11" t="str">
        <f>IF($A33="","",IFERROR(VALUE(MID(TRIM('Template Setup'!$C$4),FIND("-",TRIM('Template Setup'!$C$4))+1,10)),0))</f>
        <v/>
      </c>
      <c r="M33" s="11" t="str">
        <f>IF($A33="","",IFERROR(VALUE(MID(TRIM('Template Setup'!$C$5),FIND("-",TRIM('Template Setup'!$C$5))+1,10)),0))</f>
        <v/>
      </c>
      <c r="N33" s="11" t="str">
        <f>IF($A33="","",IFERROR(VALUE(MID(TRIM('Template Setup'!$C$6),FIND("-",TRIM('Template Setup'!$C$6))+1,10)),0))</f>
        <v/>
      </c>
      <c r="O33" s="11" t="str">
        <f>IF($A33="","",IFERROR(VALUE(MID(TRIM('Template Setup'!$C$7),FIND("-",TRIM('Template Setup'!$C$7))+1,10)),0))</f>
        <v/>
      </c>
      <c r="P33" s="11" t="str">
        <f>IF($A33="","",IFERROR(VALUE(MID(TRIM('Template Setup'!$C$8),FIND("-",TRIM('Template Setup'!$C$8))+1,10)),0))</f>
        <v/>
      </c>
      <c r="Q33" s="9" t="str">
        <f>IF($A33="","",$A33&amp;"-"&amp;'Template Setup'!$C$16)</f>
        <v/>
      </c>
      <c r="R33" s="24" t="str">
        <f t="shared" si="0"/>
        <v/>
      </c>
      <c r="S33" s="24"/>
      <c r="T33" s="24" t="str">
        <f t="shared" si="1"/>
        <v/>
      </c>
      <c r="U33" s="6" t="str">
        <f t="shared" si="4"/>
        <v/>
      </c>
    </row>
    <row r="34" spans="1:21">
      <c r="A34" s="11"/>
      <c r="B34" s="11"/>
      <c r="C34" s="11"/>
      <c r="D34" s="11" t="str">
        <f>IF($A34="","",_xlfn.TEXTJOIN(", ",TRUE,IF($G34&gt;0,'Template Setup'!$C$4,""),IF($H34&gt;0,'Template Setup'!$C$5,""),IF($I34&gt;0,'Template Setup'!$C$6,""),IF($J34&gt;0,'Template Setup'!$C$7,""),IF($K34&gt;0,'Template Setup'!$C$8,"")))</f>
        <v/>
      </c>
      <c r="E34" s="6" t="str" cm="1">
        <f t="array" ref="E34">IF($A34="","",_xlfn.LET(_xlpm.sheets,CHOOSE({1,2,3,4,5},'Template Setup'!$C$4,'Template Setup'!$C$5,'Template Setup'!$C$6,'Template Setup'!$C$7,'Template Setup'!$C$8),_xlpm.nums,CHOOSE({1,2,3,4,5},$L34,$M34,$N34,$O34,$P34),_xlpm.qtys,CHOOSE({1,2,3,4,5},$G34,$H34,$I34,$J34,$K34),_xlpm.validNums,_xlfn._xlws.FILTER(_xlpm.nums,_xlpm.qtys&gt;0),_xlpm.validSheets,_xlfn._xlws.FILTER(_xlpm.sheets,_xlpm.qtys&gt;0),_xlpm.mx,IFERROR(MAX(_xlpm.validNums),0),IF(_xlpm.mx=0,"",INDEX(_xlpm.validSheets,MATCH(_xlpm.mx,_xlpm.validNums,0))&amp;" (+"&amp;$R34&amp;")")))</f>
        <v/>
      </c>
      <c r="F34" s="11" t="str">
        <f t="shared" si="2"/>
        <v/>
      </c>
      <c r="G34" s="12" t="str">
        <f ca="1">IF($A34="","",IFERROR(SUMIF(INDIRECT("'"&amp;'Template Setup'!$C$4&amp;"'!C:C"),$A34,INDIRECT("'"&amp;'Template Setup'!$C$4&amp;"'!A:A")),0))</f>
        <v/>
      </c>
      <c r="H34" s="12" t="str">
        <f ca="1">IF($A34="","",IFERROR(SUMIF(INDIRECT("'"&amp;'Template Setup'!$C$5&amp;"'!C:C"),$A34,INDIRECT("'"&amp;'Template Setup'!$C$5&amp;"'!A:A")),0))</f>
        <v/>
      </c>
      <c r="I34" s="12" t="str">
        <f ca="1">IF($A34="","",IFERROR(SUMIF(INDIRECT("'"&amp;'Template Setup'!$C$6&amp;"'!C:C"),$A34,INDIRECT("'"&amp;'Template Setup'!$C$6&amp;"'!A:A")),0))</f>
        <v/>
      </c>
      <c r="J34" s="12" t="str">
        <f ca="1">IF($A34="","",IFERROR(SUMIF(INDIRECT("'"&amp;'Template Setup'!$C$7&amp;"'!C:C"),$A34,INDIRECT("'"&amp;'Template Setup'!$C$7&amp;"'!A:A")),0))</f>
        <v/>
      </c>
      <c r="K34" s="12" t="str">
        <f ca="1">IF($A34="","",IFERROR(SUMIF(INDIRECT("'"&amp;'Template Setup'!$C$8&amp;"'!C:C"),$A34,INDIRECT("'"&amp;'Template Setup'!$C$8&amp;"'!A:A")),0))</f>
        <v/>
      </c>
      <c r="L34" s="11" t="str">
        <f>IF($A34="","",IFERROR(VALUE(MID(TRIM('Template Setup'!$C$4),FIND("-",TRIM('Template Setup'!$C$4))+1,10)),0))</f>
        <v/>
      </c>
      <c r="M34" s="11" t="str">
        <f>IF($A34="","",IFERROR(VALUE(MID(TRIM('Template Setup'!$C$5),FIND("-",TRIM('Template Setup'!$C$5))+1,10)),0))</f>
        <v/>
      </c>
      <c r="N34" s="11" t="str">
        <f>IF($A34="","",IFERROR(VALUE(MID(TRIM('Template Setup'!$C$6),FIND("-",TRIM('Template Setup'!$C$6))+1,10)),0))</f>
        <v/>
      </c>
      <c r="O34" s="11" t="str">
        <f>IF($A34="","",IFERROR(VALUE(MID(TRIM('Template Setup'!$C$7),FIND("-",TRIM('Template Setup'!$C$7))+1,10)),0))</f>
        <v/>
      </c>
      <c r="P34" s="11" t="str">
        <f>IF($A34="","",IFERROR(VALUE(MID(TRIM('Template Setup'!$C$8),FIND("-",TRIM('Template Setup'!$C$8))+1,10)),0))</f>
        <v/>
      </c>
      <c r="Q34" s="9" t="str">
        <f>IF($A34="","",$A34&amp;"-"&amp;'Template Setup'!$C$16)</f>
        <v/>
      </c>
      <c r="R34" s="24" t="str">
        <f t="shared" si="0"/>
        <v/>
      </c>
      <c r="S34" s="24"/>
      <c r="T34" s="24" t="str">
        <f t="shared" si="1"/>
        <v/>
      </c>
      <c r="U34" s="6" t="str">
        <f t="shared" si="4"/>
        <v/>
      </c>
    </row>
    <row r="35" spans="1:21">
      <c r="A35" s="11"/>
      <c r="B35" s="11"/>
      <c r="C35" s="11"/>
      <c r="D35" s="11" t="str">
        <f>IF($A35="","",_xlfn.TEXTJOIN(", ",TRUE,IF($G35&gt;0,'Template Setup'!$C$4,""),IF($H35&gt;0,'Template Setup'!$C$5,""),IF($I35&gt;0,'Template Setup'!$C$6,""),IF($J35&gt;0,'Template Setup'!$C$7,""),IF($K35&gt;0,'Template Setup'!$C$8,"")))</f>
        <v/>
      </c>
      <c r="E35" s="6" t="str" cm="1">
        <f t="array" ref="E35">IF($A35="","",_xlfn.LET(_xlpm.sheets,CHOOSE({1,2,3,4,5},'Template Setup'!$C$4,'Template Setup'!$C$5,'Template Setup'!$C$6,'Template Setup'!$C$7,'Template Setup'!$C$8),_xlpm.nums,CHOOSE({1,2,3,4,5},$L35,$M35,$N35,$O35,$P35),_xlpm.qtys,CHOOSE({1,2,3,4,5},$G35,$H35,$I35,$J35,$K35),_xlpm.validNums,_xlfn._xlws.FILTER(_xlpm.nums,_xlpm.qtys&gt;0),_xlpm.validSheets,_xlfn._xlws.FILTER(_xlpm.sheets,_xlpm.qtys&gt;0),_xlpm.mx,IFERROR(MAX(_xlpm.validNums),0),IF(_xlpm.mx=0,"",INDEX(_xlpm.validSheets,MATCH(_xlpm.mx,_xlpm.validNums,0))&amp;" (+"&amp;$R35&amp;")")))</f>
        <v/>
      </c>
      <c r="F35" s="11" t="str">
        <f t="shared" si="2"/>
        <v/>
      </c>
      <c r="G35" s="12" t="str">
        <f ca="1">IF($A35="","",IFERROR(SUMIF(INDIRECT("'"&amp;'Template Setup'!$C$4&amp;"'!C:C"),$A35,INDIRECT("'"&amp;'Template Setup'!$C$4&amp;"'!A:A")),0))</f>
        <v/>
      </c>
      <c r="H35" s="12" t="str">
        <f ca="1">IF($A35="","",IFERROR(SUMIF(INDIRECT("'"&amp;'Template Setup'!$C$5&amp;"'!C:C"),$A35,INDIRECT("'"&amp;'Template Setup'!$C$5&amp;"'!A:A")),0))</f>
        <v/>
      </c>
      <c r="I35" s="12" t="str">
        <f ca="1">IF($A35="","",IFERROR(SUMIF(INDIRECT("'"&amp;'Template Setup'!$C$6&amp;"'!C:C"),$A35,INDIRECT("'"&amp;'Template Setup'!$C$6&amp;"'!A:A")),0))</f>
        <v/>
      </c>
      <c r="J35" s="12" t="str">
        <f ca="1">IF($A35="","",IFERROR(SUMIF(INDIRECT("'"&amp;'Template Setup'!$C$7&amp;"'!C:C"),$A35,INDIRECT("'"&amp;'Template Setup'!$C$7&amp;"'!A:A")),0))</f>
        <v/>
      </c>
      <c r="K35" s="12" t="str">
        <f ca="1">IF($A35="","",IFERROR(SUMIF(INDIRECT("'"&amp;'Template Setup'!$C$8&amp;"'!C:C"),$A35,INDIRECT("'"&amp;'Template Setup'!$C$8&amp;"'!A:A")),0))</f>
        <v/>
      </c>
      <c r="L35" s="11" t="str">
        <f>IF($A35="","",IFERROR(VALUE(MID(TRIM('Template Setup'!$C$4),FIND("-",TRIM('Template Setup'!$C$4))+1,10)),0))</f>
        <v/>
      </c>
      <c r="M35" s="11" t="str">
        <f>IF($A35="","",IFERROR(VALUE(MID(TRIM('Template Setup'!$C$5),FIND("-",TRIM('Template Setup'!$C$5))+1,10)),0))</f>
        <v/>
      </c>
      <c r="N35" s="11" t="str">
        <f>IF($A35="","",IFERROR(VALUE(MID(TRIM('Template Setup'!$C$6),FIND("-",TRIM('Template Setup'!$C$6))+1,10)),0))</f>
        <v/>
      </c>
      <c r="O35" s="11" t="str">
        <f>IF($A35="","",IFERROR(VALUE(MID(TRIM('Template Setup'!$C$7),FIND("-",TRIM('Template Setup'!$C$7))+1,10)),0))</f>
        <v/>
      </c>
      <c r="P35" s="11" t="str">
        <f>IF($A35="","",IFERROR(VALUE(MID(TRIM('Template Setup'!$C$8),FIND("-",TRIM('Template Setup'!$C$8))+1,10)),0))</f>
        <v/>
      </c>
      <c r="Q35" s="9" t="str">
        <f>IF($A35="","",$A35&amp;"-"&amp;'Template Setup'!$C$16)</f>
        <v/>
      </c>
      <c r="R35" s="24" t="str">
        <f t="shared" si="0"/>
        <v/>
      </c>
      <c r="S35" s="24"/>
      <c r="T35" s="24" t="str">
        <f t="shared" si="1"/>
        <v/>
      </c>
      <c r="U35" s="6" t="str">
        <f t="shared" si="4"/>
        <v/>
      </c>
    </row>
    <row r="36" spans="1:21">
      <c r="A36" s="11"/>
      <c r="B36" s="11"/>
      <c r="C36" s="11"/>
      <c r="D36" s="11" t="str">
        <f>IF($A36="","",_xlfn.TEXTJOIN(", ",TRUE,IF($G36&gt;0,'Template Setup'!$C$4,""),IF($H36&gt;0,'Template Setup'!$C$5,""),IF($I36&gt;0,'Template Setup'!$C$6,""),IF($J36&gt;0,'Template Setup'!$C$7,""),IF($K36&gt;0,'Template Setup'!$C$8,"")))</f>
        <v/>
      </c>
      <c r="E36" s="6" t="str" cm="1">
        <f t="array" ref="E36">IF($A36="","",_xlfn.LET(_xlpm.sheets,CHOOSE({1,2,3,4,5},'Template Setup'!$C$4,'Template Setup'!$C$5,'Template Setup'!$C$6,'Template Setup'!$C$7,'Template Setup'!$C$8),_xlpm.nums,CHOOSE({1,2,3,4,5},$L36,$M36,$N36,$O36,$P36),_xlpm.qtys,CHOOSE({1,2,3,4,5},$G36,$H36,$I36,$J36,$K36),_xlpm.validNums,_xlfn._xlws.FILTER(_xlpm.nums,_xlpm.qtys&gt;0),_xlpm.validSheets,_xlfn._xlws.FILTER(_xlpm.sheets,_xlpm.qtys&gt;0),_xlpm.mx,IFERROR(MAX(_xlpm.validNums),0),IF(_xlpm.mx=0,"",INDEX(_xlpm.validSheets,MATCH(_xlpm.mx,_xlpm.validNums,0))&amp;" (+"&amp;$R36&amp;")")))</f>
        <v/>
      </c>
      <c r="F36" s="11" t="str">
        <f t="shared" si="2"/>
        <v/>
      </c>
      <c r="G36" s="12" t="str">
        <f ca="1">IF($A36="","",IFERROR(SUMIF(INDIRECT("'"&amp;'Template Setup'!$C$4&amp;"'!C:C"),$A36,INDIRECT("'"&amp;'Template Setup'!$C$4&amp;"'!A:A")),0))</f>
        <v/>
      </c>
      <c r="H36" s="12" t="str">
        <f ca="1">IF($A36="","",IFERROR(SUMIF(INDIRECT("'"&amp;'Template Setup'!$C$5&amp;"'!C:C"),$A36,INDIRECT("'"&amp;'Template Setup'!$C$5&amp;"'!A:A")),0))</f>
        <v/>
      </c>
      <c r="I36" s="12" t="str">
        <f ca="1">IF($A36="","",IFERROR(SUMIF(INDIRECT("'"&amp;'Template Setup'!$C$6&amp;"'!C:C"),$A36,INDIRECT("'"&amp;'Template Setup'!$C$6&amp;"'!A:A")),0))</f>
        <v/>
      </c>
      <c r="J36" s="12" t="str">
        <f ca="1">IF($A36="","",IFERROR(SUMIF(INDIRECT("'"&amp;'Template Setup'!$C$7&amp;"'!C:C"),$A36,INDIRECT("'"&amp;'Template Setup'!$C$7&amp;"'!A:A")),0))</f>
        <v/>
      </c>
      <c r="K36" s="12" t="str">
        <f ca="1">IF($A36="","",IFERROR(SUMIF(INDIRECT("'"&amp;'Template Setup'!$C$8&amp;"'!C:C"),$A36,INDIRECT("'"&amp;'Template Setup'!$C$8&amp;"'!A:A")),0))</f>
        <v/>
      </c>
      <c r="L36" s="11" t="str">
        <f>IF($A36="","",IFERROR(VALUE(MID(TRIM('Template Setup'!$C$4),FIND("-",TRIM('Template Setup'!$C$4))+1,10)),0))</f>
        <v/>
      </c>
      <c r="M36" s="11" t="str">
        <f>IF($A36="","",IFERROR(VALUE(MID(TRIM('Template Setup'!$C$5),FIND("-",TRIM('Template Setup'!$C$5))+1,10)),0))</f>
        <v/>
      </c>
      <c r="N36" s="11" t="str">
        <f>IF($A36="","",IFERROR(VALUE(MID(TRIM('Template Setup'!$C$6),FIND("-",TRIM('Template Setup'!$C$6))+1,10)),0))</f>
        <v/>
      </c>
      <c r="O36" s="11" t="str">
        <f>IF($A36="","",IFERROR(VALUE(MID(TRIM('Template Setup'!$C$7),FIND("-",TRIM('Template Setup'!$C$7))+1,10)),0))</f>
        <v/>
      </c>
      <c r="P36" s="11" t="str">
        <f>IF($A36="","",IFERROR(VALUE(MID(TRIM('Template Setup'!$C$8),FIND("-",TRIM('Template Setup'!$C$8))+1,10)),0))</f>
        <v/>
      </c>
      <c r="Q36" s="9" t="str">
        <f>IF($A36="","",$A36&amp;"-"&amp;'Template Setup'!$C$16)</f>
        <v/>
      </c>
      <c r="R36" s="24" t="str">
        <f t="shared" si="0"/>
        <v/>
      </c>
      <c r="S36" s="24"/>
      <c r="T36" s="24" t="str">
        <f t="shared" si="1"/>
        <v/>
      </c>
      <c r="U36" s="6" t="str">
        <f t="shared" si="4"/>
        <v/>
      </c>
    </row>
    <row r="37" spans="1:21">
      <c r="A37" s="13"/>
      <c r="B37" s="11"/>
      <c r="C37" s="11"/>
      <c r="D37" s="11" t="str">
        <f>IF($A37="","",_xlfn.TEXTJOIN(", ",TRUE,IF($G37&gt;0,'Template Setup'!$C$4,""),IF($H37&gt;0,'Template Setup'!$C$5,""),IF($I37&gt;0,'Template Setup'!$C$6,""),IF($J37&gt;0,'Template Setup'!$C$7,""),IF($K37&gt;0,'Template Setup'!$C$8,"")))</f>
        <v/>
      </c>
      <c r="E37" s="6" t="str" cm="1">
        <f t="array" ref="E37">IF($A37="","",_xlfn.LET(_xlpm.sheets,CHOOSE({1,2,3,4,5},'Template Setup'!$C$4,'Template Setup'!$C$5,'Template Setup'!$C$6,'Template Setup'!$C$7,'Template Setup'!$C$8),_xlpm.nums,CHOOSE({1,2,3,4,5},$L37,$M37,$N37,$O37,$P37),_xlpm.qtys,CHOOSE({1,2,3,4,5},$G37,$H37,$I37,$J37,$K37),_xlpm.validNums,_xlfn._xlws.FILTER(_xlpm.nums,_xlpm.qtys&gt;0),_xlpm.validSheets,_xlfn._xlws.FILTER(_xlpm.sheets,_xlpm.qtys&gt;0),_xlpm.mx,IFERROR(MAX(_xlpm.validNums),0),IF(_xlpm.mx=0,"",INDEX(_xlpm.validSheets,MATCH(_xlpm.mx,_xlpm.validNums,0))&amp;" (+"&amp;$R37&amp;")")))</f>
        <v/>
      </c>
      <c r="F37" s="11" t="str">
        <f t="shared" si="2"/>
        <v/>
      </c>
      <c r="G37" s="12" t="str">
        <f ca="1">IF($A37="","",IFERROR(SUMIF(INDIRECT("'"&amp;'Template Setup'!$C$4&amp;"'!C:C"),$A37,INDIRECT("'"&amp;'Template Setup'!$C$4&amp;"'!A:A")),0))</f>
        <v/>
      </c>
      <c r="H37" s="12" t="str">
        <f ca="1">IF($A37="","",IFERROR(SUMIF(INDIRECT("'"&amp;'Template Setup'!$C$5&amp;"'!C:C"),$A37,INDIRECT("'"&amp;'Template Setup'!$C$5&amp;"'!A:A")),0))</f>
        <v/>
      </c>
      <c r="I37" s="12" t="str">
        <f ca="1">IF($A37="","",IFERROR(SUMIF(INDIRECT("'"&amp;'Template Setup'!$C$6&amp;"'!C:C"),$A37,INDIRECT("'"&amp;'Template Setup'!$C$6&amp;"'!A:A")),0))</f>
        <v/>
      </c>
      <c r="J37" s="12" t="str">
        <f ca="1">IF($A37="","",IFERROR(SUMIF(INDIRECT("'"&amp;'Template Setup'!$C$7&amp;"'!C:C"),$A37,INDIRECT("'"&amp;'Template Setup'!$C$7&amp;"'!A:A")),0))</f>
        <v/>
      </c>
      <c r="K37" s="12" t="str">
        <f ca="1">IF($A37="","",IFERROR(SUMIF(INDIRECT("'"&amp;'Template Setup'!$C$8&amp;"'!C:C"),$A37,INDIRECT("'"&amp;'Template Setup'!$C$8&amp;"'!A:A")),0))</f>
        <v/>
      </c>
      <c r="L37" s="11" t="str">
        <f>IF($A37="","",IFERROR(VALUE(MID(TRIM('Template Setup'!$C$4),FIND("-",TRIM('Template Setup'!$C$4))+1,10)),0))</f>
        <v/>
      </c>
      <c r="M37" s="11" t="str">
        <f>IF($A37="","",IFERROR(VALUE(MID(TRIM('Template Setup'!$C$5),FIND("-",TRIM('Template Setup'!$C$5))+1,10)),0))</f>
        <v/>
      </c>
      <c r="N37" s="11" t="str">
        <f>IF($A37="","",IFERROR(VALUE(MID(TRIM('Template Setup'!$C$6),FIND("-",TRIM('Template Setup'!$C$6))+1,10)),0))</f>
        <v/>
      </c>
      <c r="O37" s="11" t="str">
        <f>IF($A37="","",IFERROR(VALUE(MID(TRIM('Template Setup'!$C$7),FIND("-",TRIM('Template Setup'!$C$7))+1,10)),0))</f>
        <v/>
      </c>
      <c r="P37" s="11" t="str">
        <f>IF($A37="","",IFERROR(VALUE(MID(TRIM('Template Setup'!$C$8),FIND("-",TRIM('Template Setup'!$C$8))+1,10)),0))</f>
        <v/>
      </c>
      <c r="Q37" s="9" t="str">
        <f>IF($A37="","",$A37&amp;"-"&amp;'Template Setup'!$C$16)</f>
        <v/>
      </c>
      <c r="R37" s="24" t="str">
        <f t="shared" si="0"/>
        <v/>
      </c>
      <c r="S37" s="24"/>
      <c r="T37" s="24" t="str">
        <f t="shared" si="1"/>
        <v/>
      </c>
      <c r="U37" s="6" t="str">
        <f t="shared" si="4"/>
        <v/>
      </c>
    </row>
    <row r="38" spans="1:21">
      <c r="A38" s="13"/>
      <c r="B38" s="11"/>
      <c r="C38" s="11"/>
      <c r="D38" s="11" t="str">
        <f>IF($A38="","",_xlfn.TEXTJOIN(", ",TRUE,IF($G38&gt;0,'Template Setup'!$C$4,""),IF($H38&gt;0,'Template Setup'!$C$5,""),IF($I38&gt;0,'Template Setup'!$C$6,""),IF($J38&gt;0,'Template Setup'!$C$7,""),IF($K38&gt;0,'Template Setup'!$C$8,"")))</f>
        <v/>
      </c>
      <c r="E38" s="6" t="str" cm="1">
        <f t="array" ref="E38">IF($A38="","",_xlfn.LET(_xlpm.sheets,CHOOSE({1,2,3,4,5},'Template Setup'!$C$4,'Template Setup'!$C$5,'Template Setup'!$C$6,'Template Setup'!$C$7,'Template Setup'!$C$8),_xlpm.nums,CHOOSE({1,2,3,4,5},$L38,$M38,$N38,$O38,$P38),_xlpm.qtys,CHOOSE({1,2,3,4,5},$G38,$H38,$I38,$J38,$K38),_xlpm.validNums,_xlfn._xlws.FILTER(_xlpm.nums,_xlpm.qtys&gt;0),_xlpm.validSheets,_xlfn._xlws.FILTER(_xlpm.sheets,_xlpm.qtys&gt;0),_xlpm.mx,IFERROR(MAX(_xlpm.validNums),0),IF(_xlpm.mx=0,"",INDEX(_xlpm.validSheets,MATCH(_xlpm.mx,_xlpm.validNums,0))&amp;" (+"&amp;$R38&amp;")")))</f>
        <v/>
      </c>
      <c r="F38" s="11" t="str">
        <f t="shared" si="2"/>
        <v/>
      </c>
      <c r="G38" s="12" t="str">
        <f ca="1">IF($A38="","",IFERROR(SUMIF(INDIRECT("'"&amp;'Template Setup'!$C$4&amp;"'!C:C"),$A38,INDIRECT("'"&amp;'Template Setup'!$C$4&amp;"'!A:A")),0))</f>
        <v/>
      </c>
      <c r="H38" s="12" t="str">
        <f ca="1">IF($A38="","",IFERROR(SUMIF(INDIRECT("'"&amp;'Template Setup'!$C$5&amp;"'!C:C"),$A38,INDIRECT("'"&amp;'Template Setup'!$C$5&amp;"'!A:A")),0))</f>
        <v/>
      </c>
      <c r="I38" s="12" t="str">
        <f ca="1">IF($A38="","",IFERROR(SUMIF(INDIRECT("'"&amp;'Template Setup'!$C$6&amp;"'!C:C"),$A38,INDIRECT("'"&amp;'Template Setup'!$C$6&amp;"'!A:A")),0))</f>
        <v/>
      </c>
      <c r="J38" s="12" t="str">
        <f ca="1">IF($A38="","",IFERROR(SUMIF(INDIRECT("'"&amp;'Template Setup'!$C$7&amp;"'!C:C"),$A38,INDIRECT("'"&amp;'Template Setup'!$C$7&amp;"'!A:A")),0))</f>
        <v/>
      </c>
      <c r="K38" s="12" t="str">
        <f ca="1">IF($A38="","",IFERROR(SUMIF(INDIRECT("'"&amp;'Template Setup'!$C$8&amp;"'!C:C"),$A38,INDIRECT("'"&amp;'Template Setup'!$C$8&amp;"'!A:A")),0))</f>
        <v/>
      </c>
      <c r="L38" s="11" t="str">
        <f>IF($A38="","",IFERROR(VALUE(MID(TRIM('Template Setup'!$C$4),FIND("-",TRIM('Template Setup'!$C$4))+1,10)),0))</f>
        <v/>
      </c>
      <c r="M38" s="11" t="str">
        <f>IF($A38="","",IFERROR(VALUE(MID(TRIM('Template Setup'!$C$5),FIND("-",TRIM('Template Setup'!$C$5))+1,10)),0))</f>
        <v/>
      </c>
      <c r="N38" s="11" t="str">
        <f>IF($A38="","",IFERROR(VALUE(MID(TRIM('Template Setup'!$C$6),FIND("-",TRIM('Template Setup'!$C$6))+1,10)),0))</f>
        <v/>
      </c>
      <c r="O38" s="11" t="str">
        <f>IF($A38="","",IFERROR(VALUE(MID(TRIM('Template Setup'!$C$7),FIND("-",TRIM('Template Setup'!$C$7))+1,10)),0))</f>
        <v/>
      </c>
      <c r="P38" s="11" t="str">
        <f>IF($A38="","",IFERROR(VALUE(MID(TRIM('Template Setup'!$C$8),FIND("-",TRIM('Template Setup'!$C$8))+1,10)),0))</f>
        <v/>
      </c>
      <c r="Q38" s="9" t="str">
        <f>IF($A38="","",$A38&amp;"-"&amp;'Template Setup'!$C$16)</f>
        <v/>
      </c>
      <c r="R38" s="24" t="str">
        <f t="shared" si="0"/>
        <v/>
      </c>
      <c r="S38" s="24"/>
      <c r="T38" s="24" t="str">
        <f t="shared" si="1"/>
        <v/>
      </c>
      <c r="U38" s="6" t="str">
        <f t="shared" si="4"/>
        <v/>
      </c>
    </row>
    <row r="39" spans="1:21">
      <c r="A39" s="13"/>
      <c r="B39" s="11"/>
      <c r="C39" s="11"/>
      <c r="D39" s="11" t="str">
        <f>IF($A39="","",_xlfn.TEXTJOIN(", ",TRUE,IF($G39&gt;0,'Template Setup'!$C$4,""),IF($H39&gt;0,'Template Setup'!$C$5,""),IF($I39&gt;0,'Template Setup'!$C$6,""),IF($J39&gt;0,'Template Setup'!$C$7,""),IF($K39&gt;0,'Template Setup'!$C$8,"")))</f>
        <v/>
      </c>
      <c r="E39" s="6" t="str" cm="1">
        <f t="array" ref="E39">IF($A39="","",_xlfn.LET(_xlpm.sheets,CHOOSE({1,2,3,4,5},'Template Setup'!$C$4,'Template Setup'!$C$5,'Template Setup'!$C$6,'Template Setup'!$C$7,'Template Setup'!$C$8),_xlpm.nums,CHOOSE({1,2,3,4,5},$L39,$M39,$N39,$O39,$P39),_xlpm.qtys,CHOOSE({1,2,3,4,5},$G39,$H39,$I39,$J39,$K39),_xlpm.validNums,_xlfn._xlws.FILTER(_xlpm.nums,_xlpm.qtys&gt;0),_xlpm.validSheets,_xlfn._xlws.FILTER(_xlpm.sheets,_xlpm.qtys&gt;0),_xlpm.mx,IFERROR(MAX(_xlpm.validNums),0),IF(_xlpm.mx=0,"",INDEX(_xlpm.validSheets,MATCH(_xlpm.mx,_xlpm.validNums,0))&amp;" (+"&amp;$R39&amp;")")))</f>
        <v/>
      </c>
      <c r="F39" s="11" t="str">
        <f t="shared" si="2"/>
        <v/>
      </c>
      <c r="G39" s="12" t="str">
        <f ca="1">IF($A39="","",IFERROR(SUMIF(INDIRECT("'"&amp;'Template Setup'!$C$4&amp;"'!C:C"),$A39,INDIRECT("'"&amp;'Template Setup'!$C$4&amp;"'!A:A")),0))</f>
        <v/>
      </c>
      <c r="H39" s="12" t="str">
        <f ca="1">IF($A39="","",IFERROR(SUMIF(INDIRECT("'"&amp;'Template Setup'!$C$5&amp;"'!C:C"),$A39,INDIRECT("'"&amp;'Template Setup'!$C$5&amp;"'!A:A")),0))</f>
        <v/>
      </c>
      <c r="I39" s="12" t="str">
        <f ca="1">IF($A39="","",IFERROR(SUMIF(INDIRECT("'"&amp;'Template Setup'!$C$6&amp;"'!C:C"),$A39,INDIRECT("'"&amp;'Template Setup'!$C$6&amp;"'!A:A")),0))</f>
        <v/>
      </c>
      <c r="J39" s="12" t="str">
        <f ca="1">IF($A39="","",IFERROR(SUMIF(INDIRECT("'"&amp;'Template Setup'!$C$7&amp;"'!C:C"),$A39,INDIRECT("'"&amp;'Template Setup'!$C$7&amp;"'!A:A")),0))</f>
        <v/>
      </c>
      <c r="K39" s="12" t="str">
        <f ca="1">IF($A39="","",IFERROR(SUMIF(INDIRECT("'"&amp;'Template Setup'!$C$8&amp;"'!C:C"),$A39,INDIRECT("'"&amp;'Template Setup'!$C$8&amp;"'!A:A")),0))</f>
        <v/>
      </c>
      <c r="L39" s="11" t="str">
        <f>IF($A39="","",IFERROR(VALUE(MID(TRIM('Template Setup'!$C$4),FIND("-",TRIM('Template Setup'!$C$4))+1,10)),0))</f>
        <v/>
      </c>
      <c r="M39" s="11" t="str">
        <f>IF($A39="","",IFERROR(VALUE(MID(TRIM('Template Setup'!$C$5),FIND("-",TRIM('Template Setup'!$C$5))+1,10)),0))</f>
        <v/>
      </c>
      <c r="N39" s="11" t="str">
        <f>IF($A39="","",IFERROR(VALUE(MID(TRIM('Template Setup'!$C$6),FIND("-",TRIM('Template Setup'!$C$6))+1,10)),0))</f>
        <v/>
      </c>
      <c r="O39" s="11" t="str">
        <f>IF($A39="","",IFERROR(VALUE(MID(TRIM('Template Setup'!$C$7),FIND("-",TRIM('Template Setup'!$C$7))+1,10)),0))</f>
        <v/>
      </c>
      <c r="P39" s="11" t="str">
        <f>IF($A39="","",IFERROR(VALUE(MID(TRIM('Template Setup'!$C$8),FIND("-",TRIM('Template Setup'!$C$8))+1,10)),0))</f>
        <v/>
      </c>
      <c r="Q39" s="9" t="str">
        <f>IF($A39="","",$A39&amp;"-"&amp;'Template Setup'!$C$16)</f>
        <v/>
      </c>
      <c r="R39" s="24" t="str">
        <f t="shared" si="0"/>
        <v/>
      </c>
      <c r="S39" s="24"/>
      <c r="T39" s="24" t="str">
        <f t="shared" si="1"/>
        <v/>
      </c>
      <c r="U39" s="6" t="str">
        <f t="shared" si="4"/>
        <v/>
      </c>
    </row>
    <row r="40" spans="1:21">
      <c r="A40" s="13"/>
      <c r="B40" s="11"/>
      <c r="C40" s="11"/>
      <c r="D40" s="11" t="str">
        <f>IF($A40="","",_xlfn.TEXTJOIN(", ",TRUE,IF($G40&gt;0,'Template Setup'!$C$4,""),IF($H40&gt;0,'Template Setup'!$C$5,""),IF($I40&gt;0,'Template Setup'!$C$6,""),IF($J40&gt;0,'Template Setup'!$C$7,""),IF($K40&gt;0,'Template Setup'!$C$8,"")))</f>
        <v/>
      </c>
      <c r="E40" s="6" t="str" cm="1">
        <f t="array" ref="E40">IF($A40="","",_xlfn.LET(_xlpm.sheets,CHOOSE({1,2,3,4,5},'Template Setup'!$C$4,'Template Setup'!$C$5,'Template Setup'!$C$6,'Template Setup'!$C$7,'Template Setup'!$C$8),_xlpm.nums,CHOOSE({1,2,3,4,5},$L40,$M40,$N40,$O40,$P40),_xlpm.qtys,CHOOSE({1,2,3,4,5},$G40,$H40,$I40,$J40,$K40),_xlpm.validNums,_xlfn._xlws.FILTER(_xlpm.nums,_xlpm.qtys&gt;0),_xlpm.validSheets,_xlfn._xlws.FILTER(_xlpm.sheets,_xlpm.qtys&gt;0),_xlpm.mx,IFERROR(MAX(_xlpm.validNums),0),IF(_xlpm.mx=0,"",INDEX(_xlpm.validSheets,MATCH(_xlpm.mx,_xlpm.validNums,0))&amp;" (+"&amp;$R40&amp;")")))</f>
        <v/>
      </c>
      <c r="F40" s="11" t="str">
        <f t="shared" si="2"/>
        <v/>
      </c>
      <c r="G40" s="12" t="str">
        <f ca="1">IF($A40="","",IFERROR(SUMIF(INDIRECT("'"&amp;'Template Setup'!$C$4&amp;"'!C:C"),$A40,INDIRECT("'"&amp;'Template Setup'!$C$4&amp;"'!A:A")),0))</f>
        <v/>
      </c>
      <c r="H40" s="12" t="str">
        <f ca="1">IF($A40="","",IFERROR(SUMIF(INDIRECT("'"&amp;'Template Setup'!$C$5&amp;"'!C:C"),$A40,INDIRECT("'"&amp;'Template Setup'!$C$5&amp;"'!A:A")),0))</f>
        <v/>
      </c>
      <c r="I40" s="12" t="str">
        <f ca="1">IF($A40="","",IFERROR(SUMIF(INDIRECT("'"&amp;'Template Setup'!$C$6&amp;"'!C:C"),$A40,INDIRECT("'"&amp;'Template Setup'!$C$6&amp;"'!A:A")),0))</f>
        <v/>
      </c>
      <c r="J40" s="12" t="str">
        <f ca="1">IF($A40="","",IFERROR(SUMIF(INDIRECT("'"&amp;'Template Setup'!$C$7&amp;"'!C:C"),$A40,INDIRECT("'"&amp;'Template Setup'!$C$7&amp;"'!A:A")),0))</f>
        <v/>
      </c>
      <c r="K40" s="12" t="str">
        <f ca="1">IF($A40="","",IFERROR(SUMIF(INDIRECT("'"&amp;'Template Setup'!$C$8&amp;"'!C:C"),$A40,INDIRECT("'"&amp;'Template Setup'!$C$8&amp;"'!A:A")),0))</f>
        <v/>
      </c>
      <c r="L40" s="11" t="str">
        <f>IF($A40="","",IFERROR(VALUE(MID(TRIM('Template Setup'!$C$4),FIND("-",TRIM('Template Setup'!$C$4))+1,10)),0))</f>
        <v/>
      </c>
      <c r="M40" s="11" t="str">
        <f>IF($A40="","",IFERROR(VALUE(MID(TRIM('Template Setup'!$C$5),FIND("-",TRIM('Template Setup'!$C$5))+1,10)),0))</f>
        <v/>
      </c>
      <c r="N40" s="11" t="str">
        <f>IF($A40="","",IFERROR(VALUE(MID(TRIM('Template Setup'!$C$6),FIND("-",TRIM('Template Setup'!$C$6))+1,10)),0))</f>
        <v/>
      </c>
      <c r="O40" s="11" t="str">
        <f>IF($A40="","",IFERROR(VALUE(MID(TRIM('Template Setup'!$C$7),FIND("-",TRIM('Template Setup'!$C$7))+1,10)),0))</f>
        <v/>
      </c>
      <c r="P40" s="11" t="str">
        <f>IF($A40="","",IFERROR(VALUE(MID(TRIM('Template Setup'!$C$8),FIND("-",TRIM('Template Setup'!$C$8))+1,10)),0))</f>
        <v/>
      </c>
      <c r="Q40" s="9" t="str">
        <f>IF($A40="","",$A40&amp;"-"&amp;'Template Setup'!$C$16)</f>
        <v/>
      </c>
      <c r="R40" s="24" t="str">
        <f t="shared" si="0"/>
        <v/>
      </c>
      <c r="S40" s="24"/>
      <c r="T40" s="24" t="str">
        <f t="shared" si="1"/>
        <v/>
      </c>
      <c r="U40" s="6" t="str">
        <f t="shared" si="4"/>
        <v/>
      </c>
    </row>
    <row r="41" spans="1:21">
      <c r="A41" s="13"/>
      <c r="B41" s="11"/>
      <c r="C41" s="11"/>
      <c r="D41" s="11" t="str">
        <f>IF($A41="","",_xlfn.TEXTJOIN(", ",TRUE,IF($G41&gt;0,'Template Setup'!$C$4,""),IF($H41&gt;0,'Template Setup'!$C$5,""),IF($I41&gt;0,'Template Setup'!$C$6,""),IF($J41&gt;0,'Template Setup'!$C$7,""),IF($K41&gt;0,'Template Setup'!$C$8,"")))</f>
        <v/>
      </c>
      <c r="E41" s="6" t="str" cm="1">
        <f t="array" ref="E41">IF($A41="","",_xlfn.LET(_xlpm.sheets,CHOOSE({1,2,3,4,5},'Template Setup'!$C$4,'Template Setup'!$C$5,'Template Setup'!$C$6,'Template Setup'!$C$7,'Template Setup'!$C$8),_xlpm.nums,CHOOSE({1,2,3,4,5},$L41,$M41,$N41,$O41,$P41),_xlpm.qtys,CHOOSE({1,2,3,4,5},$G41,$H41,$I41,$J41,$K41),_xlpm.validNums,_xlfn._xlws.FILTER(_xlpm.nums,_xlpm.qtys&gt;0),_xlpm.validSheets,_xlfn._xlws.FILTER(_xlpm.sheets,_xlpm.qtys&gt;0),_xlpm.mx,IFERROR(MAX(_xlpm.validNums),0),IF(_xlpm.mx=0,"",INDEX(_xlpm.validSheets,MATCH(_xlpm.mx,_xlpm.validNums,0))&amp;" (+"&amp;$R41&amp;")")))</f>
        <v/>
      </c>
      <c r="F41" s="11" t="str">
        <f t="shared" si="2"/>
        <v/>
      </c>
      <c r="G41" s="12" t="str">
        <f ca="1">IF($A41="","",IFERROR(SUMIF(INDIRECT("'"&amp;'Template Setup'!$C$4&amp;"'!C:C"),$A41,INDIRECT("'"&amp;'Template Setup'!$C$4&amp;"'!A:A")),0))</f>
        <v/>
      </c>
      <c r="H41" s="12" t="str">
        <f ca="1">IF($A41="","",IFERROR(SUMIF(INDIRECT("'"&amp;'Template Setup'!$C$5&amp;"'!C:C"),$A41,INDIRECT("'"&amp;'Template Setup'!$C$5&amp;"'!A:A")),0))</f>
        <v/>
      </c>
      <c r="I41" s="12" t="str">
        <f ca="1">IF($A41="","",IFERROR(SUMIF(INDIRECT("'"&amp;'Template Setup'!$C$6&amp;"'!C:C"),$A41,INDIRECT("'"&amp;'Template Setup'!$C$6&amp;"'!A:A")),0))</f>
        <v/>
      </c>
      <c r="J41" s="12" t="str">
        <f ca="1">IF($A41="","",IFERROR(SUMIF(INDIRECT("'"&amp;'Template Setup'!$C$7&amp;"'!C:C"),$A41,INDIRECT("'"&amp;'Template Setup'!$C$7&amp;"'!A:A")),0))</f>
        <v/>
      </c>
      <c r="K41" s="12" t="str">
        <f ca="1">IF($A41="","",IFERROR(SUMIF(INDIRECT("'"&amp;'Template Setup'!$C$8&amp;"'!C:C"),$A41,INDIRECT("'"&amp;'Template Setup'!$C$8&amp;"'!A:A")),0))</f>
        <v/>
      </c>
      <c r="L41" s="11" t="str">
        <f>IF($A41="","",IFERROR(VALUE(MID(TRIM('Template Setup'!$C$4),FIND("-",TRIM('Template Setup'!$C$4))+1,10)),0))</f>
        <v/>
      </c>
      <c r="M41" s="11" t="str">
        <f>IF($A41="","",IFERROR(VALUE(MID(TRIM('Template Setup'!$C$5),FIND("-",TRIM('Template Setup'!$C$5))+1,10)),0))</f>
        <v/>
      </c>
      <c r="N41" s="11" t="str">
        <f>IF($A41="","",IFERROR(VALUE(MID(TRIM('Template Setup'!$C$6),FIND("-",TRIM('Template Setup'!$C$6))+1,10)),0))</f>
        <v/>
      </c>
      <c r="O41" s="11" t="str">
        <f>IF($A41="","",IFERROR(VALUE(MID(TRIM('Template Setup'!$C$7),FIND("-",TRIM('Template Setup'!$C$7))+1,10)),0))</f>
        <v/>
      </c>
      <c r="P41" s="11" t="str">
        <f>IF($A41="","",IFERROR(VALUE(MID(TRIM('Template Setup'!$C$8),FIND("-",TRIM('Template Setup'!$C$8))+1,10)),0))</f>
        <v/>
      </c>
      <c r="Q41" s="9" t="str">
        <f>IF($A41="","",$A41&amp;"-"&amp;'Template Setup'!$C$16)</f>
        <v/>
      </c>
      <c r="R41" s="24" t="str">
        <f t="shared" si="0"/>
        <v/>
      </c>
      <c r="S41" s="24"/>
      <c r="T41" s="24" t="str">
        <f t="shared" si="1"/>
        <v/>
      </c>
      <c r="U41" s="6" t="str">
        <f t="shared" si="4"/>
        <v/>
      </c>
    </row>
    <row r="42" spans="1:21">
      <c r="A42" s="13"/>
      <c r="B42" s="11"/>
      <c r="C42" s="11"/>
      <c r="D42" s="11" t="str">
        <f>IF($A42="","",_xlfn.TEXTJOIN(", ",TRUE,IF($G42&gt;0,'Template Setup'!$C$4,""),IF($H42&gt;0,'Template Setup'!$C$5,""),IF($I42&gt;0,'Template Setup'!$C$6,""),IF($J42&gt;0,'Template Setup'!$C$7,""),IF($K42&gt;0,'Template Setup'!$C$8,"")))</f>
        <v/>
      </c>
      <c r="E42" s="6" t="str" cm="1">
        <f t="array" ref="E42">IF($A42="","",_xlfn.LET(_xlpm.sheets,CHOOSE({1,2,3,4,5},'Template Setup'!$C$4,'Template Setup'!$C$5,'Template Setup'!$C$6,'Template Setup'!$C$7,'Template Setup'!$C$8),_xlpm.nums,CHOOSE({1,2,3,4,5},$L42,$M42,$N42,$O42,$P42),_xlpm.qtys,CHOOSE({1,2,3,4,5},$G42,$H42,$I42,$J42,$K42),_xlpm.validNums,_xlfn._xlws.FILTER(_xlpm.nums,_xlpm.qtys&gt;0),_xlpm.validSheets,_xlfn._xlws.FILTER(_xlpm.sheets,_xlpm.qtys&gt;0),_xlpm.mx,IFERROR(MAX(_xlpm.validNums),0),IF(_xlpm.mx=0,"",INDEX(_xlpm.validSheets,MATCH(_xlpm.mx,_xlpm.validNums,0))&amp;" (+"&amp;$R42&amp;")")))</f>
        <v/>
      </c>
      <c r="F42" s="11" t="str">
        <f t="shared" si="2"/>
        <v/>
      </c>
      <c r="G42" s="12" t="str">
        <f ca="1">IF($A42="","",IFERROR(SUMIF(INDIRECT("'"&amp;'Template Setup'!$C$4&amp;"'!C:C"),$A42,INDIRECT("'"&amp;'Template Setup'!$C$4&amp;"'!A:A")),0))</f>
        <v/>
      </c>
      <c r="H42" s="12" t="str">
        <f ca="1">IF($A42="","",IFERROR(SUMIF(INDIRECT("'"&amp;'Template Setup'!$C$5&amp;"'!C:C"),$A42,INDIRECT("'"&amp;'Template Setup'!$C$5&amp;"'!A:A")),0))</f>
        <v/>
      </c>
      <c r="I42" s="12" t="str">
        <f ca="1">IF($A42="","",IFERROR(SUMIF(INDIRECT("'"&amp;'Template Setup'!$C$6&amp;"'!C:C"),$A42,INDIRECT("'"&amp;'Template Setup'!$C$6&amp;"'!A:A")),0))</f>
        <v/>
      </c>
      <c r="J42" s="12" t="str">
        <f ca="1">IF($A42="","",IFERROR(SUMIF(INDIRECT("'"&amp;'Template Setup'!$C$7&amp;"'!C:C"),$A42,INDIRECT("'"&amp;'Template Setup'!$C$7&amp;"'!A:A")),0))</f>
        <v/>
      </c>
      <c r="K42" s="12" t="str">
        <f ca="1">IF($A42="","",IFERROR(SUMIF(INDIRECT("'"&amp;'Template Setup'!$C$8&amp;"'!C:C"),$A42,INDIRECT("'"&amp;'Template Setup'!$C$8&amp;"'!A:A")),0))</f>
        <v/>
      </c>
      <c r="L42" s="11" t="str">
        <f>IF($A42="","",IFERROR(VALUE(MID(TRIM('Template Setup'!$C$4),FIND("-",TRIM('Template Setup'!$C$4))+1,10)),0))</f>
        <v/>
      </c>
      <c r="M42" s="11" t="str">
        <f>IF($A42="","",IFERROR(VALUE(MID(TRIM('Template Setup'!$C$5),FIND("-",TRIM('Template Setup'!$C$5))+1,10)),0))</f>
        <v/>
      </c>
      <c r="N42" s="11" t="str">
        <f>IF($A42="","",IFERROR(VALUE(MID(TRIM('Template Setup'!$C$6),FIND("-",TRIM('Template Setup'!$C$6))+1,10)),0))</f>
        <v/>
      </c>
      <c r="O42" s="11" t="str">
        <f>IF($A42="","",IFERROR(VALUE(MID(TRIM('Template Setup'!$C$7),FIND("-",TRIM('Template Setup'!$C$7))+1,10)),0))</f>
        <v/>
      </c>
      <c r="P42" s="11" t="str">
        <f>IF($A42="","",IFERROR(VALUE(MID(TRIM('Template Setup'!$C$8),FIND("-",TRIM('Template Setup'!$C$8))+1,10)),0))</f>
        <v/>
      </c>
      <c r="Q42" s="9" t="str">
        <f>IF($A42="","",$A42&amp;"-"&amp;'Template Setup'!$C$16)</f>
        <v/>
      </c>
      <c r="R42" s="24" t="str">
        <f t="shared" si="0"/>
        <v/>
      </c>
      <c r="S42" s="24"/>
      <c r="T42" s="24" t="str">
        <f t="shared" si="1"/>
        <v/>
      </c>
      <c r="U42" s="6" t="str">
        <f t="shared" si="4"/>
        <v/>
      </c>
    </row>
    <row r="43" spans="1:21">
      <c r="A43" s="13"/>
      <c r="B43" s="11"/>
      <c r="C43" s="11"/>
      <c r="D43" s="11" t="str">
        <f>IF($A43="","",_xlfn.TEXTJOIN(", ",TRUE,IF($G43&gt;0,'Template Setup'!$C$4,""),IF($H43&gt;0,'Template Setup'!$C$5,""),IF($I43&gt;0,'Template Setup'!$C$6,""),IF($J43&gt;0,'Template Setup'!$C$7,""),IF($K43&gt;0,'Template Setup'!$C$8,"")))</f>
        <v/>
      </c>
      <c r="E43" s="6" t="str" cm="1">
        <f t="array" ref="E43">IF($A43="","",_xlfn.LET(_xlpm.sheets,CHOOSE({1,2,3,4,5},'Template Setup'!$C$4,'Template Setup'!$C$5,'Template Setup'!$C$6,'Template Setup'!$C$7,'Template Setup'!$C$8),_xlpm.nums,CHOOSE({1,2,3,4,5},$L43,$M43,$N43,$O43,$P43),_xlpm.qtys,CHOOSE({1,2,3,4,5},$G43,$H43,$I43,$J43,$K43),_xlpm.validNums,_xlfn._xlws.FILTER(_xlpm.nums,_xlpm.qtys&gt;0),_xlpm.validSheets,_xlfn._xlws.FILTER(_xlpm.sheets,_xlpm.qtys&gt;0),_xlpm.mx,IFERROR(MAX(_xlpm.validNums),0),IF(_xlpm.mx=0,"",INDEX(_xlpm.validSheets,MATCH(_xlpm.mx,_xlpm.validNums,0))&amp;" (+"&amp;$R43&amp;")")))</f>
        <v/>
      </c>
      <c r="F43" s="11" t="str">
        <f t="shared" si="2"/>
        <v/>
      </c>
      <c r="G43" s="12" t="str">
        <f ca="1">IF($A43="","",IFERROR(SUMIF(INDIRECT("'"&amp;'Template Setup'!$C$4&amp;"'!C:C"),$A43,INDIRECT("'"&amp;'Template Setup'!$C$4&amp;"'!A:A")),0))</f>
        <v/>
      </c>
      <c r="H43" s="12" t="str">
        <f ca="1">IF($A43="","",IFERROR(SUMIF(INDIRECT("'"&amp;'Template Setup'!$C$5&amp;"'!C:C"),$A43,INDIRECT("'"&amp;'Template Setup'!$C$5&amp;"'!A:A")),0))</f>
        <v/>
      </c>
      <c r="I43" s="12" t="str">
        <f ca="1">IF($A43="","",IFERROR(SUMIF(INDIRECT("'"&amp;'Template Setup'!$C$6&amp;"'!C:C"),$A43,INDIRECT("'"&amp;'Template Setup'!$C$6&amp;"'!A:A")),0))</f>
        <v/>
      </c>
      <c r="J43" s="12" t="str">
        <f ca="1">IF($A43="","",IFERROR(SUMIF(INDIRECT("'"&amp;'Template Setup'!$C$7&amp;"'!C:C"),$A43,INDIRECT("'"&amp;'Template Setup'!$C$7&amp;"'!A:A")),0))</f>
        <v/>
      </c>
      <c r="K43" s="12" t="str">
        <f ca="1">IF($A43="","",IFERROR(SUMIF(INDIRECT("'"&amp;'Template Setup'!$C$8&amp;"'!C:C"),$A43,INDIRECT("'"&amp;'Template Setup'!$C$8&amp;"'!A:A")),0))</f>
        <v/>
      </c>
      <c r="L43" s="11" t="str">
        <f>IF($A43="","",IFERROR(VALUE(MID(TRIM('Template Setup'!$C$4),FIND("-",TRIM('Template Setup'!$C$4))+1,10)),0))</f>
        <v/>
      </c>
      <c r="M43" s="11" t="str">
        <f>IF($A43="","",IFERROR(VALUE(MID(TRIM('Template Setup'!$C$5),FIND("-",TRIM('Template Setup'!$C$5))+1,10)),0))</f>
        <v/>
      </c>
      <c r="N43" s="11" t="str">
        <f>IF($A43="","",IFERROR(VALUE(MID(TRIM('Template Setup'!$C$6),FIND("-",TRIM('Template Setup'!$C$6))+1,10)),0))</f>
        <v/>
      </c>
      <c r="O43" s="11" t="str">
        <f>IF($A43="","",IFERROR(VALUE(MID(TRIM('Template Setup'!$C$7),FIND("-",TRIM('Template Setup'!$C$7))+1,10)),0))</f>
        <v/>
      </c>
      <c r="P43" s="11" t="str">
        <f>IF($A43="","",IFERROR(VALUE(MID(TRIM('Template Setup'!$C$8),FIND("-",TRIM('Template Setup'!$C$8))+1,10)),0))</f>
        <v/>
      </c>
      <c r="Q43" s="9" t="str">
        <f>IF($A43="","",$A43&amp;"-"&amp;'Template Setup'!$C$16)</f>
        <v/>
      </c>
      <c r="R43" s="24" t="str">
        <f t="shared" si="0"/>
        <v/>
      </c>
      <c r="S43" s="24"/>
      <c r="T43" s="24" t="str">
        <f t="shared" si="1"/>
        <v/>
      </c>
      <c r="U43" s="6" t="str">
        <f t="shared" si="4"/>
        <v/>
      </c>
    </row>
    <row r="44" spans="1:21">
      <c r="A44" s="13"/>
      <c r="B44" s="11"/>
      <c r="C44" s="11"/>
      <c r="D44" s="11" t="str">
        <f>IF($A44="","",_xlfn.TEXTJOIN(", ",TRUE,IF($G44&gt;0,'Template Setup'!$C$4,""),IF($H44&gt;0,'Template Setup'!$C$5,""),IF($I44&gt;0,'Template Setup'!$C$6,""),IF($J44&gt;0,'Template Setup'!$C$7,""),IF($K44&gt;0,'Template Setup'!$C$8,"")))</f>
        <v/>
      </c>
      <c r="E44" s="6" t="str" cm="1">
        <f t="array" ref="E44">IF($A44="","",_xlfn.LET(_xlpm.sheets,CHOOSE({1,2,3,4,5},'Template Setup'!$C$4,'Template Setup'!$C$5,'Template Setup'!$C$6,'Template Setup'!$C$7,'Template Setup'!$C$8),_xlpm.nums,CHOOSE({1,2,3,4,5},$L44,$M44,$N44,$O44,$P44),_xlpm.qtys,CHOOSE({1,2,3,4,5},$G44,$H44,$I44,$J44,$K44),_xlpm.validNums,_xlfn._xlws.FILTER(_xlpm.nums,_xlpm.qtys&gt;0),_xlpm.validSheets,_xlfn._xlws.FILTER(_xlpm.sheets,_xlpm.qtys&gt;0),_xlpm.mx,IFERROR(MAX(_xlpm.validNums),0),IF(_xlpm.mx=0,"",INDEX(_xlpm.validSheets,MATCH(_xlpm.mx,_xlpm.validNums,0))&amp;" (+"&amp;$R44&amp;")")))</f>
        <v/>
      </c>
      <c r="F44" s="11" t="str">
        <f t="shared" si="2"/>
        <v/>
      </c>
      <c r="G44" s="12" t="str">
        <f ca="1">IF($A44="","",IFERROR(SUMIF(INDIRECT("'"&amp;'Template Setup'!$C$4&amp;"'!C:C"),$A44,INDIRECT("'"&amp;'Template Setup'!$C$4&amp;"'!A:A")),0))</f>
        <v/>
      </c>
      <c r="H44" s="12" t="str">
        <f ca="1">IF($A44="","",IFERROR(SUMIF(INDIRECT("'"&amp;'Template Setup'!$C$5&amp;"'!C:C"),$A44,INDIRECT("'"&amp;'Template Setup'!$C$5&amp;"'!A:A")),0))</f>
        <v/>
      </c>
      <c r="I44" s="12" t="str">
        <f ca="1">IF($A44="","",IFERROR(SUMIF(INDIRECT("'"&amp;'Template Setup'!$C$6&amp;"'!C:C"),$A44,INDIRECT("'"&amp;'Template Setup'!$C$6&amp;"'!A:A")),0))</f>
        <v/>
      </c>
      <c r="J44" s="12" t="str">
        <f ca="1">IF($A44="","",IFERROR(SUMIF(INDIRECT("'"&amp;'Template Setup'!$C$7&amp;"'!C:C"),$A44,INDIRECT("'"&amp;'Template Setup'!$C$7&amp;"'!A:A")),0))</f>
        <v/>
      </c>
      <c r="K44" s="12" t="str">
        <f ca="1">IF($A44="","",IFERROR(SUMIF(INDIRECT("'"&amp;'Template Setup'!$C$8&amp;"'!C:C"),$A44,INDIRECT("'"&amp;'Template Setup'!$C$8&amp;"'!A:A")),0))</f>
        <v/>
      </c>
      <c r="L44" s="11" t="str">
        <f>IF($A44="","",IFERROR(VALUE(MID(TRIM('Template Setup'!$C$4),FIND("-",TRIM('Template Setup'!$C$4))+1,10)),0))</f>
        <v/>
      </c>
      <c r="M44" s="11" t="str">
        <f>IF($A44="","",IFERROR(VALUE(MID(TRIM('Template Setup'!$C$5),FIND("-",TRIM('Template Setup'!$C$5))+1,10)),0))</f>
        <v/>
      </c>
      <c r="N44" s="11" t="str">
        <f>IF($A44="","",IFERROR(VALUE(MID(TRIM('Template Setup'!$C$6),FIND("-",TRIM('Template Setup'!$C$6))+1,10)),0))</f>
        <v/>
      </c>
      <c r="O44" s="11" t="str">
        <f>IF($A44="","",IFERROR(VALUE(MID(TRIM('Template Setup'!$C$7),FIND("-",TRIM('Template Setup'!$C$7))+1,10)),0))</f>
        <v/>
      </c>
      <c r="P44" s="11" t="str">
        <f>IF($A44="","",IFERROR(VALUE(MID(TRIM('Template Setup'!$C$8),FIND("-",TRIM('Template Setup'!$C$8))+1,10)),0))</f>
        <v/>
      </c>
      <c r="Q44" s="9" t="str">
        <f>IF($A44="","",$A44&amp;"-"&amp;'Template Setup'!$C$16)</f>
        <v/>
      </c>
      <c r="R44" s="24" t="str">
        <f t="shared" si="0"/>
        <v/>
      </c>
      <c r="S44" s="24"/>
      <c r="T44" s="24" t="str">
        <f t="shared" si="1"/>
        <v/>
      </c>
      <c r="U44" s="6" t="str">
        <f t="shared" si="4"/>
        <v/>
      </c>
    </row>
    <row r="45" spans="1:21">
      <c r="A45" s="13"/>
      <c r="B45" s="11"/>
      <c r="C45" s="11"/>
      <c r="D45" s="11" t="str">
        <f>IF($A45="","",_xlfn.TEXTJOIN(", ",TRUE,IF($G45&gt;0,'Template Setup'!$C$4,""),IF($H45&gt;0,'Template Setup'!$C$5,""),IF($I45&gt;0,'Template Setup'!$C$6,""),IF($J45&gt;0,'Template Setup'!$C$7,""),IF($K45&gt;0,'Template Setup'!$C$8,"")))</f>
        <v/>
      </c>
      <c r="E45" s="6" t="str" cm="1">
        <f t="array" ref="E45">IF($A45="","",_xlfn.LET(_xlpm.sheets,CHOOSE({1,2,3,4,5},'Template Setup'!$C$4,'Template Setup'!$C$5,'Template Setup'!$C$6,'Template Setup'!$C$7,'Template Setup'!$C$8),_xlpm.nums,CHOOSE({1,2,3,4,5},$L45,$M45,$N45,$O45,$P45),_xlpm.qtys,CHOOSE({1,2,3,4,5},$G45,$H45,$I45,$J45,$K45),_xlpm.validNums,_xlfn._xlws.FILTER(_xlpm.nums,_xlpm.qtys&gt;0),_xlpm.validSheets,_xlfn._xlws.FILTER(_xlpm.sheets,_xlpm.qtys&gt;0),_xlpm.mx,IFERROR(MAX(_xlpm.validNums),0),IF(_xlpm.mx=0,"",INDEX(_xlpm.validSheets,MATCH(_xlpm.mx,_xlpm.validNums,0))&amp;" (+"&amp;$R45&amp;")")))</f>
        <v/>
      </c>
      <c r="F45" s="11" t="str">
        <f t="shared" si="2"/>
        <v/>
      </c>
      <c r="G45" s="12" t="str">
        <f ca="1">IF($A45="","",IFERROR(SUMIF(INDIRECT("'"&amp;'Template Setup'!$C$4&amp;"'!C:C"),$A45,INDIRECT("'"&amp;'Template Setup'!$C$4&amp;"'!A:A")),0))</f>
        <v/>
      </c>
      <c r="H45" s="12" t="str">
        <f ca="1">IF($A45="","",IFERROR(SUMIF(INDIRECT("'"&amp;'Template Setup'!$C$5&amp;"'!C:C"),$A45,INDIRECT("'"&amp;'Template Setup'!$C$5&amp;"'!A:A")),0))</f>
        <v/>
      </c>
      <c r="I45" s="12" t="str">
        <f ca="1">IF($A45="","",IFERROR(SUMIF(INDIRECT("'"&amp;'Template Setup'!$C$6&amp;"'!C:C"),$A45,INDIRECT("'"&amp;'Template Setup'!$C$6&amp;"'!A:A")),0))</f>
        <v/>
      </c>
      <c r="J45" s="12" t="str">
        <f ca="1">IF($A45="","",IFERROR(SUMIF(INDIRECT("'"&amp;'Template Setup'!$C$7&amp;"'!C:C"),$A45,INDIRECT("'"&amp;'Template Setup'!$C$7&amp;"'!A:A")),0))</f>
        <v/>
      </c>
      <c r="K45" s="12" t="str">
        <f ca="1">IF($A45="","",IFERROR(SUMIF(INDIRECT("'"&amp;'Template Setup'!$C$8&amp;"'!C:C"),$A45,INDIRECT("'"&amp;'Template Setup'!$C$8&amp;"'!A:A")),0))</f>
        <v/>
      </c>
      <c r="L45" s="11" t="str">
        <f>IF($A45="","",IFERROR(VALUE(MID(TRIM('Template Setup'!$C$4),FIND("-",TRIM('Template Setup'!$C$4))+1,10)),0))</f>
        <v/>
      </c>
      <c r="M45" s="11" t="str">
        <f>IF($A45="","",IFERROR(VALUE(MID(TRIM('Template Setup'!$C$5),FIND("-",TRIM('Template Setup'!$C$5))+1,10)),0))</f>
        <v/>
      </c>
      <c r="N45" s="11" t="str">
        <f>IF($A45="","",IFERROR(VALUE(MID(TRIM('Template Setup'!$C$6),FIND("-",TRIM('Template Setup'!$C$6))+1,10)),0))</f>
        <v/>
      </c>
      <c r="O45" s="11" t="str">
        <f>IF($A45="","",IFERROR(VALUE(MID(TRIM('Template Setup'!$C$7),FIND("-",TRIM('Template Setup'!$C$7))+1,10)),0))</f>
        <v/>
      </c>
      <c r="P45" s="11" t="str">
        <f>IF($A45="","",IFERROR(VALUE(MID(TRIM('Template Setup'!$C$8),FIND("-",TRIM('Template Setup'!$C$8))+1,10)),0))</f>
        <v/>
      </c>
      <c r="Q45" s="9" t="str">
        <f>IF($A45="","",$A45&amp;"-"&amp;'Template Setup'!$C$16)</f>
        <v/>
      </c>
      <c r="R45" s="24" t="str">
        <f t="shared" si="0"/>
        <v/>
      </c>
      <c r="S45" s="24"/>
      <c r="T45" s="24" t="str">
        <f t="shared" si="1"/>
        <v/>
      </c>
      <c r="U45" s="6" t="str">
        <f t="shared" si="4"/>
        <v/>
      </c>
    </row>
    <row r="46" spans="1:21">
      <c r="A46" s="13"/>
      <c r="B46" s="11"/>
      <c r="C46" s="11"/>
      <c r="D46" s="11" t="str">
        <f>IF($A46="","",_xlfn.TEXTJOIN(", ",TRUE,IF($G46&gt;0,'Template Setup'!$C$4,""),IF($H46&gt;0,'Template Setup'!$C$5,""),IF($I46&gt;0,'Template Setup'!$C$6,""),IF($J46&gt;0,'Template Setup'!$C$7,""),IF($K46&gt;0,'Template Setup'!$C$8,"")))</f>
        <v/>
      </c>
      <c r="E46" s="6" t="str" cm="1">
        <f t="array" ref="E46">IF($A46="","",_xlfn.LET(_xlpm.sheets,CHOOSE({1,2,3,4,5},'Template Setup'!$C$4,'Template Setup'!$C$5,'Template Setup'!$C$6,'Template Setup'!$C$7,'Template Setup'!$C$8),_xlpm.nums,CHOOSE({1,2,3,4,5},$L46,$M46,$N46,$O46,$P46),_xlpm.qtys,CHOOSE({1,2,3,4,5},$G46,$H46,$I46,$J46,$K46),_xlpm.validNums,_xlfn._xlws.FILTER(_xlpm.nums,_xlpm.qtys&gt;0),_xlpm.validSheets,_xlfn._xlws.FILTER(_xlpm.sheets,_xlpm.qtys&gt;0),_xlpm.mx,IFERROR(MAX(_xlpm.validNums),0),IF(_xlpm.mx=0,"",INDEX(_xlpm.validSheets,MATCH(_xlpm.mx,_xlpm.validNums,0))&amp;" (+"&amp;$R46&amp;")")))</f>
        <v/>
      </c>
      <c r="F46" s="11" t="str">
        <f t="shared" si="2"/>
        <v/>
      </c>
      <c r="G46" s="12" t="str">
        <f ca="1">IF($A46="","",IFERROR(SUMIF(INDIRECT("'"&amp;'Template Setup'!$C$4&amp;"'!C:C"),$A46,INDIRECT("'"&amp;'Template Setup'!$C$4&amp;"'!A:A")),0))</f>
        <v/>
      </c>
      <c r="H46" s="12" t="str">
        <f ca="1">IF($A46="","",IFERROR(SUMIF(INDIRECT("'"&amp;'Template Setup'!$C$5&amp;"'!C:C"),$A46,INDIRECT("'"&amp;'Template Setup'!$C$5&amp;"'!A:A")),0))</f>
        <v/>
      </c>
      <c r="I46" s="12" t="str">
        <f ca="1">IF($A46="","",IFERROR(SUMIF(INDIRECT("'"&amp;'Template Setup'!$C$6&amp;"'!C:C"),$A46,INDIRECT("'"&amp;'Template Setup'!$C$6&amp;"'!A:A")),0))</f>
        <v/>
      </c>
      <c r="J46" s="12" t="str">
        <f ca="1">IF($A46="","",IFERROR(SUMIF(INDIRECT("'"&amp;'Template Setup'!$C$7&amp;"'!C:C"),$A46,INDIRECT("'"&amp;'Template Setup'!$C$7&amp;"'!A:A")),0))</f>
        <v/>
      </c>
      <c r="K46" s="12" t="str">
        <f ca="1">IF($A46="","",IFERROR(SUMIF(INDIRECT("'"&amp;'Template Setup'!$C$8&amp;"'!C:C"),$A46,INDIRECT("'"&amp;'Template Setup'!$C$8&amp;"'!A:A")),0))</f>
        <v/>
      </c>
      <c r="L46" s="11" t="str">
        <f>IF($A46="","",IFERROR(VALUE(MID(TRIM('Template Setup'!$C$4),FIND("-",TRIM('Template Setup'!$C$4))+1,10)),0))</f>
        <v/>
      </c>
      <c r="M46" s="11" t="str">
        <f>IF($A46="","",IFERROR(VALUE(MID(TRIM('Template Setup'!$C$5),FIND("-",TRIM('Template Setup'!$C$5))+1,10)),0))</f>
        <v/>
      </c>
      <c r="N46" s="11" t="str">
        <f>IF($A46="","",IFERROR(VALUE(MID(TRIM('Template Setup'!$C$6),FIND("-",TRIM('Template Setup'!$C$6))+1,10)),0))</f>
        <v/>
      </c>
      <c r="O46" s="11" t="str">
        <f>IF($A46="","",IFERROR(VALUE(MID(TRIM('Template Setup'!$C$7),FIND("-",TRIM('Template Setup'!$C$7))+1,10)),0))</f>
        <v/>
      </c>
      <c r="P46" s="11" t="str">
        <f>IF($A46="","",IFERROR(VALUE(MID(TRIM('Template Setup'!$C$8),FIND("-",TRIM('Template Setup'!$C$8))+1,10)),0))</f>
        <v/>
      </c>
      <c r="Q46" s="9" t="str">
        <f>IF($A46="","",$A46&amp;"-"&amp;'Template Setup'!$C$16)</f>
        <v/>
      </c>
      <c r="R46" s="24" t="str">
        <f t="shared" si="0"/>
        <v/>
      </c>
      <c r="S46" s="24"/>
      <c r="T46" s="24" t="str">
        <f t="shared" si="1"/>
        <v/>
      </c>
      <c r="U46" s="6" t="str">
        <f t="shared" si="4"/>
        <v/>
      </c>
    </row>
    <row r="47" spans="1:21">
      <c r="A47" s="13"/>
      <c r="B47" s="11"/>
      <c r="C47" s="11"/>
      <c r="D47" s="11" t="str">
        <f>IF($A47="","",_xlfn.TEXTJOIN(", ",TRUE,IF($G47&gt;0,'Template Setup'!$C$4,""),IF($H47&gt;0,'Template Setup'!$C$5,""),IF($I47&gt;0,'Template Setup'!$C$6,""),IF($J47&gt;0,'Template Setup'!$C$7,""),IF($K47&gt;0,'Template Setup'!$C$8,"")))</f>
        <v/>
      </c>
      <c r="E47" s="6" t="str" cm="1">
        <f t="array" ref="E47">IF($A47="","",_xlfn.LET(_xlpm.sheets,CHOOSE({1,2,3,4,5},'Template Setup'!$C$4,'Template Setup'!$C$5,'Template Setup'!$C$6,'Template Setup'!$C$7,'Template Setup'!$C$8),_xlpm.nums,CHOOSE({1,2,3,4,5},$L47,$M47,$N47,$O47,$P47),_xlpm.qtys,CHOOSE({1,2,3,4,5},$G47,$H47,$I47,$J47,$K47),_xlpm.validNums,_xlfn._xlws.FILTER(_xlpm.nums,_xlpm.qtys&gt;0),_xlpm.validSheets,_xlfn._xlws.FILTER(_xlpm.sheets,_xlpm.qtys&gt;0),_xlpm.mx,IFERROR(MAX(_xlpm.validNums),0),IF(_xlpm.mx=0,"",INDEX(_xlpm.validSheets,MATCH(_xlpm.mx,_xlpm.validNums,0))&amp;" (+"&amp;$R47&amp;")")))</f>
        <v/>
      </c>
      <c r="F47" s="11" t="str">
        <f t="shared" si="2"/>
        <v/>
      </c>
      <c r="G47" s="12" t="str">
        <f ca="1">IF($A47="","",IFERROR(SUMIF(INDIRECT("'"&amp;'Template Setup'!$C$4&amp;"'!C:C"),$A47,INDIRECT("'"&amp;'Template Setup'!$C$4&amp;"'!A:A")),0))</f>
        <v/>
      </c>
      <c r="H47" s="12" t="str">
        <f ca="1">IF($A47="","",IFERROR(SUMIF(INDIRECT("'"&amp;'Template Setup'!$C$5&amp;"'!C:C"),$A47,INDIRECT("'"&amp;'Template Setup'!$C$5&amp;"'!A:A")),0))</f>
        <v/>
      </c>
      <c r="I47" s="12" t="str">
        <f ca="1">IF($A47="","",IFERROR(SUMIF(INDIRECT("'"&amp;'Template Setup'!$C$6&amp;"'!C:C"),$A47,INDIRECT("'"&amp;'Template Setup'!$C$6&amp;"'!A:A")),0))</f>
        <v/>
      </c>
      <c r="J47" s="12" t="str">
        <f ca="1">IF($A47="","",IFERROR(SUMIF(INDIRECT("'"&amp;'Template Setup'!$C$7&amp;"'!C:C"),$A47,INDIRECT("'"&amp;'Template Setup'!$C$7&amp;"'!A:A")),0))</f>
        <v/>
      </c>
      <c r="K47" s="12" t="str">
        <f ca="1">IF($A47="","",IFERROR(SUMIF(INDIRECT("'"&amp;'Template Setup'!$C$8&amp;"'!C:C"),$A47,INDIRECT("'"&amp;'Template Setup'!$C$8&amp;"'!A:A")),0))</f>
        <v/>
      </c>
      <c r="L47" s="11" t="str">
        <f>IF($A47="","",IFERROR(VALUE(MID(TRIM('Template Setup'!$C$4),FIND("-",TRIM('Template Setup'!$C$4))+1,10)),0))</f>
        <v/>
      </c>
      <c r="M47" s="11" t="str">
        <f>IF($A47="","",IFERROR(VALUE(MID(TRIM('Template Setup'!$C$5),FIND("-",TRIM('Template Setup'!$C$5))+1,10)),0))</f>
        <v/>
      </c>
      <c r="N47" s="11" t="str">
        <f>IF($A47="","",IFERROR(VALUE(MID(TRIM('Template Setup'!$C$6),FIND("-",TRIM('Template Setup'!$C$6))+1,10)),0))</f>
        <v/>
      </c>
      <c r="O47" s="11" t="str">
        <f>IF($A47="","",IFERROR(VALUE(MID(TRIM('Template Setup'!$C$7),FIND("-",TRIM('Template Setup'!$C$7))+1,10)),0))</f>
        <v/>
      </c>
      <c r="P47" s="11" t="str">
        <f>IF($A47="","",IFERROR(VALUE(MID(TRIM('Template Setup'!$C$8),FIND("-",TRIM('Template Setup'!$C$8))+1,10)),0))</f>
        <v/>
      </c>
      <c r="Q47" s="9" t="str">
        <f>IF($A47="","",$A47&amp;"-"&amp;'Template Setup'!$C$16)</f>
        <v/>
      </c>
      <c r="R47" s="24" t="str">
        <f t="shared" si="0"/>
        <v/>
      </c>
      <c r="S47" s="24"/>
      <c r="T47" s="24" t="str">
        <f t="shared" si="1"/>
        <v/>
      </c>
      <c r="U47" s="6" t="str">
        <f t="shared" si="4"/>
        <v/>
      </c>
    </row>
    <row r="48" spans="1:21">
      <c r="A48" s="13"/>
      <c r="B48" s="11"/>
      <c r="C48" s="11"/>
      <c r="D48" s="11" t="str">
        <f>IF($A48="","",_xlfn.TEXTJOIN(", ",TRUE,IF($G48&gt;0,'Template Setup'!$C$4,""),IF($H48&gt;0,'Template Setup'!$C$5,""),IF($I48&gt;0,'Template Setup'!$C$6,""),IF($J48&gt;0,'Template Setup'!$C$7,""),IF($K48&gt;0,'Template Setup'!$C$8,"")))</f>
        <v/>
      </c>
      <c r="E48" s="6" t="str" cm="1">
        <f t="array" ref="E48">IF($A48="","",_xlfn.LET(_xlpm.sheets,CHOOSE({1,2,3,4,5},'Template Setup'!$C$4,'Template Setup'!$C$5,'Template Setup'!$C$6,'Template Setup'!$C$7,'Template Setup'!$C$8),_xlpm.nums,CHOOSE({1,2,3,4,5},$L48,$M48,$N48,$O48,$P48),_xlpm.qtys,CHOOSE({1,2,3,4,5},$G48,$H48,$I48,$J48,$K48),_xlpm.validNums,_xlfn._xlws.FILTER(_xlpm.nums,_xlpm.qtys&gt;0),_xlpm.validSheets,_xlfn._xlws.FILTER(_xlpm.sheets,_xlpm.qtys&gt;0),_xlpm.mx,IFERROR(MAX(_xlpm.validNums),0),IF(_xlpm.mx=0,"",INDEX(_xlpm.validSheets,MATCH(_xlpm.mx,_xlpm.validNums,0))&amp;" (+"&amp;$R48&amp;")")))</f>
        <v/>
      </c>
      <c r="F48" s="11" t="str">
        <f t="shared" si="2"/>
        <v/>
      </c>
      <c r="G48" s="12" t="str">
        <f ca="1">IF($A48="","",IFERROR(SUMIF(INDIRECT("'"&amp;'Template Setup'!$C$4&amp;"'!C:C"),$A48,INDIRECT("'"&amp;'Template Setup'!$C$4&amp;"'!A:A")),0))</f>
        <v/>
      </c>
      <c r="H48" s="12" t="str">
        <f ca="1">IF($A48="","",IFERROR(SUMIF(INDIRECT("'"&amp;'Template Setup'!$C$5&amp;"'!C:C"),$A48,INDIRECT("'"&amp;'Template Setup'!$C$5&amp;"'!A:A")),0))</f>
        <v/>
      </c>
      <c r="I48" s="12" t="str">
        <f ca="1">IF($A48="","",IFERROR(SUMIF(INDIRECT("'"&amp;'Template Setup'!$C$6&amp;"'!C:C"),$A48,INDIRECT("'"&amp;'Template Setup'!$C$6&amp;"'!A:A")),0))</f>
        <v/>
      </c>
      <c r="J48" s="12" t="str">
        <f ca="1">IF($A48="","",IFERROR(SUMIF(INDIRECT("'"&amp;'Template Setup'!$C$7&amp;"'!C:C"),$A48,INDIRECT("'"&amp;'Template Setup'!$C$7&amp;"'!A:A")),0))</f>
        <v/>
      </c>
      <c r="K48" s="12" t="str">
        <f ca="1">IF($A48="","",IFERROR(SUMIF(INDIRECT("'"&amp;'Template Setup'!$C$8&amp;"'!C:C"),$A48,INDIRECT("'"&amp;'Template Setup'!$C$8&amp;"'!A:A")),0))</f>
        <v/>
      </c>
      <c r="L48" s="11" t="str">
        <f>IF($A48="","",IFERROR(VALUE(MID(TRIM('Template Setup'!$C$4),FIND("-",TRIM('Template Setup'!$C$4))+1,10)),0))</f>
        <v/>
      </c>
      <c r="M48" s="11" t="str">
        <f>IF($A48="","",IFERROR(VALUE(MID(TRIM('Template Setup'!$C$5),FIND("-",TRIM('Template Setup'!$C$5))+1,10)),0))</f>
        <v/>
      </c>
      <c r="N48" s="11" t="str">
        <f>IF($A48="","",IFERROR(VALUE(MID(TRIM('Template Setup'!$C$6),FIND("-",TRIM('Template Setup'!$C$6))+1,10)),0))</f>
        <v/>
      </c>
      <c r="O48" s="11" t="str">
        <f>IF($A48="","",IFERROR(VALUE(MID(TRIM('Template Setup'!$C$7),FIND("-",TRIM('Template Setup'!$C$7))+1,10)),0))</f>
        <v/>
      </c>
      <c r="P48" s="11" t="str">
        <f>IF($A48="","",IFERROR(VALUE(MID(TRIM('Template Setup'!$C$8),FIND("-",TRIM('Template Setup'!$C$8))+1,10)),0))</f>
        <v/>
      </c>
      <c r="Q48" s="9" t="str">
        <f>IF($A48="","",$A48&amp;"-"&amp;'Template Setup'!$C$16)</f>
        <v/>
      </c>
      <c r="R48" s="24" t="str">
        <f t="shared" si="0"/>
        <v/>
      </c>
      <c r="S48" s="24"/>
      <c r="T48" s="24" t="str">
        <f t="shared" si="1"/>
        <v/>
      </c>
      <c r="U48" s="6" t="str">
        <f t="shared" si="4"/>
        <v/>
      </c>
    </row>
    <row r="49" spans="1:21">
      <c r="A49" s="13"/>
      <c r="B49" s="11"/>
      <c r="C49" s="11"/>
      <c r="D49" s="11" t="str">
        <f>IF($A49="","",_xlfn.TEXTJOIN(", ",TRUE,IF($G49&gt;0,'Template Setup'!$C$4,""),IF($H49&gt;0,'Template Setup'!$C$5,""),IF($I49&gt;0,'Template Setup'!$C$6,""),IF($J49&gt;0,'Template Setup'!$C$7,""),IF($K49&gt;0,'Template Setup'!$C$8,"")))</f>
        <v/>
      </c>
      <c r="E49" s="6" t="str" cm="1">
        <f t="array" ref="E49">IF($A49="","",_xlfn.LET(_xlpm.sheets,CHOOSE({1,2,3,4,5},'Template Setup'!$C$4,'Template Setup'!$C$5,'Template Setup'!$C$6,'Template Setup'!$C$7,'Template Setup'!$C$8),_xlpm.nums,CHOOSE({1,2,3,4,5},$L49,$M49,$N49,$O49,$P49),_xlpm.qtys,CHOOSE({1,2,3,4,5},$G49,$H49,$I49,$J49,$K49),_xlpm.validNums,_xlfn._xlws.FILTER(_xlpm.nums,_xlpm.qtys&gt;0),_xlpm.validSheets,_xlfn._xlws.FILTER(_xlpm.sheets,_xlpm.qtys&gt;0),_xlpm.mx,IFERROR(MAX(_xlpm.validNums),0),IF(_xlpm.mx=0,"",INDEX(_xlpm.validSheets,MATCH(_xlpm.mx,_xlpm.validNums,0))&amp;" (+"&amp;$R49&amp;")")))</f>
        <v/>
      </c>
      <c r="F49" s="11" t="str">
        <f t="shared" si="2"/>
        <v/>
      </c>
      <c r="G49" s="12" t="str">
        <f ca="1">IF($A49="","",IFERROR(SUMIF(INDIRECT("'"&amp;'Template Setup'!$C$4&amp;"'!C:C"),$A49,INDIRECT("'"&amp;'Template Setup'!$C$4&amp;"'!A:A")),0))</f>
        <v/>
      </c>
      <c r="H49" s="12" t="str">
        <f ca="1">IF($A49="","",IFERROR(SUMIF(INDIRECT("'"&amp;'Template Setup'!$C$5&amp;"'!C:C"),$A49,INDIRECT("'"&amp;'Template Setup'!$C$5&amp;"'!A:A")),0))</f>
        <v/>
      </c>
      <c r="I49" s="12" t="str">
        <f ca="1">IF($A49="","",IFERROR(SUMIF(INDIRECT("'"&amp;'Template Setup'!$C$6&amp;"'!C:C"),$A49,INDIRECT("'"&amp;'Template Setup'!$C$6&amp;"'!A:A")),0))</f>
        <v/>
      </c>
      <c r="J49" s="12" t="str">
        <f ca="1">IF($A49="","",IFERROR(SUMIF(INDIRECT("'"&amp;'Template Setup'!$C$7&amp;"'!C:C"),$A49,INDIRECT("'"&amp;'Template Setup'!$C$7&amp;"'!A:A")),0))</f>
        <v/>
      </c>
      <c r="K49" s="12" t="str">
        <f ca="1">IF($A49="","",IFERROR(SUMIF(INDIRECT("'"&amp;'Template Setup'!$C$8&amp;"'!C:C"),$A49,INDIRECT("'"&amp;'Template Setup'!$C$8&amp;"'!A:A")),0))</f>
        <v/>
      </c>
      <c r="L49" s="11" t="str">
        <f>IF($A49="","",IFERROR(VALUE(MID(TRIM('Template Setup'!$C$4),FIND("-",TRIM('Template Setup'!$C$4))+1,10)),0))</f>
        <v/>
      </c>
      <c r="M49" s="11" t="str">
        <f>IF($A49="","",IFERROR(VALUE(MID(TRIM('Template Setup'!$C$5),FIND("-",TRIM('Template Setup'!$C$5))+1,10)),0))</f>
        <v/>
      </c>
      <c r="N49" s="11" t="str">
        <f>IF($A49="","",IFERROR(VALUE(MID(TRIM('Template Setup'!$C$6),FIND("-",TRIM('Template Setup'!$C$6))+1,10)),0))</f>
        <v/>
      </c>
      <c r="O49" s="11" t="str">
        <f>IF($A49="","",IFERROR(VALUE(MID(TRIM('Template Setup'!$C$7),FIND("-",TRIM('Template Setup'!$C$7))+1,10)),0))</f>
        <v/>
      </c>
      <c r="P49" s="11" t="str">
        <f>IF($A49="","",IFERROR(VALUE(MID(TRIM('Template Setup'!$C$8),FIND("-",TRIM('Template Setup'!$C$8))+1,10)),0))</f>
        <v/>
      </c>
      <c r="Q49" s="9" t="str">
        <f>IF($A49="","",$A49&amp;"-"&amp;'Template Setup'!$C$16)</f>
        <v/>
      </c>
      <c r="R49" s="24" t="str">
        <f t="shared" si="0"/>
        <v/>
      </c>
      <c r="S49" s="24"/>
      <c r="T49" s="24" t="str">
        <f t="shared" si="1"/>
        <v/>
      </c>
      <c r="U49" s="6" t="str">
        <f t="shared" si="4"/>
        <v/>
      </c>
    </row>
    <row r="50" spans="1:21">
      <c r="A50" s="13"/>
      <c r="B50" s="11"/>
      <c r="C50" s="11"/>
      <c r="D50" s="11" t="str">
        <f>IF($A50="","",_xlfn.TEXTJOIN(", ",TRUE,IF($G50&gt;0,'Template Setup'!$C$4,""),IF($H50&gt;0,'Template Setup'!$C$5,""),IF($I50&gt;0,'Template Setup'!$C$6,""),IF($J50&gt;0,'Template Setup'!$C$7,""),IF($K50&gt;0,'Template Setup'!$C$8,"")))</f>
        <v/>
      </c>
      <c r="E50" s="6" t="str" cm="1">
        <f t="array" ref="E50">IF($A50="","",_xlfn.LET(_xlpm.sheets,CHOOSE({1,2,3,4,5},'Template Setup'!$C$4,'Template Setup'!$C$5,'Template Setup'!$C$6,'Template Setup'!$C$7,'Template Setup'!$C$8),_xlpm.nums,CHOOSE({1,2,3,4,5},$L50,$M50,$N50,$O50,$P50),_xlpm.qtys,CHOOSE({1,2,3,4,5},$G50,$H50,$I50,$J50,$K50),_xlpm.validNums,_xlfn._xlws.FILTER(_xlpm.nums,_xlpm.qtys&gt;0),_xlpm.validSheets,_xlfn._xlws.FILTER(_xlpm.sheets,_xlpm.qtys&gt;0),_xlpm.mx,IFERROR(MAX(_xlpm.validNums),0),IF(_xlpm.mx=0,"",INDEX(_xlpm.validSheets,MATCH(_xlpm.mx,_xlpm.validNums,0))&amp;" (+"&amp;$R50&amp;")")))</f>
        <v/>
      </c>
      <c r="F50" s="11" t="str">
        <f t="shared" si="2"/>
        <v/>
      </c>
      <c r="G50" s="12" t="str">
        <f ca="1">IF($A50="","",IFERROR(SUMIF(INDIRECT("'"&amp;'Template Setup'!$C$4&amp;"'!C:C"),$A50,INDIRECT("'"&amp;'Template Setup'!$C$4&amp;"'!A:A")),0))</f>
        <v/>
      </c>
      <c r="H50" s="12" t="str">
        <f ca="1">IF($A50="","",IFERROR(SUMIF(INDIRECT("'"&amp;'Template Setup'!$C$5&amp;"'!C:C"),$A50,INDIRECT("'"&amp;'Template Setup'!$C$5&amp;"'!A:A")),0))</f>
        <v/>
      </c>
      <c r="I50" s="12" t="str">
        <f ca="1">IF($A50="","",IFERROR(SUMIF(INDIRECT("'"&amp;'Template Setup'!$C$6&amp;"'!C:C"),$A50,INDIRECT("'"&amp;'Template Setup'!$C$6&amp;"'!A:A")),0))</f>
        <v/>
      </c>
      <c r="J50" s="12" t="str">
        <f ca="1">IF($A50="","",IFERROR(SUMIF(INDIRECT("'"&amp;'Template Setup'!$C$7&amp;"'!C:C"),$A50,INDIRECT("'"&amp;'Template Setup'!$C$7&amp;"'!A:A")),0))</f>
        <v/>
      </c>
      <c r="K50" s="12" t="str">
        <f ca="1">IF($A50="","",IFERROR(SUMIF(INDIRECT("'"&amp;'Template Setup'!$C$8&amp;"'!C:C"),$A50,INDIRECT("'"&amp;'Template Setup'!$C$8&amp;"'!A:A")),0))</f>
        <v/>
      </c>
      <c r="L50" s="11" t="str">
        <f>IF($A50="","",IFERROR(VALUE(MID(TRIM('Template Setup'!$C$4),FIND("-",TRIM('Template Setup'!$C$4))+1,10)),0))</f>
        <v/>
      </c>
      <c r="M50" s="11" t="str">
        <f>IF($A50="","",IFERROR(VALUE(MID(TRIM('Template Setup'!$C$5),FIND("-",TRIM('Template Setup'!$C$5))+1,10)),0))</f>
        <v/>
      </c>
      <c r="N50" s="11" t="str">
        <f>IF($A50="","",IFERROR(VALUE(MID(TRIM('Template Setup'!$C$6),FIND("-",TRIM('Template Setup'!$C$6))+1,10)),0))</f>
        <v/>
      </c>
      <c r="O50" s="11" t="str">
        <f>IF($A50="","",IFERROR(VALUE(MID(TRIM('Template Setup'!$C$7),FIND("-",TRIM('Template Setup'!$C$7))+1,10)),0))</f>
        <v/>
      </c>
      <c r="P50" s="11" t="str">
        <f>IF($A50="","",IFERROR(VALUE(MID(TRIM('Template Setup'!$C$8),FIND("-",TRIM('Template Setup'!$C$8))+1,10)),0))</f>
        <v/>
      </c>
      <c r="Q50" s="9" t="str">
        <f>IF($A50="","",$A50&amp;"-"&amp;'Template Setup'!$C$16)</f>
        <v/>
      </c>
      <c r="R50" s="24" t="str">
        <f t="shared" si="0"/>
        <v/>
      </c>
      <c r="S50" s="24"/>
      <c r="T50" s="24" t="str">
        <f t="shared" si="1"/>
        <v/>
      </c>
      <c r="U50" s="6" t="str">
        <f t="shared" si="4"/>
        <v/>
      </c>
    </row>
    <row r="51" spans="1:21">
      <c r="A51" s="13"/>
      <c r="B51" s="11"/>
      <c r="C51" s="11"/>
      <c r="D51" s="11" t="str">
        <f>IF($A51="","",_xlfn.TEXTJOIN(", ",TRUE,IF($G51&gt;0,'Template Setup'!$C$4,""),IF($H51&gt;0,'Template Setup'!$C$5,""),IF($I51&gt;0,'Template Setup'!$C$6,""),IF($J51&gt;0,'Template Setup'!$C$7,""),IF($K51&gt;0,'Template Setup'!$C$8,"")))</f>
        <v/>
      </c>
      <c r="E51" s="6" t="str" cm="1">
        <f t="array" ref="E51">IF($A51="","",_xlfn.LET(_xlpm.sheets,CHOOSE({1,2,3,4,5},'Template Setup'!$C$4,'Template Setup'!$C$5,'Template Setup'!$C$6,'Template Setup'!$C$7,'Template Setup'!$C$8),_xlpm.nums,CHOOSE({1,2,3,4,5},$L51,$M51,$N51,$O51,$P51),_xlpm.qtys,CHOOSE({1,2,3,4,5},$G51,$H51,$I51,$J51,$K51),_xlpm.validNums,_xlfn._xlws.FILTER(_xlpm.nums,_xlpm.qtys&gt;0),_xlpm.validSheets,_xlfn._xlws.FILTER(_xlpm.sheets,_xlpm.qtys&gt;0),_xlpm.mx,IFERROR(MAX(_xlpm.validNums),0),IF(_xlpm.mx=0,"",INDEX(_xlpm.validSheets,MATCH(_xlpm.mx,_xlpm.validNums,0))&amp;" (+"&amp;$R51&amp;")")))</f>
        <v/>
      </c>
      <c r="F51" s="11" t="str">
        <f t="shared" si="2"/>
        <v/>
      </c>
      <c r="G51" s="12" t="str">
        <f ca="1">IF($A51="","",IFERROR(SUMIF(INDIRECT("'"&amp;'Template Setup'!$C$4&amp;"'!C:C"),$A51,INDIRECT("'"&amp;'Template Setup'!$C$4&amp;"'!A:A")),0))</f>
        <v/>
      </c>
      <c r="H51" s="12" t="str">
        <f ca="1">IF($A51="","",IFERROR(SUMIF(INDIRECT("'"&amp;'Template Setup'!$C$5&amp;"'!C:C"),$A51,INDIRECT("'"&amp;'Template Setup'!$C$5&amp;"'!A:A")),0))</f>
        <v/>
      </c>
      <c r="I51" s="12" t="str">
        <f ca="1">IF($A51="","",IFERROR(SUMIF(INDIRECT("'"&amp;'Template Setup'!$C$6&amp;"'!C:C"),$A51,INDIRECT("'"&amp;'Template Setup'!$C$6&amp;"'!A:A")),0))</f>
        <v/>
      </c>
      <c r="J51" s="12" t="str">
        <f ca="1">IF($A51="","",IFERROR(SUMIF(INDIRECT("'"&amp;'Template Setup'!$C$7&amp;"'!C:C"),$A51,INDIRECT("'"&amp;'Template Setup'!$C$7&amp;"'!A:A")),0))</f>
        <v/>
      </c>
      <c r="K51" s="12" t="str">
        <f ca="1">IF($A51="","",IFERROR(SUMIF(INDIRECT("'"&amp;'Template Setup'!$C$8&amp;"'!C:C"),$A51,INDIRECT("'"&amp;'Template Setup'!$C$8&amp;"'!A:A")),0))</f>
        <v/>
      </c>
      <c r="L51" s="11" t="str">
        <f>IF($A51="","",IFERROR(VALUE(MID(TRIM('Template Setup'!$C$4),FIND("-",TRIM('Template Setup'!$C$4))+1,10)),0))</f>
        <v/>
      </c>
      <c r="M51" s="11" t="str">
        <f>IF($A51="","",IFERROR(VALUE(MID(TRIM('Template Setup'!$C$5),FIND("-",TRIM('Template Setup'!$C$5))+1,10)),0))</f>
        <v/>
      </c>
      <c r="N51" s="11" t="str">
        <f>IF($A51="","",IFERROR(VALUE(MID(TRIM('Template Setup'!$C$6),FIND("-",TRIM('Template Setup'!$C$6))+1,10)),0))</f>
        <v/>
      </c>
      <c r="O51" s="11" t="str">
        <f>IF($A51="","",IFERROR(VALUE(MID(TRIM('Template Setup'!$C$7),FIND("-",TRIM('Template Setup'!$C$7))+1,10)),0))</f>
        <v/>
      </c>
      <c r="P51" s="11" t="str">
        <f>IF($A51="","",IFERROR(VALUE(MID(TRIM('Template Setup'!$C$8),FIND("-",TRIM('Template Setup'!$C$8))+1,10)),0))</f>
        <v/>
      </c>
      <c r="Q51" s="9" t="str">
        <f>IF($A51="","",$A51&amp;"-"&amp;'Template Setup'!$C$16)</f>
        <v/>
      </c>
      <c r="R51" s="24" t="str">
        <f t="shared" si="0"/>
        <v/>
      </c>
      <c r="S51" s="24"/>
      <c r="T51" s="24" t="str">
        <f t="shared" si="1"/>
        <v/>
      </c>
      <c r="U51" s="6" t="str">
        <f t="shared" si="4"/>
        <v/>
      </c>
    </row>
    <row r="52" spans="1:21">
      <c r="A52" s="13"/>
      <c r="B52" s="11"/>
      <c r="C52" s="11"/>
      <c r="D52" s="11" t="str">
        <f>IF($A52="","",_xlfn.TEXTJOIN(", ",TRUE,IF($G52&gt;0,'Template Setup'!$C$4,""),IF($H52&gt;0,'Template Setup'!$C$5,""),IF($I52&gt;0,'Template Setup'!$C$6,""),IF($J52&gt;0,'Template Setup'!$C$7,""),IF($K52&gt;0,'Template Setup'!$C$8,"")))</f>
        <v/>
      </c>
      <c r="E52" s="6" t="str" cm="1">
        <f t="array" ref="E52">IF($A52="","",_xlfn.LET(_xlpm.sheets,CHOOSE({1,2,3,4,5},'Template Setup'!$C$4,'Template Setup'!$C$5,'Template Setup'!$C$6,'Template Setup'!$C$7,'Template Setup'!$C$8),_xlpm.nums,CHOOSE({1,2,3,4,5},$L52,$M52,$N52,$O52,$P52),_xlpm.qtys,CHOOSE({1,2,3,4,5},$G52,$H52,$I52,$J52,$K52),_xlpm.validNums,_xlfn._xlws.FILTER(_xlpm.nums,_xlpm.qtys&gt;0),_xlpm.validSheets,_xlfn._xlws.FILTER(_xlpm.sheets,_xlpm.qtys&gt;0),_xlpm.mx,IFERROR(MAX(_xlpm.validNums),0),IF(_xlpm.mx=0,"",INDEX(_xlpm.validSheets,MATCH(_xlpm.mx,_xlpm.validNums,0))&amp;" (+"&amp;$R52&amp;")")))</f>
        <v/>
      </c>
      <c r="F52" s="11" t="str">
        <f t="shared" si="2"/>
        <v/>
      </c>
      <c r="G52" s="12" t="str">
        <f ca="1">IF($A52="","",IFERROR(SUMIF(INDIRECT("'"&amp;'Template Setup'!$C$4&amp;"'!C:C"),$A52,INDIRECT("'"&amp;'Template Setup'!$C$4&amp;"'!A:A")),0))</f>
        <v/>
      </c>
      <c r="H52" s="12" t="str">
        <f ca="1">IF($A52="","",IFERROR(SUMIF(INDIRECT("'"&amp;'Template Setup'!$C$5&amp;"'!C:C"),$A52,INDIRECT("'"&amp;'Template Setup'!$C$5&amp;"'!A:A")),0))</f>
        <v/>
      </c>
      <c r="I52" s="12" t="str">
        <f ca="1">IF($A52="","",IFERROR(SUMIF(INDIRECT("'"&amp;'Template Setup'!$C$6&amp;"'!C:C"),$A52,INDIRECT("'"&amp;'Template Setup'!$C$6&amp;"'!A:A")),0))</f>
        <v/>
      </c>
      <c r="J52" s="12" t="str">
        <f ca="1">IF($A52="","",IFERROR(SUMIF(INDIRECT("'"&amp;'Template Setup'!$C$7&amp;"'!C:C"),$A52,INDIRECT("'"&amp;'Template Setup'!$C$7&amp;"'!A:A")),0))</f>
        <v/>
      </c>
      <c r="K52" s="12" t="str">
        <f ca="1">IF($A52="","",IFERROR(SUMIF(INDIRECT("'"&amp;'Template Setup'!$C$8&amp;"'!C:C"),$A52,INDIRECT("'"&amp;'Template Setup'!$C$8&amp;"'!A:A")),0))</f>
        <v/>
      </c>
      <c r="L52" s="11" t="str">
        <f>IF($A52="","",IFERROR(VALUE(MID(TRIM('Template Setup'!$C$4),FIND("-",TRIM('Template Setup'!$C$4))+1,10)),0))</f>
        <v/>
      </c>
      <c r="M52" s="11" t="str">
        <f>IF($A52="","",IFERROR(VALUE(MID(TRIM('Template Setup'!$C$5),FIND("-",TRIM('Template Setup'!$C$5))+1,10)),0))</f>
        <v/>
      </c>
      <c r="N52" s="11" t="str">
        <f>IF($A52="","",IFERROR(VALUE(MID(TRIM('Template Setup'!$C$6),FIND("-",TRIM('Template Setup'!$C$6))+1,10)),0))</f>
        <v/>
      </c>
      <c r="O52" s="11" t="str">
        <f>IF($A52="","",IFERROR(VALUE(MID(TRIM('Template Setup'!$C$7),FIND("-",TRIM('Template Setup'!$C$7))+1,10)),0))</f>
        <v/>
      </c>
      <c r="P52" s="11" t="str">
        <f>IF($A52="","",IFERROR(VALUE(MID(TRIM('Template Setup'!$C$8),FIND("-",TRIM('Template Setup'!$C$8))+1,10)),0))</f>
        <v/>
      </c>
      <c r="Q52" s="9" t="str">
        <f>IF($A52="","",$A52&amp;"-"&amp;'Template Setup'!$C$16)</f>
        <v/>
      </c>
      <c r="R52" s="24" t="str">
        <f t="shared" si="0"/>
        <v/>
      </c>
      <c r="S52" s="24"/>
      <c r="T52" s="24" t="str">
        <f t="shared" si="1"/>
        <v/>
      </c>
      <c r="U52" s="6" t="str">
        <f t="shared" si="4"/>
        <v/>
      </c>
    </row>
    <row r="53" spans="1:21">
      <c r="A53" s="13"/>
      <c r="B53" s="11"/>
      <c r="C53" s="11"/>
      <c r="D53" s="11" t="str">
        <f>IF($A53="","",_xlfn.TEXTJOIN(", ",TRUE,IF($G53&gt;0,'Template Setup'!$C$4,""),IF($H53&gt;0,'Template Setup'!$C$5,""),IF($I53&gt;0,'Template Setup'!$C$6,""),IF($J53&gt;0,'Template Setup'!$C$7,""),IF($K53&gt;0,'Template Setup'!$C$8,"")))</f>
        <v/>
      </c>
      <c r="E53" s="6" t="str" cm="1">
        <f t="array" ref="E53">IF($A53="","",_xlfn.LET(_xlpm.sheets,CHOOSE({1,2,3,4,5},'Template Setup'!$C$4,'Template Setup'!$C$5,'Template Setup'!$C$6,'Template Setup'!$C$7,'Template Setup'!$C$8),_xlpm.nums,CHOOSE({1,2,3,4,5},$L53,$M53,$N53,$O53,$P53),_xlpm.qtys,CHOOSE({1,2,3,4,5},$G53,$H53,$I53,$J53,$K53),_xlpm.validNums,_xlfn._xlws.FILTER(_xlpm.nums,_xlpm.qtys&gt;0),_xlpm.validSheets,_xlfn._xlws.FILTER(_xlpm.sheets,_xlpm.qtys&gt;0),_xlpm.mx,IFERROR(MAX(_xlpm.validNums),0),IF(_xlpm.mx=0,"",INDEX(_xlpm.validSheets,MATCH(_xlpm.mx,_xlpm.validNums,0))&amp;" (+"&amp;$R53&amp;")")))</f>
        <v/>
      </c>
      <c r="F53" s="11" t="str">
        <f t="shared" si="2"/>
        <v/>
      </c>
      <c r="G53" s="12" t="str">
        <f ca="1">IF($A53="","",IFERROR(SUMIF(INDIRECT("'"&amp;'Template Setup'!$C$4&amp;"'!C:C"),$A53,INDIRECT("'"&amp;'Template Setup'!$C$4&amp;"'!A:A")),0))</f>
        <v/>
      </c>
      <c r="H53" s="12" t="str">
        <f ca="1">IF($A53="","",IFERROR(SUMIF(INDIRECT("'"&amp;'Template Setup'!$C$5&amp;"'!C:C"),$A53,INDIRECT("'"&amp;'Template Setup'!$C$5&amp;"'!A:A")),0))</f>
        <v/>
      </c>
      <c r="I53" s="12" t="str">
        <f ca="1">IF($A53="","",IFERROR(SUMIF(INDIRECT("'"&amp;'Template Setup'!$C$6&amp;"'!C:C"),$A53,INDIRECT("'"&amp;'Template Setup'!$C$6&amp;"'!A:A")),0))</f>
        <v/>
      </c>
      <c r="J53" s="12" t="str">
        <f ca="1">IF($A53="","",IFERROR(SUMIF(INDIRECT("'"&amp;'Template Setup'!$C$7&amp;"'!C:C"),$A53,INDIRECT("'"&amp;'Template Setup'!$C$7&amp;"'!A:A")),0))</f>
        <v/>
      </c>
      <c r="K53" s="12" t="str">
        <f ca="1">IF($A53="","",IFERROR(SUMIF(INDIRECT("'"&amp;'Template Setup'!$C$8&amp;"'!C:C"),$A53,INDIRECT("'"&amp;'Template Setup'!$C$8&amp;"'!A:A")),0))</f>
        <v/>
      </c>
      <c r="L53" s="11" t="str">
        <f>IF($A53="","",IFERROR(VALUE(MID(TRIM('Template Setup'!$C$4),FIND("-",TRIM('Template Setup'!$C$4))+1,10)),0))</f>
        <v/>
      </c>
      <c r="M53" s="11" t="str">
        <f>IF($A53="","",IFERROR(VALUE(MID(TRIM('Template Setup'!$C$5),FIND("-",TRIM('Template Setup'!$C$5))+1,10)),0))</f>
        <v/>
      </c>
      <c r="N53" s="11" t="str">
        <f>IF($A53="","",IFERROR(VALUE(MID(TRIM('Template Setup'!$C$6),FIND("-",TRIM('Template Setup'!$C$6))+1,10)),0))</f>
        <v/>
      </c>
      <c r="O53" s="11" t="str">
        <f>IF($A53="","",IFERROR(VALUE(MID(TRIM('Template Setup'!$C$7),FIND("-",TRIM('Template Setup'!$C$7))+1,10)),0))</f>
        <v/>
      </c>
      <c r="P53" s="11" t="str">
        <f>IF($A53="","",IFERROR(VALUE(MID(TRIM('Template Setup'!$C$8),FIND("-",TRIM('Template Setup'!$C$8))+1,10)),0))</f>
        <v/>
      </c>
      <c r="Q53" s="9" t="str">
        <f>IF($A53="","",$A53&amp;"-"&amp;'Template Setup'!$C$16)</f>
        <v/>
      </c>
      <c r="R53" s="24" t="str">
        <f t="shared" si="0"/>
        <v/>
      </c>
      <c r="S53" s="24"/>
      <c r="T53" s="24" t="str">
        <f t="shared" si="1"/>
        <v/>
      </c>
      <c r="U53" s="6" t="str">
        <f t="shared" si="4"/>
        <v/>
      </c>
    </row>
    <row r="54" spans="1:21">
      <c r="A54" s="13"/>
      <c r="B54" s="11"/>
      <c r="C54" s="11"/>
      <c r="D54" s="11" t="str">
        <f>IF($A54="","",_xlfn.TEXTJOIN(", ",TRUE,IF($G54&gt;0,'Template Setup'!$C$4,""),IF($H54&gt;0,'Template Setup'!$C$5,""),IF($I54&gt;0,'Template Setup'!$C$6,""),IF($J54&gt;0,'Template Setup'!$C$7,""),IF($K54&gt;0,'Template Setup'!$C$8,"")))</f>
        <v/>
      </c>
      <c r="E54" s="6" t="str" cm="1">
        <f t="array" ref="E54">IF($A54="","",_xlfn.LET(_xlpm.sheets,CHOOSE({1,2,3,4,5},'Template Setup'!$C$4,'Template Setup'!$C$5,'Template Setup'!$C$6,'Template Setup'!$C$7,'Template Setup'!$C$8),_xlpm.nums,CHOOSE({1,2,3,4,5},$L54,$M54,$N54,$O54,$P54),_xlpm.qtys,CHOOSE({1,2,3,4,5},$G54,$H54,$I54,$J54,$K54),_xlpm.validNums,_xlfn._xlws.FILTER(_xlpm.nums,_xlpm.qtys&gt;0),_xlpm.validSheets,_xlfn._xlws.FILTER(_xlpm.sheets,_xlpm.qtys&gt;0),_xlpm.mx,IFERROR(MAX(_xlpm.validNums),0),IF(_xlpm.mx=0,"",INDEX(_xlpm.validSheets,MATCH(_xlpm.mx,_xlpm.validNums,0))&amp;" (+"&amp;$R54&amp;")")))</f>
        <v/>
      </c>
      <c r="F54" s="11" t="str">
        <f t="shared" si="2"/>
        <v/>
      </c>
      <c r="G54" s="12" t="str">
        <f ca="1">IF($A54="","",IFERROR(SUMIF(INDIRECT("'"&amp;'Template Setup'!$C$4&amp;"'!C:C"),$A54,INDIRECT("'"&amp;'Template Setup'!$C$4&amp;"'!A:A")),0))</f>
        <v/>
      </c>
      <c r="H54" s="12" t="str">
        <f ca="1">IF($A54="","",IFERROR(SUMIF(INDIRECT("'"&amp;'Template Setup'!$C$5&amp;"'!C:C"),$A54,INDIRECT("'"&amp;'Template Setup'!$C$5&amp;"'!A:A")),0))</f>
        <v/>
      </c>
      <c r="I54" s="12" t="str">
        <f ca="1">IF($A54="","",IFERROR(SUMIF(INDIRECT("'"&amp;'Template Setup'!$C$6&amp;"'!C:C"),$A54,INDIRECT("'"&amp;'Template Setup'!$C$6&amp;"'!A:A")),0))</f>
        <v/>
      </c>
      <c r="J54" s="12" t="str">
        <f ca="1">IF($A54="","",IFERROR(SUMIF(INDIRECT("'"&amp;'Template Setup'!$C$7&amp;"'!C:C"),$A54,INDIRECT("'"&amp;'Template Setup'!$C$7&amp;"'!A:A")),0))</f>
        <v/>
      </c>
      <c r="K54" s="12" t="str">
        <f ca="1">IF($A54="","",IFERROR(SUMIF(INDIRECT("'"&amp;'Template Setup'!$C$8&amp;"'!C:C"),$A54,INDIRECT("'"&amp;'Template Setup'!$C$8&amp;"'!A:A")),0))</f>
        <v/>
      </c>
      <c r="L54" s="11" t="str">
        <f>IF($A54="","",IFERROR(VALUE(MID(TRIM('Template Setup'!$C$4),FIND("-",TRIM('Template Setup'!$C$4))+1,10)),0))</f>
        <v/>
      </c>
      <c r="M54" s="11" t="str">
        <f>IF($A54="","",IFERROR(VALUE(MID(TRIM('Template Setup'!$C$5),FIND("-",TRIM('Template Setup'!$C$5))+1,10)),0))</f>
        <v/>
      </c>
      <c r="N54" s="11" t="str">
        <f>IF($A54="","",IFERROR(VALUE(MID(TRIM('Template Setup'!$C$6),FIND("-",TRIM('Template Setup'!$C$6))+1,10)),0))</f>
        <v/>
      </c>
      <c r="O54" s="11" t="str">
        <f>IF($A54="","",IFERROR(VALUE(MID(TRIM('Template Setup'!$C$7),FIND("-",TRIM('Template Setup'!$C$7))+1,10)),0))</f>
        <v/>
      </c>
      <c r="P54" s="11" t="str">
        <f>IF($A54="","",IFERROR(VALUE(MID(TRIM('Template Setup'!$C$8),FIND("-",TRIM('Template Setup'!$C$8))+1,10)),0))</f>
        <v/>
      </c>
      <c r="Q54" s="9" t="str">
        <f>IF($A54="","",$A54&amp;"-"&amp;'Template Setup'!$C$16)</f>
        <v/>
      </c>
      <c r="R54" s="24" t="str">
        <f t="shared" si="0"/>
        <v/>
      </c>
      <c r="S54" s="24"/>
      <c r="T54" s="24" t="str">
        <f t="shared" si="1"/>
        <v/>
      </c>
      <c r="U54" s="6" t="str">
        <f t="shared" si="4"/>
        <v/>
      </c>
    </row>
    <row r="55" spans="1:21">
      <c r="A55" s="13"/>
      <c r="B55" s="11"/>
      <c r="C55" s="11"/>
      <c r="D55" s="11" t="str">
        <f>IF($A55="","",_xlfn.TEXTJOIN(", ",TRUE,IF($G55&gt;0,'Template Setup'!$C$4,""),IF($H55&gt;0,'Template Setup'!$C$5,""),IF($I55&gt;0,'Template Setup'!$C$6,""),IF($J55&gt;0,'Template Setup'!$C$7,""),IF($K55&gt;0,'Template Setup'!$C$8,"")))</f>
        <v/>
      </c>
      <c r="E55" s="6" t="str" cm="1">
        <f t="array" ref="E55">IF($A55="","",_xlfn.LET(_xlpm.sheets,CHOOSE({1,2,3,4,5},'Template Setup'!$C$4,'Template Setup'!$C$5,'Template Setup'!$C$6,'Template Setup'!$C$7,'Template Setup'!$C$8),_xlpm.nums,CHOOSE({1,2,3,4,5},$L55,$M55,$N55,$O55,$P55),_xlpm.qtys,CHOOSE({1,2,3,4,5},$G55,$H55,$I55,$J55,$K55),_xlpm.validNums,_xlfn._xlws.FILTER(_xlpm.nums,_xlpm.qtys&gt;0),_xlpm.validSheets,_xlfn._xlws.FILTER(_xlpm.sheets,_xlpm.qtys&gt;0),_xlpm.mx,IFERROR(MAX(_xlpm.validNums),0),IF(_xlpm.mx=0,"",INDEX(_xlpm.validSheets,MATCH(_xlpm.mx,_xlpm.validNums,0))&amp;" (+"&amp;$R55&amp;")")))</f>
        <v/>
      </c>
      <c r="F55" s="11" t="str">
        <f t="shared" si="2"/>
        <v/>
      </c>
      <c r="G55" s="12" t="str">
        <f ca="1">IF($A55="","",IFERROR(SUMIF(INDIRECT("'"&amp;'Template Setup'!$C$4&amp;"'!C:C"),$A55,INDIRECT("'"&amp;'Template Setup'!$C$4&amp;"'!A:A")),0))</f>
        <v/>
      </c>
      <c r="H55" s="12" t="str">
        <f ca="1">IF($A55="","",IFERROR(SUMIF(INDIRECT("'"&amp;'Template Setup'!$C$5&amp;"'!C:C"),$A55,INDIRECT("'"&amp;'Template Setup'!$C$5&amp;"'!A:A")),0))</f>
        <v/>
      </c>
      <c r="I55" s="12" t="str">
        <f ca="1">IF($A55="","",IFERROR(SUMIF(INDIRECT("'"&amp;'Template Setup'!$C$6&amp;"'!C:C"),$A55,INDIRECT("'"&amp;'Template Setup'!$C$6&amp;"'!A:A")),0))</f>
        <v/>
      </c>
      <c r="J55" s="12" t="str">
        <f ca="1">IF($A55="","",IFERROR(SUMIF(INDIRECT("'"&amp;'Template Setup'!$C$7&amp;"'!C:C"),$A55,INDIRECT("'"&amp;'Template Setup'!$C$7&amp;"'!A:A")),0))</f>
        <v/>
      </c>
      <c r="K55" s="12" t="str">
        <f ca="1">IF($A55="","",IFERROR(SUMIF(INDIRECT("'"&amp;'Template Setup'!$C$8&amp;"'!C:C"),$A55,INDIRECT("'"&amp;'Template Setup'!$C$8&amp;"'!A:A")),0))</f>
        <v/>
      </c>
      <c r="L55" s="11" t="str">
        <f>IF($A55="","",IFERROR(VALUE(MID(TRIM('Template Setup'!$C$4),FIND("-",TRIM('Template Setup'!$C$4))+1,10)),0))</f>
        <v/>
      </c>
      <c r="M55" s="11" t="str">
        <f>IF($A55="","",IFERROR(VALUE(MID(TRIM('Template Setup'!$C$5),FIND("-",TRIM('Template Setup'!$C$5))+1,10)),0))</f>
        <v/>
      </c>
      <c r="N55" s="11" t="str">
        <f>IF($A55="","",IFERROR(VALUE(MID(TRIM('Template Setup'!$C$6),FIND("-",TRIM('Template Setup'!$C$6))+1,10)),0))</f>
        <v/>
      </c>
      <c r="O55" s="11" t="str">
        <f>IF($A55="","",IFERROR(VALUE(MID(TRIM('Template Setup'!$C$7),FIND("-",TRIM('Template Setup'!$C$7))+1,10)),0))</f>
        <v/>
      </c>
      <c r="P55" s="11" t="str">
        <f>IF($A55="","",IFERROR(VALUE(MID(TRIM('Template Setup'!$C$8),FIND("-",TRIM('Template Setup'!$C$8))+1,10)),0))</f>
        <v/>
      </c>
      <c r="Q55" s="9" t="str">
        <f>IF($A55="","",$A55&amp;"-"&amp;'Template Setup'!$C$16)</f>
        <v/>
      </c>
      <c r="R55" s="24" t="str">
        <f t="shared" si="0"/>
        <v/>
      </c>
      <c r="S55" s="24"/>
      <c r="T55" s="24" t="str">
        <f t="shared" si="1"/>
        <v/>
      </c>
      <c r="U55" s="6" t="str">
        <f t="shared" si="4"/>
        <v/>
      </c>
    </row>
    <row r="56" spans="1:21">
      <c r="A56" s="13"/>
      <c r="B56" s="11"/>
      <c r="C56" s="11"/>
      <c r="D56" s="11" t="str">
        <f>IF($A56="","",_xlfn.TEXTJOIN(", ",TRUE,IF($G56&gt;0,'Template Setup'!$C$4,""),IF($H56&gt;0,'Template Setup'!$C$5,""),IF($I56&gt;0,'Template Setup'!$C$6,""),IF($J56&gt;0,'Template Setup'!$C$7,""),IF($K56&gt;0,'Template Setup'!$C$8,"")))</f>
        <v/>
      </c>
      <c r="E56" s="6" t="str" cm="1">
        <f t="array" ref="E56">IF($A56="","",_xlfn.LET(_xlpm.sheets,CHOOSE({1,2,3,4,5},'Template Setup'!$C$4,'Template Setup'!$C$5,'Template Setup'!$C$6,'Template Setup'!$C$7,'Template Setup'!$C$8),_xlpm.nums,CHOOSE({1,2,3,4,5},$L56,$M56,$N56,$O56,$P56),_xlpm.qtys,CHOOSE({1,2,3,4,5},$G56,$H56,$I56,$J56,$K56),_xlpm.validNums,_xlfn._xlws.FILTER(_xlpm.nums,_xlpm.qtys&gt;0),_xlpm.validSheets,_xlfn._xlws.FILTER(_xlpm.sheets,_xlpm.qtys&gt;0),_xlpm.mx,IFERROR(MAX(_xlpm.validNums),0),IF(_xlpm.mx=0,"",INDEX(_xlpm.validSheets,MATCH(_xlpm.mx,_xlpm.validNums,0))&amp;" (+"&amp;$R56&amp;")")))</f>
        <v/>
      </c>
      <c r="F56" s="11" t="str">
        <f t="shared" si="2"/>
        <v/>
      </c>
      <c r="G56" s="12" t="str">
        <f ca="1">IF($A56="","",IFERROR(SUMIF(INDIRECT("'"&amp;'Template Setup'!$C$4&amp;"'!C:C"),$A56,INDIRECT("'"&amp;'Template Setup'!$C$4&amp;"'!A:A")),0))</f>
        <v/>
      </c>
      <c r="H56" s="12" t="str">
        <f ca="1">IF($A56="","",IFERROR(SUMIF(INDIRECT("'"&amp;'Template Setup'!$C$5&amp;"'!C:C"),$A56,INDIRECT("'"&amp;'Template Setup'!$C$5&amp;"'!A:A")),0))</f>
        <v/>
      </c>
      <c r="I56" s="12" t="str">
        <f ca="1">IF($A56="","",IFERROR(SUMIF(INDIRECT("'"&amp;'Template Setup'!$C$6&amp;"'!C:C"),$A56,INDIRECT("'"&amp;'Template Setup'!$C$6&amp;"'!A:A")),0))</f>
        <v/>
      </c>
      <c r="J56" s="12" t="str">
        <f ca="1">IF($A56="","",IFERROR(SUMIF(INDIRECT("'"&amp;'Template Setup'!$C$7&amp;"'!C:C"),$A56,INDIRECT("'"&amp;'Template Setup'!$C$7&amp;"'!A:A")),0))</f>
        <v/>
      </c>
      <c r="K56" s="12" t="str">
        <f ca="1">IF($A56="","",IFERROR(SUMIF(INDIRECT("'"&amp;'Template Setup'!$C$8&amp;"'!C:C"),$A56,INDIRECT("'"&amp;'Template Setup'!$C$8&amp;"'!A:A")),0))</f>
        <v/>
      </c>
      <c r="L56" s="11" t="str">
        <f>IF($A56="","",IFERROR(VALUE(MID(TRIM('Template Setup'!$C$4),FIND("-",TRIM('Template Setup'!$C$4))+1,10)),0))</f>
        <v/>
      </c>
      <c r="M56" s="11" t="str">
        <f>IF($A56="","",IFERROR(VALUE(MID(TRIM('Template Setup'!$C$5),FIND("-",TRIM('Template Setup'!$C$5))+1,10)),0))</f>
        <v/>
      </c>
      <c r="N56" s="11" t="str">
        <f>IF($A56="","",IFERROR(VALUE(MID(TRIM('Template Setup'!$C$6),FIND("-",TRIM('Template Setup'!$C$6))+1,10)),0))</f>
        <v/>
      </c>
      <c r="O56" s="11" t="str">
        <f>IF($A56="","",IFERROR(VALUE(MID(TRIM('Template Setup'!$C$7),FIND("-",TRIM('Template Setup'!$C$7))+1,10)),0))</f>
        <v/>
      </c>
      <c r="P56" s="11" t="str">
        <f>IF($A56="","",IFERROR(VALUE(MID(TRIM('Template Setup'!$C$8),FIND("-",TRIM('Template Setup'!$C$8))+1,10)),0))</f>
        <v/>
      </c>
      <c r="Q56" s="9" t="str">
        <f>IF($A56="","",$A56&amp;"-"&amp;'Template Setup'!$C$16)</f>
        <v/>
      </c>
      <c r="R56" s="24" t="str">
        <f t="shared" si="0"/>
        <v/>
      </c>
      <c r="S56" s="24"/>
      <c r="T56" s="24" t="str">
        <f t="shared" si="1"/>
        <v/>
      </c>
      <c r="U56" s="6" t="str">
        <f t="shared" si="4"/>
        <v/>
      </c>
    </row>
    <row r="57" spans="1:21">
      <c r="A57" s="13"/>
      <c r="B57" s="11"/>
      <c r="C57" s="11"/>
      <c r="D57" s="11" t="str">
        <f>IF($A57="","",_xlfn.TEXTJOIN(", ",TRUE,IF($G57&gt;0,'Template Setup'!$C$4,""),IF($H57&gt;0,'Template Setup'!$C$5,""),IF($I57&gt;0,'Template Setup'!$C$6,""),IF($J57&gt;0,'Template Setup'!$C$7,""),IF($K57&gt;0,'Template Setup'!$C$8,"")))</f>
        <v/>
      </c>
      <c r="E57" s="6" t="str" cm="1">
        <f t="array" ref="E57">IF($A57="","",_xlfn.LET(_xlpm.sheets,CHOOSE({1,2,3,4,5},'Template Setup'!$C$4,'Template Setup'!$C$5,'Template Setup'!$C$6,'Template Setup'!$C$7,'Template Setup'!$C$8),_xlpm.nums,CHOOSE({1,2,3,4,5},$L57,$M57,$N57,$O57,$P57),_xlpm.qtys,CHOOSE({1,2,3,4,5},$G57,$H57,$I57,$J57,$K57),_xlpm.validNums,_xlfn._xlws.FILTER(_xlpm.nums,_xlpm.qtys&gt;0),_xlpm.validSheets,_xlfn._xlws.FILTER(_xlpm.sheets,_xlpm.qtys&gt;0),_xlpm.mx,IFERROR(MAX(_xlpm.validNums),0),IF(_xlpm.mx=0,"",INDEX(_xlpm.validSheets,MATCH(_xlpm.mx,_xlpm.validNums,0))&amp;" (+"&amp;$R57&amp;")")))</f>
        <v/>
      </c>
      <c r="F57" s="11" t="str">
        <f t="shared" si="2"/>
        <v/>
      </c>
      <c r="G57" s="12" t="str">
        <f ca="1">IF($A57="","",IFERROR(SUMIF(INDIRECT("'"&amp;'Template Setup'!$C$4&amp;"'!C:C"),$A57,INDIRECT("'"&amp;'Template Setup'!$C$4&amp;"'!A:A")),0))</f>
        <v/>
      </c>
      <c r="H57" s="12" t="str">
        <f ca="1">IF($A57="","",IFERROR(SUMIF(INDIRECT("'"&amp;'Template Setup'!$C$5&amp;"'!C:C"),$A57,INDIRECT("'"&amp;'Template Setup'!$C$5&amp;"'!A:A")),0))</f>
        <v/>
      </c>
      <c r="I57" s="12" t="str">
        <f ca="1">IF($A57="","",IFERROR(SUMIF(INDIRECT("'"&amp;'Template Setup'!$C$6&amp;"'!C:C"),$A57,INDIRECT("'"&amp;'Template Setup'!$C$6&amp;"'!A:A")),0))</f>
        <v/>
      </c>
      <c r="J57" s="12" t="str">
        <f ca="1">IF($A57="","",IFERROR(SUMIF(INDIRECT("'"&amp;'Template Setup'!$C$7&amp;"'!C:C"),$A57,INDIRECT("'"&amp;'Template Setup'!$C$7&amp;"'!A:A")),0))</f>
        <v/>
      </c>
      <c r="K57" s="12" t="str">
        <f ca="1">IF($A57="","",IFERROR(SUMIF(INDIRECT("'"&amp;'Template Setup'!$C$8&amp;"'!C:C"),$A57,INDIRECT("'"&amp;'Template Setup'!$C$8&amp;"'!A:A")),0))</f>
        <v/>
      </c>
      <c r="L57" s="11" t="str">
        <f>IF($A57="","",IFERROR(VALUE(MID(TRIM('Template Setup'!$C$4),FIND("-",TRIM('Template Setup'!$C$4))+1,10)),0))</f>
        <v/>
      </c>
      <c r="M57" s="11" t="str">
        <f>IF($A57="","",IFERROR(VALUE(MID(TRIM('Template Setup'!$C$5),FIND("-",TRIM('Template Setup'!$C$5))+1,10)),0))</f>
        <v/>
      </c>
      <c r="N57" s="11" t="str">
        <f>IF($A57="","",IFERROR(VALUE(MID(TRIM('Template Setup'!$C$6),FIND("-",TRIM('Template Setup'!$C$6))+1,10)),0))</f>
        <v/>
      </c>
      <c r="O57" s="11" t="str">
        <f>IF($A57="","",IFERROR(VALUE(MID(TRIM('Template Setup'!$C$7),FIND("-",TRIM('Template Setup'!$C$7))+1,10)),0))</f>
        <v/>
      </c>
      <c r="P57" s="11" t="str">
        <f>IF($A57="","",IFERROR(VALUE(MID(TRIM('Template Setup'!$C$8),FIND("-",TRIM('Template Setup'!$C$8))+1,10)),0))</f>
        <v/>
      </c>
      <c r="Q57" s="9" t="str">
        <f>IF($A57="","",$A57&amp;"-"&amp;'Template Setup'!$C$16)</f>
        <v/>
      </c>
      <c r="R57" s="24" t="str">
        <f t="shared" si="0"/>
        <v/>
      </c>
      <c r="S57" s="24"/>
      <c r="T57" s="24" t="str">
        <f t="shared" si="1"/>
        <v/>
      </c>
      <c r="U57" s="6" t="str">
        <f t="shared" si="4"/>
        <v/>
      </c>
    </row>
    <row r="58" spans="1:21">
      <c r="A58" s="13"/>
      <c r="B58" s="11"/>
      <c r="C58" s="11"/>
      <c r="D58" s="11" t="str">
        <f>IF($A58="","",_xlfn.TEXTJOIN(", ",TRUE,IF($G58&gt;0,'Template Setup'!$C$4,""),IF($H58&gt;0,'Template Setup'!$C$5,""),IF($I58&gt;0,'Template Setup'!$C$6,""),IF($J58&gt;0,'Template Setup'!$C$7,""),IF($K58&gt;0,'Template Setup'!$C$8,"")))</f>
        <v/>
      </c>
      <c r="E58" s="6" t="str" cm="1">
        <f t="array" ref="E58">IF($A58="","",_xlfn.LET(_xlpm.sheets,CHOOSE({1,2,3,4,5},'Template Setup'!$C$4,'Template Setup'!$C$5,'Template Setup'!$C$6,'Template Setup'!$C$7,'Template Setup'!$C$8),_xlpm.nums,CHOOSE({1,2,3,4,5},$L58,$M58,$N58,$O58,$P58),_xlpm.qtys,CHOOSE({1,2,3,4,5},$G58,$H58,$I58,$J58,$K58),_xlpm.validNums,_xlfn._xlws.FILTER(_xlpm.nums,_xlpm.qtys&gt;0),_xlpm.validSheets,_xlfn._xlws.FILTER(_xlpm.sheets,_xlpm.qtys&gt;0),_xlpm.mx,IFERROR(MAX(_xlpm.validNums),0),IF(_xlpm.mx=0,"",INDEX(_xlpm.validSheets,MATCH(_xlpm.mx,_xlpm.validNums,0))&amp;" (+"&amp;$R58&amp;")")))</f>
        <v/>
      </c>
      <c r="F58" s="11" t="str">
        <f t="shared" si="2"/>
        <v/>
      </c>
      <c r="G58" s="12" t="str">
        <f ca="1">IF($A58="","",IFERROR(SUMIF(INDIRECT("'"&amp;'Template Setup'!$C$4&amp;"'!C:C"),$A58,INDIRECT("'"&amp;'Template Setup'!$C$4&amp;"'!A:A")),0))</f>
        <v/>
      </c>
      <c r="H58" s="12" t="str">
        <f ca="1">IF($A58="","",IFERROR(SUMIF(INDIRECT("'"&amp;'Template Setup'!$C$5&amp;"'!C:C"),$A58,INDIRECT("'"&amp;'Template Setup'!$C$5&amp;"'!A:A")),0))</f>
        <v/>
      </c>
      <c r="I58" s="12" t="str">
        <f ca="1">IF($A58="","",IFERROR(SUMIF(INDIRECT("'"&amp;'Template Setup'!$C$6&amp;"'!C:C"),$A58,INDIRECT("'"&amp;'Template Setup'!$C$6&amp;"'!A:A")),0))</f>
        <v/>
      </c>
      <c r="J58" s="12" t="str">
        <f ca="1">IF($A58="","",IFERROR(SUMIF(INDIRECT("'"&amp;'Template Setup'!$C$7&amp;"'!C:C"),$A58,INDIRECT("'"&amp;'Template Setup'!$C$7&amp;"'!A:A")),0))</f>
        <v/>
      </c>
      <c r="K58" s="12" t="str">
        <f ca="1">IF($A58="","",IFERROR(SUMIF(INDIRECT("'"&amp;'Template Setup'!$C$8&amp;"'!C:C"),$A58,INDIRECT("'"&amp;'Template Setup'!$C$8&amp;"'!A:A")),0))</f>
        <v/>
      </c>
      <c r="L58" s="11" t="str">
        <f>IF($A58="","",IFERROR(VALUE(MID(TRIM('Template Setup'!$C$4),FIND("-",TRIM('Template Setup'!$C$4))+1,10)),0))</f>
        <v/>
      </c>
      <c r="M58" s="11" t="str">
        <f>IF($A58="","",IFERROR(VALUE(MID(TRIM('Template Setup'!$C$5),FIND("-",TRIM('Template Setup'!$C$5))+1,10)),0))</f>
        <v/>
      </c>
      <c r="N58" s="11" t="str">
        <f>IF($A58="","",IFERROR(VALUE(MID(TRIM('Template Setup'!$C$6),FIND("-",TRIM('Template Setup'!$C$6))+1,10)),0))</f>
        <v/>
      </c>
      <c r="O58" s="11" t="str">
        <f>IF($A58="","",IFERROR(VALUE(MID(TRIM('Template Setup'!$C$7),FIND("-",TRIM('Template Setup'!$C$7))+1,10)),0))</f>
        <v/>
      </c>
      <c r="P58" s="11" t="str">
        <f>IF($A58="","",IFERROR(VALUE(MID(TRIM('Template Setup'!$C$8),FIND("-",TRIM('Template Setup'!$C$8))+1,10)),0))</f>
        <v/>
      </c>
      <c r="Q58" s="9" t="str">
        <f>IF($A58="","",$A58&amp;"-"&amp;'Template Setup'!$C$16)</f>
        <v/>
      </c>
      <c r="R58" s="24" t="str">
        <f t="shared" si="0"/>
        <v/>
      </c>
      <c r="S58" s="24"/>
      <c r="T58" s="24" t="str">
        <f t="shared" si="1"/>
        <v/>
      </c>
      <c r="U58" s="6" t="str">
        <f t="shared" si="4"/>
        <v/>
      </c>
    </row>
    <row r="59" spans="1:21">
      <c r="A59" s="13"/>
      <c r="B59" s="11"/>
      <c r="C59" s="11"/>
      <c r="D59" s="11" t="str">
        <f>IF($A59="","",_xlfn.TEXTJOIN(", ",TRUE,IF($G59&gt;0,'Template Setup'!$C$4,""),IF($H59&gt;0,'Template Setup'!$C$5,""),IF($I59&gt;0,'Template Setup'!$C$6,""),IF($J59&gt;0,'Template Setup'!$C$7,""),IF($K59&gt;0,'Template Setup'!$C$8,"")))</f>
        <v/>
      </c>
      <c r="E59" s="6" t="str" cm="1">
        <f t="array" ref="E59">IF($A59="","",_xlfn.LET(_xlpm.sheets,CHOOSE({1,2,3,4,5},'Template Setup'!$C$4,'Template Setup'!$C$5,'Template Setup'!$C$6,'Template Setup'!$C$7,'Template Setup'!$C$8),_xlpm.nums,CHOOSE({1,2,3,4,5},$L59,$M59,$N59,$O59,$P59),_xlpm.qtys,CHOOSE({1,2,3,4,5},$G59,$H59,$I59,$J59,$K59),_xlpm.validNums,_xlfn._xlws.FILTER(_xlpm.nums,_xlpm.qtys&gt;0),_xlpm.validSheets,_xlfn._xlws.FILTER(_xlpm.sheets,_xlpm.qtys&gt;0),_xlpm.mx,IFERROR(MAX(_xlpm.validNums),0),IF(_xlpm.mx=0,"",INDEX(_xlpm.validSheets,MATCH(_xlpm.mx,_xlpm.validNums,0))&amp;" (+"&amp;$R59&amp;")")))</f>
        <v/>
      </c>
      <c r="F59" s="11" t="str">
        <f t="shared" si="2"/>
        <v/>
      </c>
      <c r="G59" s="12" t="str">
        <f ca="1">IF($A59="","",IFERROR(SUMIF(INDIRECT("'"&amp;'Template Setup'!$C$4&amp;"'!C:C"),$A59,INDIRECT("'"&amp;'Template Setup'!$C$4&amp;"'!A:A")),0))</f>
        <v/>
      </c>
      <c r="H59" s="12" t="str">
        <f ca="1">IF($A59="","",IFERROR(SUMIF(INDIRECT("'"&amp;'Template Setup'!$C$5&amp;"'!C:C"),$A59,INDIRECT("'"&amp;'Template Setup'!$C$5&amp;"'!A:A")),0))</f>
        <v/>
      </c>
      <c r="I59" s="12" t="str">
        <f ca="1">IF($A59="","",IFERROR(SUMIF(INDIRECT("'"&amp;'Template Setup'!$C$6&amp;"'!C:C"),$A59,INDIRECT("'"&amp;'Template Setup'!$C$6&amp;"'!A:A")),0))</f>
        <v/>
      </c>
      <c r="J59" s="12" t="str">
        <f ca="1">IF($A59="","",IFERROR(SUMIF(INDIRECT("'"&amp;'Template Setup'!$C$7&amp;"'!C:C"),$A59,INDIRECT("'"&amp;'Template Setup'!$C$7&amp;"'!A:A")),0))</f>
        <v/>
      </c>
      <c r="K59" s="12" t="str">
        <f ca="1">IF($A59="","",IFERROR(SUMIF(INDIRECT("'"&amp;'Template Setup'!$C$8&amp;"'!C:C"),$A59,INDIRECT("'"&amp;'Template Setup'!$C$8&amp;"'!A:A")),0))</f>
        <v/>
      </c>
      <c r="L59" s="11" t="str">
        <f>IF($A59="","",IFERROR(VALUE(MID(TRIM('Template Setup'!$C$4),FIND("-",TRIM('Template Setup'!$C$4))+1,10)),0))</f>
        <v/>
      </c>
      <c r="M59" s="11" t="str">
        <f>IF($A59="","",IFERROR(VALUE(MID(TRIM('Template Setup'!$C$5),FIND("-",TRIM('Template Setup'!$C$5))+1,10)),0))</f>
        <v/>
      </c>
      <c r="N59" s="11" t="str">
        <f>IF($A59="","",IFERROR(VALUE(MID(TRIM('Template Setup'!$C$6),FIND("-",TRIM('Template Setup'!$C$6))+1,10)),0))</f>
        <v/>
      </c>
      <c r="O59" s="11" t="str">
        <f>IF($A59="","",IFERROR(VALUE(MID(TRIM('Template Setup'!$C$7),FIND("-",TRIM('Template Setup'!$C$7))+1,10)),0))</f>
        <v/>
      </c>
      <c r="P59" s="11" t="str">
        <f>IF($A59="","",IFERROR(VALUE(MID(TRIM('Template Setup'!$C$8),FIND("-",TRIM('Template Setup'!$C$8))+1,10)),0))</f>
        <v/>
      </c>
      <c r="Q59" s="9" t="str">
        <f>IF($A59="","",$A59&amp;"-"&amp;'Template Setup'!$C$16)</f>
        <v/>
      </c>
      <c r="R59" s="24" t="str">
        <f t="shared" si="0"/>
        <v/>
      </c>
      <c r="S59" s="24"/>
      <c r="T59" s="24" t="str">
        <f t="shared" si="1"/>
        <v/>
      </c>
      <c r="U59" s="6" t="str">
        <f t="shared" si="4"/>
        <v/>
      </c>
    </row>
    <row r="60" spans="1:21">
      <c r="A60" s="11"/>
      <c r="B60" s="11"/>
      <c r="C60" s="11"/>
      <c r="D60" s="11" t="str">
        <f>IF($A60="","",_xlfn.TEXTJOIN(", ",TRUE,IF($G60&gt;0,'Template Setup'!$C$4,""),IF($H60&gt;0,'Template Setup'!$C$5,""),IF($I60&gt;0,'Template Setup'!$C$6,""),IF($J60&gt;0,'Template Setup'!$C$7,""),IF($K60&gt;0,'Template Setup'!$C$8,"")))</f>
        <v/>
      </c>
      <c r="E60" s="6" t="str" cm="1">
        <f t="array" ref="E60">IF($A60="","",_xlfn.LET(_xlpm.sheets,CHOOSE({1,2,3,4,5},'Template Setup'!$C$4,'Template Setup'!$C$5,'Template Setup'!$C$6,'Template Setup'!$C$7,'Template Setup'!$C$8),_xlpm.nums,CHOOSE({1,2,3,4,5},$L60,$M60,$N60,$O60,$P60),_xlpm.qtys,CHOOSE({1,2,3,4,5},$G60,$H60,$I60,$J60,$K60),_xlpm.validNums,_xlfn._xlws.FILTER(_xlpm.nums,_xlpm.qtys&gt;0),_xlpm.validSheets,_xlfn._xlws.FILTER(_xlpm.sheets,_xlpm.qtys&gt;0),_xlpm.mx,IFERROR(MAX(_xlpm.validNums),0),IF(_xlpm.mx=0,"",INDEX(_xlpm.validSheets,MATCH(_xlpm.mx,_xlpm.validNums,0))&amp;" (+"&amp;$R60&amp;")")))</f>
        <v/>
      </c>
      <c r="F60" s="11" t="str">
        <f t="shared" si="2"/>
        <v/>
      </c>
      <c r="G60" s="12" t="str">
        <f ca="1">IF($A60="","",IFERROR(SUMIF(INDIRECT("'"&amp;'Template Setup'!$C$4&amp;"'!C:C"),$A60,INDIRECT("'"&amp;'Template Setup'!$C$4&amp;"'!A:A")),0))</f>
        <v/>
      </c>
      <c r="H60" s="12" t="str">
        <f ca="1">IF($A60="","",IFERROR(SUMIF(INDIRECT("'"&amp;'Template Setup'!$C$5&amp;"'!C:C"),$A60,INDIRECT("'"&amp;'Template Setup'!$C$5&amp;"'!A:A")),0))</f>
        <v/>
      </c>
      <c r="I60" s="12" t="str">
        <f ca="1">IF($A60="","",IFERROR(SUMIF(INDIRECT("'"&amp;'Template Setup'!$C$6&amp;"'!C:C"),$A60,INDIRECT("'"&amp;'Template Setup'!$C$6&amp;"'!A:A")),0))</f>
        <v/>
      </c>
      <c r="J60" s="12" t="str">
        <f ca="1">IF($A60="","",IFERROR(SUMIF(INDIRECT("'"&amp;'Template Setup'!$C$7&amp;"'!C:C"),$A60,INDIRECT("'"&amp;'Template Setup'!$C$7&amp;"'!A:A")),0))</f>
        <v/>
      </c>
      <c r="K60" s="12" t="str">
        <f ca="1">IF($A60="","",IFERROR(SUMIF(INDIRECT("'"&amp;'Template Setup'!$C$8&amp;"'!C:C"),$A60,INDIRECT("'"&amp;'Template Setup'!$C$8&amp;"'!A:A")),0))</f>
        <v/>
      </c>
      <c r="L60" s="11" t="str">
        <f>IF($A60="","",IFERROR(VALUE(MID(TRIM('Template Setup'!$C$4),FIND("-",TRIM('Template Setup'!$C$4))+1,10)),0))</f>
        <v/>
      </c>
      <c r="M60" s="11" t="str">
        <f>IF($A60="","",IFERROR(VALUE(MID(TRIM('Template Setup'!$C$5),FIND("-",TRIM('Template Setup'!$C$5))+1,10)),0))</f>
        <v/>
      </c>
      <c r="N60" s="11" t="str">
        <f>IF($A60="","",IFERROR(VALUE(MID(TRIM('Template Setup'!$C$6),FIND("-",TRIM('Template Setup'!$C$6))+1,10)),0))</f>
        <v/>
      </c>
      <c r="O60" s="11" t="str">
        <f>IF($A60="","",IFERROR(VALUE(MID(TRIM('Template Setup'!$C$7),FIND("-",TRIM('Template Setup'!$C$7))+1,10)),0))</f>
        <v/>
      </c>
      <c r="P60" s="11" t="str">
        <f>IF($A60="","",IFERROR(VALUE(MID(TRIM('Template Setup'!$C$8),FIND("-",TRIM('Template Setup'!$C$8))+1,10)),0))</f>
        <v/>
      </c>
      <c r="Q60" s="9" t="str">
        <f>IF($A60="","",$A60&amp;"-"&amp;'Template Setup'!$C$16)</f>
        <v/>
      </c>
      <c r="R60" s="24" t="str">
        <f t="shared" si="0"/>
        <v/>
      </c>
      <c r="S60" s="24"/>
      <c r="T60" s="24" t="str">
        <f t="shared" si="1"/>
        <v/>
      </c>
      <c r="U60" s="6" t="str">
        <f t="shared" si="4"/>
        <v/>
      </c>
    </row>
    <row r="61" spans="1:21">
      <c r="A61" s="11"/>
      <c r="B61" s="11"/>
      <c r="C61" s="11"/>
      <c r="D61" s="11" t="str">
        <f>IF($A61="","",_xlfn.TEXTJOIN(", ",TRUE,IF($G61&gt;0,'Template Setup'!$C$4,""),IF($H61&gt;0,'Template Setup'!$C$5,""),IF($I61&gt;0,'Template Setup'!$C$6,""),IF($J61&gt;0,'Template Setup'!$C$7,""),IF($K61&gt;0,'Template Setup'!$C$8,"")))</f>
        <v/>
      </c>
      <c r="E61" s="6" t="str" cm="1">
        <f t="array" ref="E61">IF($A61="","",_xlfn.LET(_xlpm.sheets,CHOOSE({1,2,3,4,5},'Template Setup'!$C$4,'Template Setup'!$C$5,'Template Setup'!$C$6,'Template Setup'!$C$7,'Template Setup'!$C$8),_xlpm.nums,CHOOSE({1,2,3,4,5},$L61,$M61,$N61,$O61,$P61),_xlpm.qtys,CHOOSE({1,2,3,4,5},$G61,$H61,$I61,$J61,$K61),_xlpm.validNums,_xlfn._xlws.FILTER(_xlpm.nums,_xlpm.qtys&gt;0),_xlpm.validSheets,_xlfn._xlws.FILTER(_xlpm.sheets,_xlpm.qtys&gt;0),_xlpm.mx,IFERROR(MAX(_xlpm.validNums),0),IF(_xlpm.mx=0,"",INDEX(_xlpm.validSheets,MATCH(_xlpm.mx,_xlpm.validNums,0))&amp;" (+"&amp;$R61&amp;")")))</f>
        <v/>
      </c>
      <c r="F61" s="11" t="str">
        <f t="shared" si="2"/>
        <v/>
      </c>
      <c r="G61" s="12" t="str">
        <f ca="1">IF($A61="","",IFERROR(SUMIF(INDIRECT("'"&amp;'Template Setup'!$C$4&amp;"'!C:C"),$A61,INDIRECT("'"&amp;'Template Setup'!$C$4&amp;"'!A:A")),0))</f>
        <v/>
      </c>
      <c r="H61" s="12" t="str">
        <f ca="1">IF($A61="","",IFERROR(SUMIF(INDIRECT("'"&amp;'Template Setup'!$C$5&amp;"'!C:C"),$A61,INDIRECT("'"&amp;'Template Setup'!$C$5&amp;"'!A:A")),0))</f>
        <v/>
      </c>
      <c r="I61" s="12" t="str">
        <f ca="1">IF($A61="","",IFERROR(SUMIF(INDIRECT("'"&amp;'Template Setup'!$C$6&amp;"'!C:C"),$A61,INDIRECT("'"&amp;'Template Setup'!$C$6&amp;"'!A:A")),0))</f>
        <v/>
      </c>
      <c r="J61" s="12" t="str">
        <f ca="1">IF($A61="","",IFERROR(SUMIF(INDIRECT("'"&amp;'Template Setup'!$C$7&amp;"'!C:C"),$A61,INDIRECT("'"&amp;'Template Setup'!$C$7&amp;"'!A:A")),0))</f>
        <v/>
      </c>
      <c r="K61" s="12" t="str">
        <f ca="1">IF($A61="","",IFERROR(SUMIF(INDIRECT("'"&amp;'Template Setup'!$C$8&amp;"'!C:C"),$A61,INDIRECT("'"&amp;'Template Setup'!$C$8&amp;"'!A:A")),0))</f>
        <v/>
      </c>
      <c r="L61" s="11" t="str">
        <f>IF($A61="","",IFERROR(VALUE(MID(TRIM('Template Setup'!$C$4),FIND("-",TRIM('Template Setup'!$C$4))+1,10)),0))</f>
        <v/>
      </c>
      <c r="M61" s="11" t="str">
        <f>IF($A61="","",IFERROR(VALUE(MID(TRIM('Template Setup'!$C$5),FIND("-",TRIM('Template Setup'!$C$5))+1,10)),0))</f>
        <v/>
      </c>
      <c r="N61" s="11" t="str">
        <f>IF($A61="","",IFERROR(VALUE(MID(TRIM('Template Setup'!$C$6),FIND("-",TRIM('Template Setup'!$C$6))+1,10)),0))</f>
        <v/>
      </c>
      <c r="O61" s="11" t="str">
        <f>IF($A61="","",IFERROR(VALUE(MID(TRIM('Template Setup'!$C$7),FIND("-",TRIM('Template Setup'!$C$7))+1,10)),0))</f>
        <v/>
      </c>
      <c r="P61" s="11" t="str">
        <f>IF($A61="","",IFERROR(VALUE(MID(TRIM('Template Setup'!$C$8),FIND("-",TRIM('Template Setup'!$C$8))+1,10)),0))</f>
        <v/>
      </c>
      <c r="Q61" s="9" t="str">
        <f>IF($A61="","",$A61&amp;"-"&amp;'Template Setup'!$C$16)</f>
        <v/>
      </c>
      <c r="R61" s="24" t="str">
        <f t="shared" si="0"/>
        <v/>
      </c>
      <c r="S61" s="24"/>
      <c r="T61" s="24" t="str">
        <f t="shared" si="1"/>
        <v/>
      </c>
      <c r="U61" s="6" t="str">
        <f t="shared" si="4"/>
        <v/>
      </c>
    </row>
    <row r="62" spans="1:21">
      <c r="A62" s="11"/>
      <c r="B62" s="11"/>
      <c r="C62" s="11"/>
      <c r="D62" s="11" t="str">
        <f>IF($A62="","",_xlfn.TEXTJOIN(", ",TRUE,IF($G62&gt;0,'Template Setup'!$C$4,""),IF($H62&gt;0,'Template Setup'!$C$5,""),IF($I62&gt;0,'Template Setup'!$C$6,""),IF($J62&gt;0,'Template Setup'!$C$7,""),IF($K62&gt;0,'Template Setup'!$C$8,"")))</f>
        <v/>
      </c>
      <c r="E62" s="6" t="str" cm="1">
        <f t="array" ref="E62">IF($A62="","",_xlfn.LET(_xlpm.sheets,CHOOSE({1,2,3,4,5},'Template Setup'!$C$4,'Template Setup'!$C$5,'Template Setup'!$C$6,'Template Setup'!$C$7,'Template Setup'!$C$8),_xlpm.nums,CHOOSE({1,2,3,4,5},$L62,$M62,$N62,$O62,$P62),_xlpm.qtys,CHOOSE({1,2,3,4,5},$G62,$H62,$I62,$J62,$K62),_xlpm.validNums,_xlfn._xlws.FILTER(_xlpm.nums,_xlpm.qtys&gt;0),_xlpm.validSheets,_xlfn._xlws.FILTER(_xlpm.sheets,_xlpm.qtys&gt;0),_xlpm.mx,IFERROR(MAX(_xlpm.validNums),0),IF(_xlpm.mx=0,"",INDEX(_xlpm.validSheets,MATCH(_xlpm.mx,_xlpm.validNums,0))&amp;" (+"&amp;$R62&amp;")")))</f>
        <v/>
      </c>
      <c r="F62" s="11" t="str">
        <f t="shared" si="2"/>
        <v/>
      </c>
      <c r="G62" s="12" t="str">
        <f ca="1">IF($A62="","",IFERROR(SUMIF(INDIRECT("'"&amp;'Template Setup'!$C$4&amp;"'!C:C"),$A62,INDIRECT("'"&amp;'Template Setup'!$C$4&amp;"'!A:A")),0))</f>
        <v/>
      </c>
      <c r="H62" s="12" t="str">
        <f ca="1">IF($A62="","",IFERROR(SUMIF(INDIRECT("'"&amp;'Template Setup'!$C$5&amp;"'!C:C"),$A62,INDIRECT("'"&amp;'Template Setup'!$C$5&amp;"'!A:A")),0))</f>
        <v/>
      </c>
      <c r="I62" s="12" t="str">
        <f ca="1">IF($A62="","",IFERROR(SUMIF(INDIRECT("'"&amp;'Template Setup'!$C$6&amp;"'!C:C"),$A62,INDIRECT("'"&amp;'Template Setup'!$C$6&amp;"'!A:A")),0))</f>
        <v/>
      </c>
      <c r="J62" s="12" t="str">
        <f ca="1">IF($A62="","",IFERROR(SUMIF(INDIRECT("'"&amp;'Template Setup'!$C$7&amp;"'!C:C"),$A62,INDIRECT("'"&amp;'Template Setup'!$C$7&amp;"'!A:A")),0))</f>
        <v/>
      </c>
      <c r="K62" s="12" t="str">
        <f ca="1">IF($A62="","",IFERROR(SUMIF(INDIRECT("'"&amp;'Template Setup'!$C$8&amp;"'!C:C"),$A62,INDIRECT("'"&amp;'Template Setup'!$C$8&amp;"'!A:A")),0))</f>
        <v/>
      </c>
      <c r="L62" s="11" t="str">
        <f>IF($A62="","",IFERROR(VALUE(MID(TRIM('Template Setup'!$C$4),FIND("-",TRIM('Template Setup'!$C$4))+1,10)),0))</f>
        <v/>
      </c>
      <c r="M62" s="11" t="str">
        <f>IF($A62="","",IFERROR(VALUE(MID(TRIM('Template Setup'!$C$5),FIND("-",TRIM('Template Setup'!$C$5))+1,10)),0))</f>
        <v/>
      </c>
      <c r="N62" s="11" t="str">
        <f>IF($A62="","",IFERROR(VALUE(MID(TRIM('Template Setup'!$C$6),FIND("-",TRIM('Template Setup'!$C$6))+1,10)),0))</f>
        <v/>
      </c>
      <c r="O62" s="11" t="str">
        <f>IF($A62="","",IFERROR(VALUE(MID(TRIM('Template Setup'!$C$7),FIND("-",TRIM('Template Setup'!$C$7))+1,10)),0))</f>
        <v/>
      </c>
      <c r="P62" s="11" t="str">
        <f>IF($A62="","",IFERROR(VALUE(MID(TRIM('Template Setup'!$C$8),FIND("-",TRIM('Template Setup'!$C$8))+1,10)),0))</f>
        <v/>
      </c>
      <c r="Q62" s="9" t="str">
        <f>IF($A62="","",$A62&amp;"-"&amp;'Template Setup'!$C$16)</f>
        <v/>
      </c>
      <c r="R62" s="24" t="str">
        <f t="shared" si="0"/>
        <v/>
      </c>
      <c r="S62" s="24"/>
      <c r="T62" s="24" t="str">
        <f t="shared" si="1"/>
        <v/>
      </c>
      <c r="U62" s="6" t="str">
        <f t="shared" si="4"/>
        <v/>
      </c>
    </row>
    <row r="63" spans="1:21">
      <c r="A63" s="11"/>
      <c r="B63" s="11"/>
      <c r="C63" s="11"/>
      <c r="D63" s="11" t="str">
        <f>IF($A63="","",_xlfn.TEXTJOIN(", ",TRUE,IF($G63&gt;0,'Template Setup'!$C$4,""),IF($H63&gt;0,'Template Setup'!$C$5,""),IF($I63&gt;0,'Template Setup'!$C$6,""),IF($J63&gt;0,'Template Setup'!$C$7,""),IF($K63&gt;0,'Template Setup'!$C$8,"")))</f>
        <v/>
      </c>
      <c r="E63" s="6" t="str" cm="1">
        <f t="array" ref="E63">IF($A63="","",_xlfn.LET(_xlpm.sheets,CHOOSE({1,2,3,4,5},'Template Setup'!$C$4,'Template Setup'!$C$5,'Template Setup'!$C$6,'Template Setup'!$C$7,'Template Setup'!$C$8),_xlpm.nums,CHOOSE({1,2,3,4,5},$L63,$M63,$N63,$O63,$P63),_xlpm.qtys,CHOOSE({1,2,3,4,5},$G63,$H63,$I63,$J63,$K63),_xlpm.validNums,_xlfn._xlws.FILTER(_xlpm.nums,_xlpm.qtys&gt;0),_xlpm.validSheets,_xlfn._xlws.FILTER(_xlpm.sheets,_xlpm.qtys&gt;0),_xlpm.mx,IFERROR(MAX(_xlpm.validNums),0),IF(_xlpm.mx=0,"",INDEX(_xlpm.validSheets,MATCH(_xlpm.mx,_xlpm.validNums,0))&amp;" (+"&amp;$R63&amp;")")))</f>
        <v/>
      </c>
      <c r="F63" s="11" t="str">
        <f t="shared" si="2"/>
        <v/>
      </c>
      <c r="G63" s="12" t="str">
        <f ca="1">IF($A63="","",IFERROR(SUMIF(INDIRECT("'"&amp;'Template Setup'!$C$4&amp;"'!C:C"),$A63,INDIRECT("'"&amp;'Template Setup'!$C$4&amp;"'!A:A")),0))</f>
        <v/>
      </c>
      <c r="H63" s="12" t="str">
        <f ca="1">IF($A63="","",IFERROR(SUMIF(INDIRECT("'"&amp;'Template Setup'!$C$5&amp;"'!C:C"),$A63,INDIRECT("'"&amp;'Template Setup'!$C$5&amp;"'!A:A")),0))</f>
        <v/>
      </c>
      <c r="I63" s="12" t="str">
        <f ca="1">IF($A63="","",IFERROR(SUMIF(INDIRECT("'"&amp;'Template Setup'!$C$6&amp;"'!C:C"),$A63,INDIRECT("'"&amp;'Template Setup'!$C$6&amp;"'!A:A")),0))</f>
        <v/>
      </c>
      <c r="J63" s="12" t="str">
        <f ca="1">IF($A63="","",IFERROR(SUMIF(INDIRECT("'"&amp;'Template Setup'!$C$7&amp;"'!C:C"),$A63,INDIRECT("'"&amp;'Template Setup'!$C$7&amp;"'!A:A")),0))</f>
        <v/>
      </c>
      <c r="K63" s="12" t="str">
        <f ca="1">IF($A63="","",IFERROR(SUMIF(INDIRECT("'"&amp;'Template Setup'!$C$8&amp;"'!C:C"),$A63,INDIRECT("'"&amp;'Template Setup'!$C$8&amp;"'!A:A")),0))</f>
        <v/>
      </c>
      <c r="L63" s="11" t="str">
        <f>IF($A63="","",IFERROR(VALUE(MID(TRIM('Template Setup'!$C$4),FIND("-",TRIM('Template Setup'!$C$4))+1,10)),0))</f>
        <v/>
      </c>
      <c r="M63" s="11" t="str">
        <f>IF($A63="","",IFERROR(VALUE(MID(TRIM('Template Setup'!$C$5),FIND("-",TRIM('Template Setup'!$C$5))+1,10)),0))</f>
        <v/>
      </c>
      <c r="N63" s="11" t="str">
        <f>IF($A63="","",IFERROR(VALUE(MID(TRIM('Template Setup'!$C$6),FIND("-",TRIM('Template Setup'!$C$6))+1,10)),0))</f>
        <v/>
      </c>
      <c r="O63" s="11" t="str">
        <f>IF($A63="","",IFERROR(VALUE(MID(TRIM('Template Setup'!$C$7),FIND("-",TRIM('Template Setup'!$C$7))+1,10)),0))</f>
        <v/>
      </c>
      <c r="P63" s="11" t="str">
        <f>IF($A63="","",IFERROR(VALUE(MID(TRIM('Template Setup'!$C$8),FIND("-",TRIM('Template Setup'!$C$8))+1,10)),0))</f>
        <v/>
      </c>
      <c r="Q63" s="9" t="str">
        <f>IF($A63="","",$A63&amp;"-"&amp;'Template Setup'!$C$16)</f>
        <v/>
      </c>
      <c r="R63" s="24" t="str">
        <f t="shared" si="0"/>
        <v/>
      </c>
      <c r="S63" s="24"/>
      <c r="T63" s="24" t="str">
        <f t="shared" si="1"/>
        <v/>
      </c>
      <c r="U63" s="6" t="str">
        <f t="shared" si="4"/>
        <v/>
      </c>
    </row>
    <row r="64" spans="1:21">
      <c r="A64" s="11"/>
      <c r="B64" s="11"/>
      <c r="C64" s="11"/>
      <c r="D64" s="11" t="str">
        <f>IF($A64="","",_xlfn.TEXTJOIN(", ",TRUE,IF($G64&gt;0,'Template Setup'!$C$4,""),IF($H64&gt;0,'Template Setup'!$C$5,""),IF($I64&gt;0,'Template Setup'!$C$6,""),IF($J64&gt;0,'Template Setup'!$C$7,""),IF($K64&gt;0,'Template Setup'!$C$8,"")))</f>
        <v/>
      </c>
      <c r="E64" s="6" t="str" cm="1">
        <f t="array" ref="E64">IF($A64="","",_xlfn.LET(_xlpm.sheets,CHOOSE({1,2,3,4,5},'Template Setup'!$C$4,'Template Setup'!$C$5,'Template Setup'!$C$6,'Template Setup'!$C$7,'Template Setup'!$C$8),_xlpm.nums,CHOOSE({1,2,3,4,5},$L64,$M64,$N64,$O64,$P64),_xlpm.qtys,CHOOSE({1,2,3,4,5},$G64,$H64,$I64,$J64,$K64),_xlpm.validNums,_xlfn._xlws.FILTER(_xlpm.nums,_xlpm.qtys&gt;0),_xlpm.validSheets,_xlfn._xlws.FILTER(_xlpm.sheets,_xlpm.qtys&gt;0),_xlpm.mx,IFERROR(MAX(_xlpm.validNums),0),IF(_xlpm.mx=0,"",INDEX(_xlpm.validSheets,MATCH(_xlpm.mx,_xlpm.validNums,0))&amp;" (+"&amp;$R64&amp;")")))</f>
        <v/>
      </c>
      <c r="F64" s="11" t="str">
        <f t="shared" si="2"/>
        <v/>
      </c>
      <c r="G64" s="12" t="str">
        <f ca="1">IF($A64="","",IFERROR(SUMIF(INDIRECT("'"&amp;'Template Setup'!$C$4&amp;"'!C:C"),$A64,INDIRECT("'"&amp;'Template Setup'!$C$4&amp;"'!A:A")),0))</f>
        <v/>
      </c>
      <c r="H64" s="12" t="str">
        <f ca="1">IF($A64="","",IFERROR(SUMIF(INDIRECT("'"&amp;'Template Setup'!$C$5&amp;"'!C:C"),$A64,INDIRECT("'"&amp;'Template Setup'!$C$5&amp;"'!A:A")),0))</f>
        <v/>
      </c>
      <c r="I64" s="12" t="str">
        <f ca="1">IF($A64="","",IFERROR(SUMIF(INDIRECT("'"&amp;'Template Setup'!$C$6&amp;"'!C:C"),$A64,INDIRECT("'"&amp;'Template Setup'!$C$6&amp;"'!A:A")),0))</f>
        <v/>
      </c>
      <c r="J64" s="12" t="str">
        <f ca="1">IF($A64="","",IFERROR(SUMIF(INDIRECT("'"&amp;'Template Setup'!$C$7&amp;"'!C:C"),$A64,INDIRECT("'"&amp;'Template Setup'!$C$7&amp;"'!A:A")),0))</f>
        <v/>
      </c>
      <c r="K64" s="12" t="str">
        <f ca="1">IF($A64="","",IFERROR(SUMIF(INDIRECT("'"&amp;'Template Setup'!$C$8&amp;"'!C:C"),$A64,INDIRECT("'"&amp;'Template Setup'!$C$8&amp;"'!A:A")),0))</f>
        <v/>
      </c>
      <c r="L64" s="11" t="str">
        <f>IF($A64="","",IFERROR(VALUE(MID(TRIM('Template Setup'!$C$4),FIND("-",TRIM('Template Setup'!$C$4))+1,10)),0))</f>
        <v/>
      </c>
      <c r="M64" s="11" t="str">
        <f>IF($A64="","",IFERROR(VALUE(MID(TRIM('Template Setup'!$C$5),FIND("-",TRIM('Template Setup'!$C$5))+1,10)),0))</f>
        <v/>
      </c>
      <c r="N64" s="11" t="str">
        <f>IF($A64="","",IFERROR(VALUE(MID(TRIM('Template Setup'!$C$6),FIND("-",TRIM('Template Setup'!$C$6))+1,10)),0))</f>
        <v/>
      </c>
      <c r="O64" s="11" t="str">
        <f>IF($A64="","",IFERROR(VALUE(MID(TRIM('Template Setup'!$C$7),FIND("-",TRIM('Template Setup'!$C$7))+1,10)),0))</f>
        <v/>
      </c>
      <c r="P64" s="11" t="str">
        <f>IF($A64="","",IFERROR(VALUE(MID(TRIM('Template Setup'!$C$8),FIND("-",TRIM('Template Setup'!$C$8))+1,10)),0))</f>
        <v/>
      </c>
      <c r="Q64" s="9" t="str">
        <f>IF($A64="","",$A64&amp;"-"&amp;'Template Setup'!$C$16)</f>
        <v/>
      </c>
      <c r="R64" s="24" t="str">
        <f t="shared" si="0"/>
        <v/>
      </c>
      <c r="S64" s="24"/>
      <c r="T64" s="24" t="str">
        <f t="shared" si="1"/>
        <v/>
      </c>
      <c r="U64" s="6" t="str">
        <f t="shared" si="4"/>
        <v/>
      </c>
    </row>
    <row r="65" spans="1:21">
      <c r="A65" s="11"/>
      <c r="B65" s="11"/>
      <c r="C65" s="11"/>
      <c r="D65" s="11" t="str">
        <f>IF($A65="","",_xlfn.TEXTJOIN(", ",TRUE,IF($G65&gt;0,'Template Setup'!$C$4,""),IF($H65&gt;0,'Template Setup'!$C$5,""),IF($I65&gt;0,'Template Setup'!$C$6,""),IF($J65&gt;0,'Template Setup'!$C$7,""),IF($K65&gt;0,'Template Setup'!$C$8,"")))</f>
        <v/>
      </c>
      <c r="E65" s="6" t="str" cm="1">
        <f t="array" ref="E65">IF($A65="","",_xlfn.LET(_xlpm.sheets,CHOOSE({1,2,3,4,5},'Template Setup'!$C$4,'Template Setup'!$C$5,'Template Setup'!$C$6,'Template Setup'!$C$7,'Template Setup'!$C$8),_xlpm.nums,CHOOSE({1,2,3,4,5},$L65,$M65,$N65,$O65,$P65),_xlpm.qtys,CHOOSE({1,2,3,4,5},$G65,$H65,$I65,$J65,$K65),_xlpm.validNums,_xlfn._xlws.FILTER(_xlpm.nums,_xlpm.qtys&gt;0),_xlpm.validSheets,_xlfn._xlws.FILTER(_xlpm.sheets,_xlpm.qtys&gt;0),_xlpm.mx,IFERROR(MAX(_xlpm.validNums),0),IF(_xlpm.mx=0,"",INDEX(_xlpm.validSheets,MATCH(_xlpm.mx,_xlpm.validNums,0))&amp;" (+"&amp;$R65&amp;")")))</f>
        <v/>
      </c>
      <c r="F65" s="11" t="str">
        <f t="shared" si="2"/>
        <v/>
      </c>
      <c r="G65" s="12" t="str">
        <f ca="1">IF($A65="","",IFERROR(SUMIF(INDIRECT("'"&amp;'Template Setup'!$C$4&amp;"'!C:C"),$A65,INDIRECT("'"&amp;'Template Setup'!$C$4&amp;"'!A:A")),0))</f>
        <v/>
      </c>
      <c r="H65" s="12" t="str">
        <f ca="1">IF($A65="","",IFERROR(SUMIF(INDIRECT("'"&amp;'Template Setup'!$C$5&amp;"'!C:C"),$A65,INDIRECT("'"&amp;'Template Setup'!$C$5&amp;"'!A:A")),0))</f>
        <v/>
      </c>
      <c r="I65" s="12" t="str">
        <f ca="1">IF($A65="","",IFERROR(SUMIF(INDIRECT("'"&amp;'Template Setup'!$C$6&amp;"'!C:C"),$A65,INDIRECT("'"&amp;'Template Setup'!$C$6&amp;"'!A:A")),0))</f>
        <v/>
      </c>
      <c r="J65" s="12" t="str">
        <f ca="1">IF($A65="","",IFERROR(SUMIF(INDIRECT("'"&amp;'Template Setup'!$C$7&amp;"'!C:C"),$A65,INDIRECT("'"&amp;'Template Setup'!$C$7&amp;"'!A:A")),0))</f>
        <v/>
      </c>
      <c r="K65" s="12" t="str">
        <f ca="1">IF($A65="","",IFERROR(SUMIF(INDIRECT("'"&amp;'Template Setup'!$C$8&amp;"'!C:C"),$A65,INDIRECT("'"&amp;'Template Setup'!$C$8&amp;"'!A:A")),0))</f>
        <v/>
      </c>
      <c r="L65" s="11" t="str">
        <f>IF($A65="","",IFERROR(VALUE(MID(TRIM('Template Setup'!$C$4),FIND("-",TRIM('Template Setup'!$C$4))+1,10)),0))</f>
        <v/>
      </c>
      <c r="M65" s="11" t="str">
        <f>IF($A65="","",IFERROR(VALUE(MID(TRIM('Template Setup'!$C$5),FIND("-",TRIM('Template Setup'!$C$5))+1,10)),0))</f>
        <v/>
      </c>
      <c r="N65" s="11" t="str">
        <f>IF($A65="","",IFERROR(VALUE(MID(TRIM('Template Setup'!$C$6),FIND("-",TRIM('Template Setup'!$C$6))+1,10)),0))</f>
        <v/>
      </c>
      <c r="O65" s="11" t="str">
        <f>IF($A65="","",IFERROR(VALUE(MID(TRIM('Template Setup'!$C$7),FIND("-",TRIM('Template Setup'!$C$7))+1,10)),0))</f>
        <v/>
      </c>
      <c r="P65" s="11" t="str">
        <f>IF($A65="","",IFERROR(VALUE(MID(TRIM('Template Setup'!$C$8),FIND("-",TRIM('Template Setup'!$C$8))+1,10)),0))</f>
        <v/>
      </c>
      <c r="Q65" s="9" t="str">
        <f>IF($A65="","",$A65&amp;"-"&amp;'Template Setup'!$C$16)</f>
        <v/>
      </c>
      <c r="R65" s="24" t="str">
        <f t="shared" si="0"/>
        <v/>
      </c>
      <c r="S65" s="24"/>
      <c r="T65" s="24" t="str">
        <f t="shared" si="1"/>
        <v/>
      </c>
      <c r="U65" s="6" t="str">
        <f t="shared" si="4"/>
        <v/>
      </c>
    </row>
    <row r="66" spans="1:21">
      <c r="A66" s="11"/>
      <c r="B66" s="11"/>
      <c r="C66" s="11"/>
      <c r="D66" s="11" t="str">
        <f>IF($A66="","",_xlfn.TEXTJOIN(", ",TRUE,IF($G66&gt;0,'Template Setup'!$C$4,""),IF($H66&gt;0,'Template Setup'!$C$5,""),IF($I66&gt;0,'Template Setup'!$C$6,""),IF($J66&gt;0,'Template Setup'!$C$7,""),IF($K66&gt;0,'Template Setup'!$C$8,"")))</f>
        <v/>
      </c>
      <c r="E66" s="6" t="str" cm="1">
        <f t="array" ref="E66">IF($A66="","",_xlfn.LET(_xlpm.sheets,CHOOSE({1,2,3,4,5},'Template Setup'!$C$4,'Template Setup'!$C$5,'Template Setup'!$C$6,'Template Setup'!$C$7,'Template Setup'!$C$8),_xlpm.nums,CHOOSE({1,2,3,4,5},$L66,$M66,$N66,$O66,$P66),_xlpm.qtys,CHOOSE({1,2,3,4,5},$G66,$H66,$I66,$J66,$K66),_xlpm.validNums,_xlfn._xlws.FILTER(_xlpm.nums,_xlpm.qtys&gt;0),_xlpm.validSheets,_xlfn._xlws.FILTER(_xlpm.sheets,_xlpm.qtys&gt;0),_xlpm.mx,IFERROR(MAX(_xlpm.validNums),0),IF(_xlpm.mx=0,"",INDEX(_xlpm.validSheets,MATCH(_xlpm.mx,_xlpm.validNums,0))&amp;" (+"&amp;$R66&amp;")")))</f>
        <v/>
      </c>
      <c r="F66" s="11" t="str">
        <f t="shared" si="2"/>
        <v/>
      </c>
      <c r="G66" s="12" t="str">
        <f ca="1">IF($A66="","",IFERROR(SUMIF(INDIRECT("'"&amp;'Template Setup'!$C$4&amp;"'!C:C"),$A66,INDIRECT("'"&amp;'Template Setup'!$C$4&amp;"'!A:A")),0))</f>
        <v/>
      </c>
      <c r="H66" s="12" t="str">
        <f ca="1">IF($A66="","",IFERROR(SUMIF(INDIRECT("'"&amp;'Template Setup'!$C$5&amp;"'!C:C"),$A66,INDIRECT("'"&amp;'Template Setup'!$C$5&amp;"'!A:A")),0))</f>
        <v/>
      </c>
      <c r="I66" s="12" t="str">
        <f ca="1">IF($A66="","",IFERROR(SUMIF(INDIRECT("'"&amp;'Template Setup'!$C$6&amp;"'!C:C"),$A66,INDIRECT("'"&amp;'Template Setup'!$C$6&amp;"'!A:A")),0))</f>
        <v/>
      </c>
      <c r="J66" s="12" t="str">
        <f ca="1">IF($A66="","",IFERROR(SUMIF(INDIRECT("'"&amp;'Template Setup'!$C$7&amp;"'!C:C"),$A66,INDIRECT("'"&amp;'Template Setup'!$C$7&amp;"'!A:A")),0))</f>
        <v/>
      </c>
      <c r="K66" s="12" t="str">
        <f ca="1">IF($A66="","",IFERROR(SUMIF(INDIRECT("'"&amp;'Template Setup'!$C$8&amp;"'!C:C"),$A66,INDIRECT("'"&amp;'Template Setup'!$C$8&amp;"'!A:A")),0))</f>
        <v/>
      </c>
      <c r="L66" s="11" t="str">
        <f>IF($A66="","",IFERROR(VALUE(MID(TRIM('Template Setup'!$C$4),FIND("-",TRIM('Template Setup'!$C$4))+1,10)),0))</f>
        <v/>
      </c>
      <c r="M66" s="11" t="str">
        <f>IF($A66="","",IFERROR(VALUE(MID(TRIM('Template Setup'!$C$5),FIND("-",TRIM('Template Setup'!$C$5))+1,10)),0))</f>
        <v/>
      </c>
      <c r="N66" s="11" t="str">
        <f>IF($A66="","",IFERROR(VALUE(MID(TRIM('Template Setup'!$C$6),FIND("-",TRIM('Template Setup'!$C$6))+1,10)),0))</f>
        <v/>
      </c>
      <c r="O66" s="11" t="str">
        <f>IF($A66="","",IFERROR(VALUE(MID(TRIM('Template Setup'!$C$7),FIND("-",TRIM('Template Setup'!$C$7))+1,10)),0))</f>
        <v/>
      </c>
      <c r="P66" s="11" t="str">
        <f>IF($A66="","",IFERROR(VALUE(MID(TRIM('Template Setup'!$C$8),FIND("-",TRIM('Template Setup'!$C$8))+1,10)),0))</f>
        <v/>
      </c>
      <c r="Q66" s="9" t="str">
        <f>IF($A66="","",$A66&amp;"-"&amp;'Template Setup'!$C$16)</f>
        <v/>
      </c>
      <c r="R66" s="24" t="str">
        <f t="shared" ref="R66:R129" si="5">IF($A66="","",SUM($G66:$K66))</f>
        <v/>
      </c>
      <c r="S66" s="24"/>
      <c r="T66" s="24" t="str">
        <f t="shared" ref="T66:T129" si="6">IF($A66="","",IF(ISBLANK(S66),"",N(R66)+S66))</f>
        <v/>
      </c>
      <c r="U66" s="6" t="str">
        <f t="shared" si="4"/>
        <v/>
      </c>
    </row>
    <row r="67" spans="1:21">
      <c r="A67" s="11"/>
      <c r="B67" s="11"/>
      <c r="C67" s="11"/>
      <c r="D67" s="11" t="str">
        <f>IF($A67="","",_xlfn.TEXTJOIN(", ",TRUE,IF($G67&gt;0,'Template Setup'!$C$4,""),IF($H67&gt;0,'Template Setup'!$C$5,""),IF($I67&gt;0,'Template Setup'!$C$6,""),IF($J67&gt;0,'Template Setup'!$C$7,""),IF($K67&gt;0,'Template Setup'!$C$8,"")))</f>
        <v/>
      </c>
      <c r="E67" s="6" t="str" cm="1">
        <f t="array" ref="E67">IF($A67="","",_xlfn.LET(_xlpm.sheets,CHOOSE({1,2,3,4,5},'Template Setup'!$C$4,'Template Setup'!$C$5,'Template Setup'!$C$6,'Template Setup'!$C$7,'Template Setup'!$C$8),_xlpm.nums,CHOOSE({1,2,3,4,5},$L67,$M67,$N67,$O67,$P67),_xlpm.qtys,CHOOSE({1,2,3,4,5},$G67,$H67,$I67,$J67,$K67),_xlpm.validNums,_xlfn._xlws.FILTER(_xlpm.nums,_xlpm.qtys&gt;0),_xlpm.validSheets,_xlfn._xlws.FILTER(_xlpm.sheets,_xlpm.qtys&gt;0),_xlpm.mx,IFERROR(MAX(_xlpm.validNums),0),IF(_xlpm.mx=0,"",INDEX(_xlpm.validSheets,MATCH(_xlpm.mx,_xlpm.validNums,0))&amp;" (+"&amp;$R67&amp;")")))</f>
        <v/>
      </c>
      <c r="F67" s="11" t="str">
        <f t="shared" ref="F67:F130" si="7">IF($E67="","","PACP-"&amp;LEFT($E67,FIND("-",$E67)-1)&amp;"-000"&amp;MID($E67,FIND("-",$E67)+1,3))</f>
        <v/>
      </c>
      <c r="G67" s="12" t="str">
        <f ca="1">IF($A67="","",IFERROR(SUMIF(INDIRECT("'"&amp;'Template Setup'!$C$4&amp;"'!C:C"),$A67,INDIRECT("'"&amp;'Template Setup'!$C$4&amp;"'!A:A")),0))</f>
        <v/>
      </c>
      <c r="H67" s="12" t="str">
        <f ca="1">IF($A67="","",IFERROR(SUMIF(INDIRECT("'"&amp;'Template Setup'!$C$5&amp;"'!C:C"),$A67,INDIRECT("'"&amp;'Template Setup'!$C$5&amp;"'!A:A")),0))</f>
        <v/>
      </c>
      <c r="I67" s="12" t="str">
        <f ca="1">IF($A67="","",IFERROR(SUMIF(INDIRECT("'"&amp;'Template Setup'!$C$6&amp;"'!C:C"),$A67,INDIRECT("'"&amp;'Template Setup'!$C$6&amp;"'!A:A")),0))</f>
        <v/>
      </c>
      <c r="J67" s="12" t="str">
        <f ca="1">IF($A67="","",IFERROR(SUMIF(INDIRECT("'"&amp;'Template Setup'!$C$7&amp;"'!C:C"),$A67,INDIRECT("'"&amp;'Template Setup'!$C$7&amp;"'!A:A")),0))</f>
        <v/>
      </c>
      <c r="K67" s="12" t="str">
        <f ca="1">IF($A67="","",IFERROR(SUMIF(INDIRECT("'"&amp;'Template Setup'!$C$8&amp;"'!C:C"),$A67,INDIRECT("'"&amp;'Template Setup'!$C$8&amp;"'!A:A")),0))</f>
        <v/>
      </c>
      <c r="L67" s="11" t="str">
        <f>IF($A67="","",IFERROR(VALUE(MID(TRIM('Template Setup'!$C$4),FIND("-",TRIM('Template Setup'!$C$4))+1,10)),0))</f>
        <v/>
      </c>
      <c r="M67" s="11" t="str">
        <f>IF($A67="","",IFERROR(VALUE(MID(TRIM('Template Setup'!$C$5),FIND("-",TRIM('Template Setup'!$C$5))+1,10)),0))</f>
        <v/>
      </c>
      <c r="N67" s="11" t="str">
        <f>IF($A67="","",IFERROR(VALUE(MID(TRIM('Template Setup'!$C$6),FIND("-",TRIM('Template Setup'!$C$6))+1,10)),0))</f>
        <v/>
      </c>
      <c r="O67" s="11" t="str">
        <f>IF($A67="","",IFERROR(VALUE(MID(TRIM('Template Setup'!$C$7),FIND("-",TRIM('Template Setup'!$C$7))+1,10)),0))</f>
        <v/>
      </c>
      <c r="P67" s="11" t="str">
        <f>IF($A67="","",IFERROR(VALUE(MID(TRIM('Template Setup'!$C$8),FIND("-",TRIM('Template Setup'!$C$8))+1,10)),0))</f>
        <v/>
      </c>
      <c r="Q67" s="9" t="str">
        <f>IF($A67="","",$A67&amp;"-"&amp;'Template Setup'!$C$16)</f>
        <v/>
      </c>
      <c r="R67" s="24" t="str">
        <f t="shared" si="5"/>
        <v/>
      </c>
      <c r="S67" s="24"/>
      <c r="T67" s="24" t="str">
        <f t="shared" si="6"/>
        <v/>
      </c>
      <c r="U67" s="6" t="str">
        <f t="shared" si="4"/>
        <v/>
      </c>
    </row>
    <row r="68" spans="1:21">
      <c r="A68" s="11"/>
      <c r="B68" s="11"/>
      <c r="C68" s="11"/>
      <c r="D68" s="11" t="str">
        <f>IF($A68="","",_xlfn.TEXTJOIN(", ",TRUE,IF($G68&gt;0,'Template Setup'!$C$4,""),IF($H68&gt;0,'Template Setup'!$C$5,""),IF($I68&gt;0,'Template Setup'!$C$6,""),IF($J68&gt;0,'Template Setup'!$C$7,""),IF($K68&gt;0,'Template Setup'!$C$8,"")))</f>
        <v/>
      </c>
      <c r="E68" s="6" t="str" cm="1">
        <f t="array" ref="E68">IF($A68="","",_xlfn.LET(_xlpm.sheets,CHOOSE({1,2,3,4,5},'Template Setup'!$C$4,'Template Setup'!$C$5,'Template Setup'!$C$6,'Template Setup'!$C$7,'Template Setup'!$C$8),_xlpm.nums,CHOOSE({1,2,3,4,5},$L68,$M68,$N68,$O68,$P68),_xlpm.qtys,CHOOSE({1,2,3,4,5},$G68,$H68,$I68,$J68,$K68),_xlpm.validNums,_xlfn._xlws.FILTER(_xlpm.nums,_xlpm.qtys&gt;0),_xlpm.validSheets,_xlfn._xlws.FILTER(_xlpm.sheets,_xlpm.qtys&gt;0),_xlpm.mx,IFERROR(MAX(_xlpm.validNums),0),IF(_xlpm.mx=0,"",INDEX(_xlpm.validSheets,MATCH(_xlpm.mx,_xlpm.validNums,0))&amp;" (+"&amp;$R68&amp;")")))</f>
        <v/>
      </c>
      <c r="F68" s="11" t="str">
        <f t="shared" si="7"/>
        <v/>
      </c>
      <c r="G68" s="12" t="str">
        <f ca="1">IF($A68="","",IFERROR(SUMIF(INDIRECT("'"&amp;'Template Setup'!$C$4&amp;"'!C:C"),$A68,INDIRECT("'"&amp;'Template Setup'!$C$4&amp;"'!A:A")),0))</f>
        <v/>
      </c>
      <c r="H68" s="12" t="str">
        <f ca="1">IF($A68="","",IFERROR(SUMIF(INDIRECT("'"&amp;'Template Setup'!$C$5&amp;"'!C:C"),$A68,INDIRECT("'"&amp;'Template Setup'!$C$5&amp;"'!A:A")),0))</f>
        <v/>
      </c>
      <c r="I68" s="12" t="str">
        <f ca="1">IF($A68="","",IFERROR(SUMIF(INDIRECT("'"&amp;'Template Setup'!$C$6&amp;"'!C:C"),$A68,INDIRECT("'"&amp;'Template Setup'!$C$6&amp;"'!A:A")),0))</f>
        <v/>
      </c>
      <c r="J68" s="12" t="str">
        <f ca="1">IF($A68="","",IFERROR(SUMIF(INDIRECT("'"&amp;'Template Setup'!$C$7&amp;"'!C:C"),$A68,INDIRECT("'"&amp;'Template Setup'!$C$7&amp;"'!A:A")),0))</f>
        <v/>
      </c>
      <c r="K68" s="12" t="str">
        <f ca="1">IF($A68="","",IFERROR(SUMIF(INDIRECT("'"&amp;'Template Setup'!$C$8&amp;"'!C:C"),$A68,INDIRECT("'"&amp;'Template Setup'!$C$8&amp;"'!A:A")),0))</f>
        <v/>
      </c>
      <c r="L68" s="11" t="str">
        <f>IF($A68="","",IFERROR(VALUE(MID(TRIM('Template Setup'!$C$4),FIND("-",TRIM('Template Setup'!$C$4))+1,10)),0))</f>
        <v/>
      </c>
      <c r="M68" s="11" t="str">
        <f>IF($A68="","",IFERROR(VALUE(MID(TRIM('Template Setup'!$C$5),FIND("-",TRIM('Template Setup'!$C$5))+1,10)),0))</f>
        <v/>
      </c>
      <c r="N68" s="11" t="str">
        <f>IF($A68="","",IFERROR(VALUE(MID(TRIM('Template Setup'!$C$6),FIND("-",TRIM('Template Setup'!$C$6))+1,10)),0))</f>
        <v/>
      </c>
      <c r="O68" s="11" t="str">
        <f>IF($A68="","",IFERROR(VALUE(MID(TRIM('Template Setup'!$C$7),FIND("-",TRIM('Template Setup'!$C$7))+1,10)),0))</f>
        <v/>
      </c>
      <c r="P68" s="11" t="str">
        <f>IF($A68="","",IFERROR(VALUE(MID(TRIM('Template Setup'!$C$8),FIND("-",TRIM('Template Setup'!$C$8))+1,10)),0))</f>
        <v/>
      </c>
      <c r="Q68" s="9" t="str">
        <f>IF($A68="","",$A68&amp;"-"&amp;'Template Setup'!$C$16)</f>
        <v/>
      </c>
      <c r="R68" s="24" t="str">
        <f t="shared" si="5"/>
        <v/>
      </c>
      <c r="S68" s="24"/>
      <c r="T68" s="24" t="str">
        <f t="shared" si="6"/>
        <v/>
      </c>
      <c r="U68" s="6" t="str">
        <f t="shared" si="4"/>
        <v/>
      </c>
    </row>
    <row r="69" spans="1:21">
      <c r="A69" s="11"/>
      <c r="B69" s="11"/>
      <c r="C69" s="11"/>
      <c r="D69" s="11" t="str">
        <f>IF($A69="","",_xlfn.TEXTJOIN(", ",TRUE,IF($G69&gt;0,'Template Setup'!$C$4,""),IF($H69&gt;0,'Template Setup'!$C$5,""),IF($I69&gt;0,'Template Setup'!$C$6,""),IF($J69&gt;0,'Template Setup'!$C$7,""),IF($K69&gt;0,'Template Setup'!$C$8,"")))</f>
        <v/>
      </c>
      <c r="E69" s="6" t="str" cm="1">
        <f t="array" ref="E69">IF($A69="","",_xlfn.LET(_xlpm.sheets,CHOOSE({1,2,3,4,5},'Template Setup'!$C$4,'Template Setup'!$C$5,'Template Setup'!$C$6,'Template Setup'!$C$7,'Template Setup'!$C$8),_xlpm.nums,CHOOSE({1,2,3,4,5},$L69,$M69,$N69,$O69,$P69),_xlpm.qtys,CHOOSE({1,2,3,4,5},$G69,$H69,$I69,$J69,$K69),_xlpm.validNums,_xlfn._xlws.FILTER(_xlpm.nums,_xlpm.qtys&gt;0),_xlpm.validSheets,_xlfn._xlws.FILTER(_xlpm.sheets,_xlpm.qtys&gt;0),_xlpm.mx,IFERROR(MAX(_xlpm.validNums),0),IF(_xlpm.mx=0,"",INDEX(_xlpm.validSheets,MATCH(_xlpm.mx,_xlpm.validNums,0))&amp;" (+"&amp;$R69&amp;")")))</f>
        <v/>
      </c>
      <c r="F69" s="11" t="str">
        <f t="shared" si="7"/>
        <v/>
      </c>
      <c r="G69" s="12" t="str">
        <f ca="1">IF($A69="","",IFERROR(SUMIF(INDIRECT("'"&amp;'Template Setup'!$C$4&amp;"'!C:C"),$A69,INDIRECT("'"&amp;'Template Setup'!$C$4&amp;"'!A:A")),0))</f>
        <v/>
      </c>
      <c r="H69" s="12" t="str">
        <f ca="1">IF($A69="","",IFERROR(SUMIF(INDIRECT("'"&amp;'Template Setup'!$C$5&amp;"'!C:C"),$A69,INDIRECT("'"&amp;'Template Setup'!$C$5&amp;"'!A:A")),0))</f>
        <v/>
      </c>
      <c r="I69" s="12" t="str">
        <f ca="1">IF($A69="","",IFERROR(SUMIF(INDIRECT("'"&amp;'Template Setup'!$C$6&amp;"'!C:C"),$A69,INDIRECT("'"&amp;'Template Setup'!$C$6&amp;"'!A:A")),0))</f>
        <v/>
      </c>
      <c r="J69" s="12" t="str">
        <f ca="1">IF($A69="","",IFERROR(SUMIF(INDIRECT("'"&amp;'Template Setup'!$C$7&amp;"'!C:C"),$A69,INDIRECT("'"&amp;'Template Setup'!$C$7&amp;"'!A:A")),0))</f>
        <v/>
      </c>
      <c r="K69" s="12" t="str">
        <f ca="1">IF($A69="","",IFERROR(SUMIF(INDIRECT("'"&amp;'Template Setup'!$C$8&amp;"'!C:C"),$A69,INDIRECT("'"&amp;'Template Setup'!$C$8&amp;"'!A:A")),0))</f>
        <v/>
      </c>
      <c r="L69" s="11" t="str">
        <f>IF($A69="","",IFERROR(VALUE(MID(TRIM('Template Setup'!$C$4),FIND("-",TRIM('Template Setup'!$C$4))+1,10)),0))</f>
        <v/>
      </c>
      <c r="M69" s="11" t="str">
        <f>IF($A69="","",IFERROR(VALUE(MID(TRIM('Template Setup'!$C$5),FIND("-",TRIM('Template Setup'!$C$5))+1,10)),0))</f>
        <v/>
      </c>
      <c r="N69" s="11" t="str">
        <f>IF($A69="","",IFERROR(VALUE(MID(TRIM('Template Setup'!$C$6),FIND("-",TRIM('Template Setup'!$C$6))+1,10)),0))</f>
        <v/>
      </c>
      <c r="O69" s="11" t="str">
        <f>IF($A69="","",IFERROR(VALUE(MID(TRIM('Template Setup'!$C$7),FIND("-",TRIM('Template Setup'!$C$7))+1,10)),0))</f>
        <v/>
      </c>
      <c r="P69" s="11" t="str">
        <f>IF($A69="","",IFERROR(VALUE(MID(TRIM('Template Setup'!$C$8),FIND("-",TRIM('Template Setup'!$C$8))+1,10)),0))</f>
        <v/>
      </c>
      <c r="Q69" s="9" t="str">
        <f>IF($A69="","",$A69&amp;"-"&amp;'Template Setup'!$C$16)</f>
        <v/>
      </c>
      <c r="R69" s="24" t="str">
        <f t="shared" si="5"/>
        <v/>
      </c>
      <c r="S69" s="24"/>
      <c r="T69" s="24" t="str">
        <f t="shared" si="6"/>
        <v/>
      </c>
      <c r="U69" s="6" t="str">
        <f t="shared" si="4"/>
        <v/>
      </c>
    </row>
    <row r="70" spans="1:21">
      <c r="A70" s="11"/>
      <c r="B70" s="11"/>
      <c r="C70" s="11"/>
      <c r="D70" s="11" t="str">
        <f>IF($A70="","",_xlfn.TEXTJOIN(", ",TRUE,IF($G70&gt;0,'Template Setup'!$C$4,""),IF($H70&gt;0,'Template Setup'!$C$5,""),IF($I70&gt;0,'Template Setup'!$C$6,""),IF($J70&gt;0,'Template Setup'!$C$7,""),IF($K70&gt;0,'Template Setup'!$C$8,"")))</f>
        <v/>
      </c>
      <c r="E70" s="6" t="str" cm="1">
        <f t="array" ref="E70">IF($A70="","",_xlfn.LET(_xlpm.sheets,CHOOSE({1,2,3,4,5},'Template Setup'!$C$4,'Template Setup'!$C$5,'Template Setup'!$C$6,'Template Setup'!$C$7,'Template Setup'!$C$8),_xlpm.nums,CHOOSE({1,2,3,4,5},$L70,$M70,$N70,$O70,$P70),_xlpm.qtys,CHOOSE({1,2,3,4,5},$G70,$H70,$I70,$J70,$K70),_xlpm.validNums,_xlfn._xlws.FILTER(_xlpm.nums,_xlpm.qtys&gt;0),_xlpm.validSheets,_xlfn._xlws.FILTER(_xlpm.sheets,_xlpm.qtys&gt;0),_xlpm.mx,IFERROR(MAX(_xlpm.validNums),0),IF(_xlpm.mx=0,"",INDEX(_xlpm.validSheets,MATCH(_xlpm.mx,_xlpm.validNums,0))&amp;" (+"&amp;$R70&amp;")")))</f>
        <v/>
      </c>
      <c r="F70" s="11" t="str">
        <f t="shared" si="7"/>
        <v/>
      </c>
      <c r="G70" s="12" t="str">
        <f ca="1">IF($A70="","",IFERROR(SUMIF(INDIRECT("'"&amp;'Template Setup'!$C$4&amp;"'!C:C"),$A70,INDIRECT("'"&amp;'Template Setup'!$C$4&amp;"'!A:A")),0))</f>
        <v/>
      </c>
      <c r="H70" s="12" t="str">
        <f ca="1">IF($A70="","",IFERROR(SUMIF(INDIRECT("'"&amp;'Template Setup'!$C$5&amp;"'!C:C"),$A70,INDIRECT("'"&amp;'Template Setup'!$C$5&amp;"'!A:A")),0))</f>
        <v/>
      </c>
      <c r="I70" s="12" t="str">
        <f ca="1">IF($A70="","",IFERROR(SUMIF(INDIRECT("'"&amp;'Template Setup'!$C$6&amp;"'!C:C"),$A70,INDIRECT("'"&amp;'Template Setup'!$C$6&amp;"'!A:A")),0))</f>
        <v/>
      </c>
      <c r="J70" s="12" t="str">
        <f ca="1">IF($A70="","",IFERROR(SUMIF(INDIRECT("'"&amp;'Template Setup'!$C$7&amp;"'!C:C"),$A70,INDIRECT("'"&amp;'Template Setup'!$C$7&amp;"'!A:A")),0))</f>
        <v/>
      </c>
      <c r="K70" s="12" t="str">
        <f ca="1">IF($A70="","",IFERROR(SUMIF(INDIRECT("'"&amp;'Template Setup'!$C$8&amp;"'!C:C"),$A70,INDIRECT("'"&amp;'Template Setup'!$C$8&amp;"'!A:A")),0))</f>
        <v/>
      </c>
      <c r="L70" s="11" t="str">
        <f>IF($A70="","",IFERROR(VALUE(MID(TRIM('Template Setup'!$C$4),FIND("-",TRIM('Template Setup'!$C$4))+1,10)),0))</f>
        <v/>
      </c>
      <c r="M70" s="11" t="str">
        <f>IF($A70="","",IFERROR(VALUE(MID(TRIM('Template Setup'!$C$5),FIND("-",TRIM('Template Setup'!$C$5))+1,10)),0))</f>
        <v/>
      </c>
      <c r="N70" s="11" t="str">
        <f>IF($A70="","",IFERROR(VALUE(MID(TRIM('Template Setup'!$C$6),FIND("-",TRIM('Template Setup'!$C$6))+1,10)),0))</f>
        <v/>
      </c>
      <c r="O70" s="11" t="str">
        <f>IF($A70="","",IFERROR(VALUE(MID(TRIM('Template Setup'!$C$7),FIND("-",TRIM('Template Setup'!$C$7))+1,10)),0))</f>
        <v/>
      </c>
      <c r="P70" s="11" t="str">
        <f>IF($A70="","",IFERROR(VALUE(MID(TRIM('Template Setup'!$C$8),FIND("-",TRIM('Template Setup'!$C$8))+1,10)),0))</f>
        <v/>
      </c>
      <c r="Q70" s="9" t="str">
        <f>IF($A70="","",$A70&amp;"-"&amp;'Template Setup'!$C$16)</f>
        <v/>
      </c>
      <c r="R70" s="24" t="str">
        <f t="shared" si="5"/>
        <v/>
      </c>
      <c r="S70" s="24"/>
      <c r="T70" s="24" t="str">
        <f t="shared" si="6"/>
        <v/>
      </c>
      <c r="U70" s="6" t="str">
        <f t="shared" si="4"/>
        <v/>
      </c>
    </row>
    <row r="71" spans="1:21">
      <c r="A71" s="11"/>
      <c r="B71" s="11"/>
      <c r="C71" s="11"/>
      <c r="D71" s="11" t="str">
        <f>IF($A71="","",_xlfn.TEXTJOIN(", ",TRUE,IF($G71&gt;0,'Template Setup'!$C$4,""),IF($H71&gt;0,'Template Setup'!$C$5,""),IF($I71&gt;0,'Template Setup'!$C$6,""),IF($J71&gt;0,'Template Setup'!$C$7,""),IF($K71&gt;0,'Template Setup'!$C$8,"")))</f>
        <v/>
      </c>
      <c r="E71" s="6" t="str" cm="1">
        <f t="array" ref="E71">IF($A71="","",_xlfn.LET(_xlpm.sheets,CHOOSE({1,2,3,4,5},'Template Setup'!$C$4,'Template Setup'!$C$5,'Template Setup'!$C$6,'Template Setup'!$C$7,'Template Setup'!$C$8),_xlpm.nums,CHOOSE({1,2,3,4,5},$L71,$M71,$N71,$O71,$P71),_xlpm.qtys,CHOOSE({1,2,3,4,5},$G71,$H71,$I71,$J71,$K71),_xlpm.validNums,_xlfn._xlws.FILTER(_xlpm.nums,_xlpm.qtys&gt;0),_xlpm.validSheets,_xlfn._xlws.FILTER(_xlpm.sheets,_xlpm.qtys&gt;0),_xlpm.mx,IFERROR(MAX(_xlpm.validNums),0),IF(_xlpm.mx=0,"",INDEX(_xlpm.validSheets,MATCH(_xlpm.mx,_xlpm.validNums,0))&amp;" (+"&amp;$R71&amp;")")))</f>
        <v/>
      </c>
      <c r="F71" s="11" t="str">
        <f t="shared" si="7"/>
        <v/>
      </c>
      <c r="G71" s="12" t="str">
        <f ca="1">IF($A71="","",IFERROR(SUMIF(INDIRECT("'"&amp;'Template Setup'!$C$4&amp;"'!C:C"),$A71,INDIRECT("'"&amp;'Template Setup'!$C$4&amp;"'!A:A")),0))</f>
        <v/>
      </c>
      <c r="H71" s="12" t="str">
        <f ca="1">IF($A71="","",IFERROR(SUMIF(INDIRECT("'"&amp;'Template Setup'!$C$5&amp;"'!C:C"),$A71,INDIRECT("'"&amp;'Template Setup'!$C$5&amp;"'!A:A")),0))</f>
        <v/>
      </c>
      <c r="I71" s="12" t="str">
        <f ca="1">IF($A71="","",IFERROR(SUMIF(INDIRECT("'"&amp;'Template Setup'!$C$6&amp;"'!C:C"),$A71,INDIRECT("'"&amp;'Template Setup'!$C$6&amp;"'!A:A")),0))</f>
        <v/>
      </c>
      <c r="J71" s="12" t="str">
        <f ca="1">IF($A71="","",IFERROR(SUMIF(INDIRECT("'"&amp;'Template Setup'!$C$7&amp;"'!C:C"),$A71,INDIRECT("'"&amp;'Template Setup'!$C$7&amp;"'!A:A")),0))</f>
        <v/>
      </c>
      <c r="K71" s="12" t="str">
        <f ca="1">IF($A71="","",IFERROR(SUMIF(INDIRECT("'"&amp;'Template Setup'!$C$8&amp;"'!C:C"),$A71,INDIRECT("'"&amp;'Template Setup'!$C$8&amp;"'!A:A")),0))</f>
        <v/>
      </c>
      <c r="L71" s="11" t="str">
        <f>IF($A71="","",IFERROR(VALUE(MID(TRIM('Template Setup'!$C$4),FIND("-",TRIM('Template Setup'!$C$4))+1,10)),0))</f>
        <v/>
      </c>
      <c r="M71" s="11" t="str">
        <f>IF($A71="","",IFERROR(VALUE(MID(TRIM('Template Setup'!$C$5),FIND("-",TRIM('Template Setup'!$C$5))+1,10)),0))</f>
        <v/>
      </c>
      <c r="N71" s="11" t="str">
        <f>IF($A71="","",IFERROR(VALUE(MID(TRIM('Template Setup'!$C$6),FIND("-",TRIM('Template Setup'!$C$6))+1,10)),0))</f>
        <v/>
      </c>
      <c r="O71" s="11" t="str">
        <f>IF($A71="","",IFERROR(VALUE(MID(TRIM('Template Setup'!$C$7),FIND("-",TRIM('Template Setup'!$C$7))+1,10)),0))</f>
        <v/>
      </c>
      <c r="P71" s="11" t="str">
        <f>IF($A71="","",IFERROR(VALUE(MID(TRIM('Template Setup'!$C$8),FIND("-",TRIM('Template Setup'!$C$8))+1,10)),0))</f>
        <v/>
      </c>
      <c r="Q71" s="9" t="str">
        <f>IF($A71="","",$A71&amp;"-"&amp;'Template Setup'!$C$16)</f>
        <v/>
      </c>
      <c r="R71" s="24" t="str">
        <f t="shared" si="5"/>
        <v/>
      </c>
      <c r="S71" s="24"/>
      <c r="T71" s="24" t="str">
        <f t="shared" si="6"/>
        <v/>
      </c>
      <c r="U71" s="6" t="str">
        <f t="shared" si="4"/>
        <v/>
      </c>
    </row>
    <row r="72" spans="1:21">
      <c r="A72" s="11"/>
      <c r="B72" s="11"/>
      <c r="C72" s="11"/>
      <c r="D72" s="11" t="str">
        <f>IF($A72="","",_xlfn.TEXTJOIN(", ",TRUE,IF($G72&gt;0,'Template Setup'!$C$4,""),IF($H72&gt;0,'Template Setup'!$C$5,""),IF($I72&gt;0,'Template Setup'!$C$6,""),IF($J72&gt;0,'Template Setup'!$C$7,""),IF($K72&gt;0,'Template Setup'!$C$8,"")))</f>
        <v/>
      </c>
      <c r="E72" s="6" t="str" cm="1">
        <f t="array" ref="E72">IF($A72="","",_xlfn.LET(_xlpm.sheets,CHOOSE({1,2,3,4,5},'Template Setup'!$C$4,'Template Setup'!$C$5,'Template Setup'!$C$6,'Template Setup'!$C$7,'Template Setup'!$C$8),_xlpm.nums,CHOOSE({1,2,3,4,5},$L72,$M72,$N72,$O72,$P72),_xlpm.qtys,CHOOSE({1,2,3,4,5},$G72,$H72,$I72,$J72,$K72),_xlpm.validNums,_xlfn._xlws.FILTER(_xlpm.nums,_xlpm.qtys&gt;0),_xlpm.validSheets,_xlfn._xlws.FILTER(_xlpm.sheets,_xlpm.qtys&gt;0),_xlpm.mx,IFERROR(MAX(_xlpm.validNums),0),IF(_xlpm.mx=0,"",INDEX(_xlpm.validSheets,MATCH(_xlpm.mx,_xlpm.validNums,0))&amp;" (+"&amp;$R72&amp;")")))</f>
        <v/>
      </c>
      <c r="F72" s="11" t="str">
        <f t="shared" si="7"/>
        <v/>
      </c>
      <c r="G72" s="12" t="str">
        <f ca="1">IF($A72="","",IFERROR(SUMIF(INDIRECT("'"&amp;'Template Setup'!$C$4&amp;"'!C:C"),$A72,INDIRECT("'"&amp;'Template Setup'!$C$4&amp;"'!A:A")),0))</f>
        <v/>
      </c>
      <c r="H72" s="12" t="str">
        <f ca="1">IF($A72="","",IFERROR(SUMIF(INDIRECT("'"&amp;'Template Setup'!$C$5&amp;"'!C:C"),$A72,INDIRECT("'"&amp;'Template Setup'!$C$5&amp;"'!A:A")),0))</f>
        <v/>
      </c>
      <c r="I72" s="12" t="str">
        <f ca="1">IF($A72="","",IFERROR(SUMIF(INDIRECT("'"&amp;'Template Setup'!$C$6&amp;"'!C:C"),$A72,INDIRECT("'"&amp;'Template Setup'!$C$6&amp;"'!A:A")),0))</f>
        <v/>
      </c>
      <c r="J72" s="12" t="str">
        <f ca="1">IF($A72="","",IFERROR(SUMIF(INDIRECT("'"&amp;'Template Setup'!$C$7&amp;"'!C:C"),$A72,INDIRECT("'"&amp;'Template Setup'!$C$7&amp;"'!A:A")),0))</f>
        <v/>
      </c>
      <c r="K72" s="12" t="str">
        <f ca="1">IF($A72="","",IFERROR(SUMIF(INDIRECT("'"&amp;'Template Setup'!$C$8&amp;"'!C:C"),$A72,INDIRECT("'"&amp;'Template Setup'!$C$8&amp;"'!A:A")),0))</f>
        <v/>
      </c>
      <c r="L72" s="11" t="str">
        <f>IF($A72="","",IFERROR(VALUE(MID(TRIM('Template Setup'!$C$4),FIND("-",TRIM('Template Setup'!$C$4))+1,10)),0))</f>
        <v/>
      </c>
      <c r="M72" s="11" t="str">
        <f>IF($A72="","",IFERROR(VALUE(MID(TRIM('Template Setup'!$C$5),FIND("-",TRIM('Template Setup'!$C$5))+1,10)),0))</f>
        <v/>
      </c>
      <c r="N72" s="11" t="str">
        <f>IF($A72="","",IFERROR(VALUE(MID(TRIM('Template Setup'!$C$6),FIND("-",TRIM('Template Setup'!$C$6))+1,10)),0))</f>
        <v/>
      </c>
      <c r="O72" s="11" t="str">
        <f>IF($A72="","",IFERROR(VALUE(MID(TRIM('Template Setup'!$C$7),FIND("-",TRIM('Template Setup'!$C$7))+1,10)),0))</f>
        <v/>
      </c>
      <c r="P72" s="11" t="str">
        <f>IF($A72="","",IFERROR(VALUE(MID(TRIM('Template Setup'!$C$8),FIND("-",TRIM('Template Setup'!$C$8))+1,10)),0))</f>
        <v/>
      </c>
      <c r="Q72" s="9" t="str">
        <f>IF($A72="","",$A72&amp;"-"&amp;'Template Setup'!$C$16)</f>
        <v/>
      </c>
      <c r="R72" s="24" t="str">
        <f t="shared" si="5"/>
        <v/>
      </c>
      <c r="S72" s="24"/>
      <c r="T72" s="24" t="str">
        <f t="shared" si="6"/>
        <v/>
      </c>
      <c r="U72" s="6" t="str">
        <f t="shared" si="4"/>
        <v/>
      </c>
    </row>
    <row r="73" spans="1:21">
      <c r="A73" s="11"/>
      <c r="B73" s="11"/>
      <c r="C73" s="11"/>
      <c r="D73" s="11" t="str">
        <f>IF($A73="","",_xlfn.TEXTJOIN(", ",TRUE,IF($G73&gt;0,'Template Setup'!$C$4,""),IF($H73&gt;0,'Template Setup'!$C$5,""),IF($I73&gt;0,'Template Setup'!$C$6,""),IF($J73&gt;0,'Template Setup'!$C$7,""),IF($K73&gt;0,'Template Setup'!$C$8,"")))</f>
        <v/>
      </c>
      <c r="E73" s="6" t="str" cm="1">
        <f t="array" ref="E73">IF($A73="","",_xlfn.LET(_xlpm.sheets,CHOOSE({1,2,3,4,5},'Template Setup'!$C$4,'Template Setup'!$C$5,'Template Setup'!$C$6,'Template Setup'!$C$7,'Template Setup'!$C$8),_xlpm.nums,CHOOSE({1,2,3,4,5},$L73,$M73,$N73,$O73,$P73),_xlpm.qtys,CHOOSE({1,2,3,4,5},$G73,$H73,$I73,$J73,$K73),_xlpm.validNums,_xlfn._xlws.FILTER(_xlpm.nums,_xlpm.qtys&gt;0),_xlpm.validSheets,_xlfn._xlws.FILTER(_xlpm.sheets,_xlpm.qtys&gt;0),_xlpm.mx,IFERROR(MAX(_xlpm.validNums),0),IF(_xlpm.mx=0,"",INDEX(_xlpm.validSheets,MATCH(_xlpm.mx,_xlpm.validNums,0))&amp;" (+"&amp;$R73&amp;")")))</f>
        <v/>
      </c>
      <c r="F73" s="11" t="str">
        <f t="shared" si="7"/>
        <v/>
      </c>
      <c r="G73" s="12" t="str">
        <f ca="1">IF($A73="","",IFERROR(SUMIF(INDIRECT("'"&amp;'Template Setup'!$C$4&amp;"'!C:C"),$A73,INDIRECT("'"&amp;'Template Setup'!$C$4&amp;"'!A:A")),0))</f>
        <v/>
      </c>
      <c r="H73" s="12" t="str">
        <f ca="1">IF($A73="","",IFERROR(SUMIF(INDIRECT("'"&amp;'Template Setup'!$C$5&amp;"'!C:C"),$A73,INDIRECT("'"&amp;'Template Setup'!$C$5&amp;"'!A:A")),0))</f>
        <v/>
      </c>
      <c r="I73" s="12" t="str">
        <f ca="1">IF($A73="","",IFERROR(SUMIF(INDIRECT("'"&amp;'Template Setup'!$C$6&amp;"'!C:C"),$A73,INDIRECT("'"&amp;'Template Setup'!$C$6&amp;"'!A:A")),0))</f>
        <v/>
      </c>
      <c r="J73" s="12" t="str">
        <f ca="1">IF($A73="","",IFERROR(SUMIF(INDIRECT("'"&amp;'Template Setup'!$C$7&amp;"'!C:C"),$A73,INDIRECT("'"&amp;'Template Setup'!$C$7&amp;"'!A:A")),0))</f>
        <v/>
      </c>
      <c r="K73" s="12" t="str">
        <f ca="1">IF($A73="","",IFERROR(SUMIF(INDIRECT("'"&amp;'Template Setup'!$C$8&amp;"'!C:C"),$A73,INDIRECT("'"&amp;'Template Setup'!$C$8&amp;"'!A:A")),0))</f>
        <v/>
      </c>
      <c r="L73" s="11" t="str">
        <f>IF($A73="","",IFERROR(VALUE(MID(TRIM('Template Setup'!$C$4),FIND("-",TRIM('Template Setup'!$C$4))+1,10)),0))</f>
        <v/>
      </c>
      <c r="M73" s="11" t="str">
        <f>IF($A73="","",IFERROR(VALUE(MID(TRIM('Template Setup'!$C$5),FIND("-",TRIM('Template Setup'!$C$5))+1,10)),0))</f>
        <v/>
      </c>
      <c r="N73" s="11" t="str">
        <f>IF($A73="","",IFERROR(VALUE(MID(TRIM('Template Setup'!$C$6),FIND("-",TRIM('Template Setup'!$C$6))+1,10)),0))</f>
        <v/>
      </c>
      <c r="O73" s="11" t="str">
        <f>IF($A73="","",IFERROR(VALUE(MID(TRIM('Template Setup'!$C$7),FIND("-",TRIM('Template Setup'!$C$7))+1,10)),0))</f>
        <v/>
      </c>
      <c r="P73" s="11" t="str">
        <f>IF($A73="","",IFERROR(VALUE(MID(TRIM('Template Setup'!$C$8),FIND("-",TRIM('Template Setup'!$C$8))+1,10)),0))</f>
        <v/>
      </c>
      <c r="Q73" s="9" t="str">
        <f>IF($A73="","",$A73&amp;"-"&amp;'Template Setup'!$C$16)</f>
        <v/>
      </c>
      <c r="R73" s="24" t="str">
        <f t="shared" si="5"/>
        <v/>
      </c>
      <c r="S73" s="24"/>
      <c r="T73" s="24" t="str">
        <f t="shared" si="6"/>
        <v/>
      </c>
      <c r="U73" s="6" t="str">
        <f t="shared" si="4"/>
        <v/>
      </c>
    </row>
    <row r="74" spans="1:21">
      <c r="A74" s="11"/>
      <c r="B74" s="11"/>
      <c r="C74" s="11"/>
      <c r="D74" s="11" t="str">
        <f>IF($A74="","",_xlfn.TEXTJOIN(", ",TRUE,IF($G74&gt;0,'Template Setup'!$C$4,""),IF($H74&gt;0,'Template Setup'!$C$5,""),IF($I74&gt;0,'Template Setup'!$C$6,""),IF($J74&gt;0,'Template Setup'!$C$7,""),IF($K74&gt;0,'Template Setup'!$C$8,"")))</f>
        <v/>
      </c>
      <c r="E74" s="6" t="str" cm="1">
        <f t="array" ref="E74">IF($A74="","",_xlfn.LET(_xlpm.sheets,CHOOSE({1,2,3,4,5},'Template Setup'!$C$4,'Template Setup'!$C$5,'Template Setup'!$C$6,'Template Setup'!$C$7,'Template Setup'!$C$8),_xlpm.nums,CHOOSE({1,2,3,4,5},$L74,$M74,$N74,$O74,$P74),_xlpm.qtys,CHOOSE({1,2,3,4,5},$G74,$H74,$I74,$J74,$K74),_xlpm.validNums,_xlfn._xlws.FILTER(_xlpm.nums,_xlpm.qtys&gt;0),_xlpm.validSheets,_xlfn._xlws.FILTER(_xlpm.sheets,_xlpm.qtys&gt;0),_xlpm.mx,IFERROR(MAX(_xlpm.validNums),0),IF(_xlpm.mx=0,"",INDEX(_xlpm.validSheets,MATCH(_xlpm.mx,_xlpm.validNums,0))&amp;" (+"&amp;$R74&amp;")")))</f>
        <v/>
      </c>
      <c r="F74" s="11" t="str">
        <f t="shared" si="7"/>
        <v/>
      </c>
      <c r="G74" s="12" t="str">
        <f ca="1">IF($A74="","",IFERROR(SUMIF(INDIRECT("'"&amp;'Template Setup'!$C$4&amp;"'!C:C"),$A74,INDIRECT("'"&amp;'Template Setup'!$C$4&amp;"'!A:A")),0))</f>
        <v/>
      </c>
      <c r="H74" s="12" t="str">
        <f ca="1">IF($A74="","",IFERROR(SUMIF(INDIRECT("'"&amp;'Template Setup'!$C$5&amp;"'!C:C"),$A74,INDIRECT("'"&amp;'Template Setup'!$C$5&amp;"'!A:A")),0))</f>
        <v/>
      </c>
      <c r="I74" s="12" t="str">
        <f ca="1">IF($A74="","",IFERROR(SUMIF(INDIRECT("'"&amp;'Template Setup'!$C$6&amp;"'!C:C"),$A74,INDIRECT("'"&amp;'Template Setup'!$C$6&amp;"'!A:A")),0))</f>
        <v/>
      </c>
      <c r="J74" s="12" t="str">
        <f ca="1">IF($A74="","",IFERROR(SUMIF(INDIRECT("'"&amp;'Template Setup'!$C$7&amp;"'!C:C"),$A74,INDIRECT("'"&amp;'Template Setup'!$C$7&amp;"'!A:A")),0))</f>
        <v/>
      </c>
      <c r="K74" s="12" t="str">
        <f ca="1">IF($A74="","",IFERROR(SUMIF(INDIRECT("'"&amp;'Template Setup'!$C$8&amp;"'!C:C"),$A74,INDIRECT("'"&amp;'Template Setup'!$C$8&amp;"'!A:A")),0))</f>
        <v/>
      </c>
      <c r="L74" s="11" t="str">
        <f>IF($A74="","",IFERROR(VALUE(MID(TRIM('Template Setup'!$C$4),FIND("-",TRIM('Template Setup'!$C$4))+1,10)),0))</f>
        <v/>
      </c>
      <c r="M74" s="11" t="str">
        <f>IF($A74="","",IFERROR(VALUE(MID(TRIM('Template Setup'!$C$5),FIND("-",TRIM('Template Setup'!$C$5))+1,10)),0))</f>
        <v/>
      </c>
      <c r="N74" s="11" t="str">
        <f>IF($A74="","",IFERROR(VALUE(MID(TRIM('Template Setup'!$C$6),FIND("-",TRIM('Template Setup'!$C$6))+1,10)),0))</f>
        <v/>
      </c>
      <c r="O74" s="11" t="str">
        <f>IF($A74="","",IFERROR(VALUE(MID(TRIM('Template Setup'!$C$7),FIND("-",TRIM('Template Setup'!$C$7))+1,10)),0))</f>
        <v/>
      </c>
      <c r="P74" s="11" t="str">
        <f>IF($A74="","",IFERROR(VALUE(MID(TRIM('Template Setup'!$C$8),FIND("-",TRIM('Template Setup'!$C$8))+1,10)),0))</f>
        <v/>
      </c>
      <c r="Q74" s="9" t="str">
        <f>IF($A74="","",$A74&amp;"-"&amp;'Template Setup'!$C$16)</f>
        <v/>
      </c>
      <c r="R74" s="24" t="str">
        <f t="shared" si="5"/>
        <v/>
      </c>
      <c r="S74" s="24"/>
      <c r="T74" s="24" t="str">
        <f t="shared" si="6"/>
        <v/>
      </c>
      <c r="U74" s="6" t="str">
        <f t="shared" si="4"/>
        <v/>
      </c>
    </row>
    <row r="75" spans="1:21">
      <c r="A75" s="11"/>
      <c r="B75" s="11"/>
      <c r="C75" s="11"/>
      <c r="D75" s="11" t="str">
        <f>IF($A75="","",_xlfn.TEXTJOIN(", ",TRUE,IF($G75&gt;0,'Template Setup'!$C$4,""),IF($H75&gt;0,'Template Setup'!$C$5,""),IF($I75&gt;0,'Template Setup'!$C$6,""),IF($J75&gt;0,'Template Setup'!$C$7,""),IF($K75&gt;0,'Template Setup'!$C$8,"")))</f>
        <v/>
      </c>
      <c r="E75" s="6" t="str" cm="1">
        <f t="array" ref="E75">IF($A75="","",_xlfn.LET(_xlpm.sheets,CHOOSE({1,2,3,4,5},'Template Setup'!$C$4,'Template Setup'!$C$5,'Template Setup'!$C$6,'Template Setup'!$C$7,'Template Setup'!$C$8),_xlpm.nums,CHOOSE({1,2,3,4,5},$L75,$M75,$N75,$O75,$P75),_xlpm.qtys,CHOOSE({1,2,3,4,5},$G75,$H75,$I75,$J75,$K75),_xlpm.validNums,_xlfn._xlws.FILTER(_xlpm.nums,_xlpm.qtys&gt;0),_xlpm.validSheets,_xlfn._xlws.FILTER(_xlpm.sheets,_xlpm.qtys&gt;0),_xlpm.mx,IFERROR(MAX(_xlpm.validNums),0),IF(_xlpm.mx=0,"",INDEX(_xlpm.validSheets,MATCH(_xlpm.mx,_xlpm.validNums,0))&amp;" (+"&amp;$R75&amp;")")))</f>
        <v/>
      </c>
      <c r="F75" s="11" t="str">
        <f t="shared" si="7"/>
        <v/>
      </c>
      <c r="G75" s="12" t="str">
        <f ca="1">IF($A75="","",IFERROR(SUMIF(INDIRECT("'"&amp;'Template Setup'!$C$4&amp;"'!C:C"),$A75,INDIRECT("'"&amp;'Template Setup'!$C$4&amp;"'!A:A")),0))</f>
        <v/>
      </c>
      <c r="H75" s="12" t="str">
        <f ca="1">IF($A75="","",IFERROR(SUMIF(INDIRECT("'"&amp;'Template Setup'!$C$5&amp;"'!C:C"),$A75,INDIRECT("'"&amp;'Template Setup'!$C$5&amp;"'!A:A")),0))</f>
        <v/>
      </c>
      <c r="I75" s="12" t="str">
        <f ca="1">IF($A75="","",IFERROR(SUMIF(INDIRECT("'"&amp;'Template Setup'!$C$6&amp;"'!C:C"),$A75,INDIRECT("'"&amp;'Template Setup'!$C$6&amp;"'!A:A")),0))</f>
        <v/>
      </c>
      <c r="J75" s="12" t="str">
        <f ca="1">IF($A75="","",IFERROR(SUMIF(INDIRECT("'"&amp;'Template Setup'!$C$7&amp;"'!C:C"),$A75,INDIRECT("'"&amp;'Template Setup'!$C$7&amp;"'!A:A")),0))</f>
        <v/>
      </c>
      <c r="K75" s="12" t="str">
        <f ca="1">IF($A75="","",IFERROR(SUMIF(INDIRECT("'"&amp;'Template Setup'!$C$8&amp;"'!C:C"),$A75,INDIRECT("'"&amp;'Template Setup'!$C$8&amp;"'!A:A")),0))</f>
        <v/>
      </c>
      <c r="L75" s="11" t="str">
        <f>IF($A75="","",IFERROR(VALUE(MID(TRIM('Template Setup'!$C$4),FIND("-",TRIM('Template Setup'!$C$4))+1,10)),0))</f>
        <v/>
      </c>
      <c r="M75" s="11" t="str">
        <f>IF($A75="","",IFERROR(VALUE(MID(TRIM('Template Setup'!$C$5),FIND("-",TRIM('Template Setup'!$C$5))+1,10)),0))</f>
        <v/>
      </c>
      <c r="N75" s="11" t="str">
        <f>IF($A75="","",IFERROR(VALUE(MID(TRIM('Template Setup'!$C$6),FIND("-",TRIM('Template Setup'!$C$6))+1,10)),0))</f>
        <v/>
      </c>
      <c r="O75" s="11" t="str">
        <f>IF($A75="","",IFERROR(VALUE(MID(TRIM('Template Setup'!$C$7),FIND("-",TRIM('Template Setup'!$C$7))+1,10)),0))</f>
        <v/>
      </c>
      <c r="P75" s="11" t="str">
        <f>IF($A75="","",IFERROR(VALUE(MID(TRIM('Template Setup'!$C$8),FIND("-",TRIM('Template Setup'!$C$8))+1,10)),0))</f>
        <v/>
      </c>
      <c r="Q75" s="9" t="str">
        <f>IF($A75="","",$A75&amp;"-"&amp;'Template Setup'!$C$16)</f>
        <v/>
      </c>
      <c r="R75" s="24" t="str">
        <f t="shared" si="5"/>
        <v/>
      </c>
      <c r="S75" s="24"/>
      <c r="T75" s="24" t="str">
        <f t="shared" si="6"/>
        <v/>
      </c>
      <c r="U75" s="6" t="str">
        <f t="shared" si="4"/>
        <v/>
      </c>
    </row>
    <row r="76" spans="1:21">
      <c r="A76" s="11"/>
      <c r="B76" s="11"/>
      <c r="C76" s="11"/>
      <c r="D76" s="11" t="str">
        <f>IF($A76="","",_xlfn.TEXTJOIN(", ",TRUE,IF($G76&gt;0,'Template Setup'!$C$4,""),IF($H76&gt;0,'Template Setup'!$C$5,""),IF($I76&gt;0,'Template Setup'!$C$6,""),IF($J76&gt;0,'Template Setup'!$C$7,""),IF($K76&gt;0,'Template Setup'!$C$8,"")))</f>
        <v/>
      </c>
      <c r="E76" s="6" t="str" cm="1">
        <f t="array" ref="E76">IF($A76="","",_xlfn.LET(_xlpm.sheets,CHOOSE({1,2,3,4,5},'Template Setup'!$C$4,'Template Setup'!$C$5,'Template Setup'!$C$6,'Template Setup'!$C$7,'Template Setup'!$C$8),_xlpm.nums,CHOOSE({1,2,3,4,5},$L76,$M76,$N76,$O76,$P76),_xlpm.qtys,CHOOSE({1,2,3,4,5},$G76,$H76,$I76,$J76,$K76),_xlpm.validNums,_xlfn._xlws.FILTER(_xlpm.nums,_xlpm.qtys&gt;0),_xlpm.validSheets,_xlfn._xlws.FILTER(_xlpm.sheets,_xlpm.qtys&gt;0),_xlpm.mx,IFERROR(MAX(_xlpm.validNums),0),IF(_xlpm.mx=0,"",INDEX(_xlpm.validSheets,MATCH(_xlpm.mx,_xlpm.validNums,0))&amp;" (+"&amp;$R76&amp;")")))</f>
        <v/>
      </c>
      <c r="F76" s="11" t="str">
        <f t="shared" si="7"/>
        <v/>
      </c>
      <c r="G76" s="12" t="str">
        <f ca="1">IF($A76="","",IFERROR(SUMIF(INDIRECT("'"&amp;'Template Setup'!$C$4&amp;"'!C:C"),$A76,INDIRECT("'"&amp;'Template Setup'!$C$4&amp;"'!A:A")),0))</f>
        <v/>
      </c>
      <c r="H76" s="12" t="str">
        <f ca="1">IF($A76="","",IFERROR(SUMIF(INDIRECT("'"&amp;'Template Setup'!$C$5&amp;"'!C:C"),$A76,INDIRECT("'"&amp;'Template Setup'!$C$5&amp;"'!A:A")),0))</f>
        <v/>
      </c>
      <c r="I76" s="12" t="str">
        <f ca="1">IF($A76="","",IFERROR(SUMIF(INDIRECT("'"&amp;'Template Setup'!$C$6&amp;"'!C:C"),$A76,INDIRECT("'"&amp;'Template Setup'!$C$6&amp;"'!A:A")),0))</f>
        <v/>
      </c>
      <c r="J76" s="12" t="str">
        <f ca="1">IF($A76="","",IFERROR(SUMIF(INDIRECT("'"&amp;'Template Setup'!$C$7&amp;"'!C:C"),$A76,INDIRECT("'"&amp;'Template Setup'!$C$7&amp;"'!A:A")),0))</f>
        <v/>
      </c>
      <c r="K76" s="12" t="str">
        <f ca="1">IF($A76="","",IFERROR(SUMIF(INDIRECT("'"&amp;'Template Setup'!$C$8&amp;"'!C:C"),$A76,INDIRECT("'"&amp;'Template Setup'!$C$8&amp;"'!A:A")),0))</f>
        <v/>
      </c>
      <c r="L76" s="11" t="str">
        <f>IF($A76="","",IFERROR(VALUE(MID(TRIM('Template Setup'!$C$4),FIND("-",TRIM('Template Setup'!$C$4))+1,10)),0))</f>
        <v/>
      </c>
      <c r="M76" s="11" t="str">
        <f>IF($A76="","",IFERROR(VALUE(MID(TRIM('Template Setup'!$C$5),FIND("-",TRIM('Template Setup'!$C$5))+1,10)),0))</f>
        <v/>
      </c>
      <c r="N76" s="11" t="str">
        <f>IF($A76="","",IFERROR(VALUE(MID(TRIM('Template Setup'!$C$6),FIND("-",TRIM('Template Setup'!$C$6))+1,10)),0))</f>
        <v/>
      </c>
      <c r="O76" s="11" t="str">
        <f>IF($A76="","",IFERROR(VALUE(MID(TRIM('Template Setup'!$C$7),FIND("-",TRIM('Template Setup'!$C$7))+1,10)),0))</f>
        <v/>
      </c>
      <c r="P76" s="11" t="str">
        <f>IF($A76="","",IFERROR(VALUE(MID(TRIM('Template Setup'!$C$8),FIND("-",TRIM('Template Setup'!$C$8))+1,10)),0))</f>
        <v/>
      </c>
      <c r="Q76" s="9" t="str">
        <f>IF($A76="","",$A76&amp;"-"&amp;'Template Setup'!$C$16)</f>
        <v/>
      </c>
      <c r="R76" s="24" t="str">
        <f t="shared" si="5"/>
        <v/>
      </c>
      <c r="S76" s="24"/>
      <c r="T76" s="24" t="str">
        <f t="shared" si="6"/>
        <v/>
      </c>
      <c r="U76" s="6" t="str">
        <f t="shared" si="4"/>
        <v/>
      </c>
    </row>
    <row r="77" spans="1:21">
      <c r="A77" s="11"/>
      <c r="B77" s="11"/>
      <c r="C77" s="11"/>
      <c r="D77" s="11" t="str">
        <f>IF($A77="","",_xlfn.TEXTJOIN(", ",TRUE,IF($G77&gt;0,'Template Setup'!$C$4,""),IF($H77&gt;0,'Template Setup'!$C$5,""),IF($I77&gt;0,'Template Setup'!$C$6,""),IF($J77&gt;0,'Template Setup'!$C$7,""),IF($K77&gt;0,'Template Setup'!$C$8,"")))</f>
        <v/>
      </c>
      <c r="E77" s="6" t="str" cm="1">
        <f t="array" ref="E77">IF($A77="","",_xlfn.LET(_xlpm.sheets,CHOOSE({1,2,3,4,5},'Template Setup'!$C$4,'Template Setup'!$C$5,'Template Setup'!$C$6,'Template Setup'!$C$7,'Template Setup'!$C$8),_xlpm.nums,CHOOSE({1,2,3,4,5},$L77,$M77,$N77,$O77,$P77),_xlpm.qtys,CHOOSE({1,2,3,4,5},$G77,$H77,$I77,$J77,$K77),_xlpm.validNums,_xlfn._xlws.FILTER(_xlpm.nums,_xlpm.qtys&gt;0),_xlpm.validSheets,_xlfn._xlws.FILTER(_xlpm.sheets,_xlpm.qtys&gt;0),_xlpm.mx,IFERROR(MAX(_xlpm.validNums),0),IF(_xlpm.mx=0,"",INDEX(_xlpm.validSheets,MATCH(_xlpm.mx,_xlpm.validNums,0))&amp;" (+"&amp;$R77&amp;")")))</f>
        <v/>
      </c>
      <c r="F77" s="11" t="str">
        <f t="shared" si="7"/>
        <v/>
      </c>
      <c r="G77" s="12" t="str">
        <f ca="1">IF($A77="","",IFERROR(SUMIF(INDIRECT("'"&amp;'Template Setup'!$C$4&amp;"'!C:C"),$A77,INDIRECT("'"&amp;'Template Setup'!$C$4&amp;"'!A:A")),0))</f>
        <v/>
      </c>
      <c r="H77" s="12" t="str">
        <f ca="1">IF($A77="","",IFERROR(SUMIF(INDIRECT("'"&amp;'Template Setup'!$C$5&amp;"'!C:C"),$A77,INDIRECT("'"&amp;'Template Setup'!$C$5&amp;"'!A:A")),0))</f>
        <v/>
      </c>
      <c r="I77" s="12" t="str">
        <f ca="1">IF($A77="","",IFERROR(SUMIF(INDIRECT("'"&amp;'Template Setup'!$C$6&amp;"'!C:C"),$A77,INDIRECT("'"&amp;'Template Setup'!$C$6&amp;"'!A:A")),0))</f>
        <v/>
      </c>
      <c r="J77" s="12" t="str">
        <f ca="1">IF($A77="","",IFERROR(SUMIF(INDIRECT("'"&amp;'Template Setup'!$C$7&amp;"'!C:C"),$A77,INDIRECT("'"&amp;'Template Setup'!$C$7&amp;"'!A:A")),0))</f>
        <v/>
      </c>
      <c r="K77" s="12" t="str">
        <f ca="1">IF($A77="","",IFERROR(SUMIF(INDIRECT("'"&amp;'Template Setup'!$C$8&amp;"'!C:C"),$A77,INDIRECT("'"&amp;'Template Setup'!$C$8&amp;"'!A:A")),0))</f>
        <v/>
      </c>
      <c r="L77" s="11" t="str">
        <f>IF($A77="","",IFERROR(VALUE(MID(TRIM('Template Setup'!$C$4),FIND("-",TRIM('Template Setup'!$C$4))+1,10)),0))</f>
        <v/>
      </c>
      <c r="M77" s="11" t="str">
        <f>IF($A77="","",IFERROR(VALUE(MID(TRIM('Template Setup'!$C$5),FIND("-",TRIM('Template Setup'!$C$5))+1,10)),0))</f>
        <v/>
      </c>
      <c r="N77" s="11" t="str">
        <f>IF($A77="","",IFERROR(VALUE(MID(TRIM('Template Setup'!$C$6),FIND("-",TRIM('Template Setup'!$C$6))+1,10)),0))</f>
        <v/>
      </c>
      <c r="O77" s="11" t="str">
        <f>IF($A77="","",IFERROR(VALUE(MID(TRIM('Template Setup'!$C$7),FIND("-",TRIM('Template Setup'!$C$7))+1,10)),0))</f>
        <v/>
      </c>
      <c r="P77" s="11" t="str">
        <f>IF($A77="","",IFERROR(VALUE(MID(TRIM('Template Setup'!$C$8),FIND("-",TRIM('Template Setup'!$C$8))+1,10)),0))</f>
        <v/>
      </c>
      <c r="Q77" s="9" t="str">
        <f>IF($A77="","",$A77&amp;"-"&amp;'Template Setup'!$C$16)</f>
        <v/>
      </c>
      <c r="R77" s="24" t="str">
        <f t="shared" si="5"/>
        <v/>
      </c>
      <c r="S77" s="24"/>
      <c r="T77" s="24" t="str">
        <f t="shared" si="6"/>
        <v/>
      </c>
      <c r="U77" s="6" t="str">
        <f t="shared" si="4"/>
        <v/>
      </c>
    </row>
    <row r="78" spans="1:21">
      <c r="A78" s="11"/>
      <c r="B78" s="11"/>
      <c r="C78" s="11"/>
      <c r="D78" s="11" t="str">
        <f>IF($A78="","",_xlfn.TEXTJOIN(", ",TRUE,IF($G78&gt;0,'Template Setup'!$C$4,""),IF($H78&gt;0,'Template Setup'!$C$5,""),IF($I78&gt;0,'Template Setup'!$C$6,""),IF($J78&gt;0,'Template Setup'!$C$7,""),IF($K78&gt;0,'Template Setup'!$C$8,"")))</f>
        <v/>
      </c>
      <c r="E78" s="6" t="str" cm="1">
        <f t="array" ref="E78">IF($A78="","",_xlfn.LET(_xlpm.sheets,CHOOSE({1,2,3,4,5},'Template Setup'!$C$4,'Template Setup'!$C$5,'Template Setup'!$C$6,'Template Setup'!$C$7,'Template Setup'!$C$8),_xlpm.nums,CHOOSE({1,2,3,4,5},$L78,$M78,$N78,$O78,$P78),_xlpm.qtys,CHOOSE({1,2,3,4,5},$G78,$H78,$I78,$J78,$K78),_xlpm.validNums,_xlfn._xlws.FILTER(_xlpm.nums,_xlpm.qtys&gt;0),_xlpm.validSheets,_xlfn._xlws.FILTER(_xlpm.sheets,_xlpm.qtys&gt;0),_xlpm.mx,IFERROR(MAX(_xlpm.validNums),0),IF(_xlpm.mx=0,"",INDEX(_xlpm.validSheets,MATCH(_xlpm.mx,_xlpm.validNums,0))&amp;" (+"&amp;$R78&amp;")")))</f>
        <v/>
      </c>
      <c r="F78" s="11" t="str">
        <f t="shared" si="7"/>
        <v/>
      </c>
      <c r="G78" s="12" t="str">
        <f ca="1">IF($A78="","",IFERROR(SUMIF(INDIRECT("'"&amp;'Template Setup'!$C$4&amp;"'!C:C"),$A78,INDIRECT("'"&amp;'Template Setup'!$C$4&amp;"'!A:A")),0))</f>
        <v/>
      </c>
      <c r="H78" s="12" t="str">
        <f ca="1">IF($A78="","",IFERROR(SUMIF(INDIRECT("'"&amp;'Template Setup'!$C$5&amp;"'!C:C"),$A78,INDIRECT("'"&amp;'Template Setup'!$C$5&amp;"'!A:A")),0))</f>
        <v/>
      </c>
      <c r="I78" s="12" t="str">
        <f ca="1">IF($A78="","",IFERROR(SUMIF(INDIRECT("'"&amp;'Template Setup'!$C$6&amp;"'!C:C"),$A78,INDIRECT("'"&amp;'Template Setup'!$C$6&amp;"'!A:A")),0))</f>
        <v/>
      </c>
      <c r="J78" s="12" t="str">
        <f ca="1">IF($A78="","",IFERROR(SUMIF(INDIRECT("'"&amp;'Template Setup'!$C$7&amp;"'!C:C"),$A78,INDIRECT("'"&amp;'Template Setup'!$C$7&amp;"'!A:A")),0))</f>
        <v/>
      </c>
      <c r="K78" s="12" t="str">
        <f ca="1">IF($A78="","",IFERROR(SUMIF(INDIRECT("'"&amp;'Template Setup'!$C$8&amp;"'!C:C"),$A78,INDIRECT("'"&amp;'Template Setup'!$C$8&amp;"'!A:A")),0))</f>
        <v/>
      </c>
      <c r="L78" s="11" t="str">
        <f>IF($A78="","",IFERROR(VALUE(MID(TRIM('Template Setup'!$C$4),FIND("-",TRIM('Template Setup'!$C$4))+1,10)),0))</f>
        <v/>
      </c>
      <c r="M78" s="11" t="str">
        <f>IF($A78="","",IFERROR(VALUE(MID(TRIM('Template Setup'!$C$5),FIND("-",TRIM('Template Setup'!$C$5))+1,10)),0))</f>
        <v/>
      </c>
      <c r="N78" s="11" t="str">
        <f>IF($A78="","",IFERROR(VALUE(MID(TRIM('Template Setup'!$C$6),FIND("-",TRIM('Template Setup'!$C$6))+1,10)),0))</f>
        <v/>
      </c>
      <c r="O78" s="11" t="str">
        <f>IF($A78="","",IFERROR(VALUE(MID(TRIM('Template Setup'!$C$7),FIND("-",TRIM('Template Setup'!$C$7))+1,10)),0))</f>
        <v/>
      </c>
      <c r="P78" s="11" t="str">
        <f>IF($A78="","",IFERROR(VALUE(MID(TRIM('Template Setup'!$C$8),FIND("-",TRIM('Template Setup'!$C$8))+1,10)),0))</f>
        <v/>
      </c>
      <c r="Q78" s="9" t="str">
        <f>IF($A78="","",$A78&amp;"-"&amp;'Template Setup'!$C$16)</f>
        <v/>
      </c>
      <c r="R78" s="24" t="str">
        <f t="shared" si="5"/>
        <v/>
      </c>
      <c r="S78" s="24"/>
      <c r="T78" s="24" t="str">
        <f t="shared" si="6"/>
        <v/>
      </c>
      <c r="U78" s="6" t="str">
        <f t="shared" si="4"/>
        <v/>
      </c>
    </row>
    <row r="79" spans="1:21">
      <c r="A79" s="11"/>
      <c r="B79" s="11"/>
      <c r="C79" s="11"/>
      <c r="D79" s="11" t="str">
        <f>IF($A79="","",_xlfn.TEXTJOIN(", ",TRUE,IF($G79&gt;0,'Template Setup'!$C$4,""),IF($H79&gt;0,'Template Setup'!$C$5,""),IF($I79&gt;0,'Template Setup'!$C$6,""),IF($J79&gt;0,'Template Setup'!$C$7,""),IF($K79&gt;0,'Template Setup'!$C$8,"")))</f>
        <v/>
      </c>
      <c r="E79" s="6" t="str" cm="1">
        <f t="array" ref="E79">IF($A79="","",_xlfn.LET(_xlpm.sheets,CHOOSE({1,2,3,4,5},'Template Setup'!$C$4,'Template Setup'!$C$5,'Template Setup'!$C$6,'Template Setup'!$C$7,'Template Setup'!$C$8),_xlpm.nums,CHOOSE({1,2,3,4,5},$L79,$M79,$N79,$O79,$P79),_xlpm.qtys,CHOOSE({1,2,3,4,5},$G79,$H79,$I79,$J79,$K79),_xlpm.validNums,_xlfn._xlws.FILTER(_xlpm.nums,_xlpm.qtys&gt;0),_xlpm.validSheets,_xlfn._xlws.FILTER(_xlpm.sheets,_xlpm.qtys&gt;0),_xlpm.mx,IFERROR(MAX(_xlpm.validNums),0),IF(_xlpm.mx=0,"",INDEX(_xlpm.validSheets,MATCH(_xlpm.mx,_xlpm.validNums,0))&amp;" (+"&amp;$R79&amp;")")))</f>
        <v/>
      </c>
      <c r="F79" s="11" t="str">
        <f t="shared" si="7"/>
        <v/>
      </c>
      <c r="G79" s="12" t="str">
        <f ca="1">IF($A79="","",IFERROR(SUMIF(INDIRECT("'"&amp;'Template Setup'!$C$4&amp;"'!C:C"),$A79,INDIRECT("'"&amp;'Template Setup'!$C$4&amp;"'!A:A")),0))</f>
        <v/>
      </c>
      <c r="H79" s="12" t="str">
        <f ca="1">IF($A79="","",IFERROR(SUMIF(INDIRECT("'"&amp;'Template Setup'!$C$5&amp;"'!C:C"),$A79,INDIRECT("'"&amp;'Template Setup'!$C$5&amp;"'!A:A")),0))</f>
        <v/>
      </c>
      <c r="I79" s="12" t="str">
        <f ca="1">IF($A79="","",IFERROR(SUMIF(INDIRECT("'"&amp;'Template Setup'!$C$6&amp;"'!C:C"),$A79,INDIRECT("'"&amp;'Template Setup'!$C$6&amp;"'!A:A")),0))</f>
        <v/>
      </c>
      <c r="J79" s="12" t="str">
        <f ca="1">IF($A79="","",IFERROR(SUMIF(INDIRECT("'"&amp;'Template Setup'!$C$7&amp;"'!C:C"),$A79,INDIRECT("'"&amp;'Template Setup'!$C$7&amp;"'!A:A")),0))</f>
        <v/>
      </c>
      <c r="K79" s="12" t="str">
        <f ca="1">IF($A79="","",IFERROR(SUMIF(INDIRECT("'"&amp;'Template Setup'!$C$8&amp;"'!C:C"),$A79,INDIRECT("'"&amp;'Template Setup'!$C$8&amp;"'!A:A")),0))</f>
        <v/>
      </c>
      <c r="L79" s="11" t="str">
        <f>IF($A79="","",IFERROR(VALUE(MID(TRIM('Template Setup'!$C$4),FIND("-",TRIM('Template Setup'!$C$4))+1,10)),0))</f>
        <v/>
      </c>
      <c r="M79" s="11" t="str">
        <f>IF($A79="","",IFERROR(VALUE(MID(TRIM('Template Setup'!$C$5),FIND("-",TRIM('Template Setup'!$C$5))+1,10)),0))</f>
        <v/>
      </c>
      <c r="N79" s="11" t="str">
        <f>IF($A79="","",IFERROR(VALUE(MID(TRIM('Template Setup'!$C$6),FIND("-",TRIM('Template Setup'!$C$6))+1,10)),0))</f>
        <v/>
      </c>
      <c r="O79" s="11" t="str">
        <f>IF($A79="","",IFERROR(VALUE(MID(TRIM('Template Setup'!$C$7),FIND("-",TRIM('Template Setup'!$C$7))+1,10)),0))</f>
        <v/>
      </c>
      <c r="P79" s="11" t="str">
        <f>IF($A79="","",IFERROR(VALUE(MID(TRIM('Template Setup'!$C$8),FIND("-",TRIM('Template Setup'!$C$8))+1,10)),0))</f>
        <v/>
      </c>
      <c r="Q79" s="9" t="str">
        <f>IF($A79="","",$A79&amp;"-"&amp;'Template Setup'!$C$16)</f>
        <v/>
      </c>
      <c r="R79" s="24" t="str">
        <f t="shared" si="5"/>
        <v/>
      </c>
      <c r="S79" s="24"/>
      <c r="T79" s="24" t="str">
        <f t="shared" si="6"/>
        <v/>
      </c>
      <c r="U79" s="6" t="str">
        <f t="shared" si="4"/>
        <v/>
      </c>
    </row>
    <row r="80" spans="1:21">
      <c r="A80" s="11"/>
      <c r="B80" s="11"/>
      <c r="C80" s="11"/>
      <c r="D80" s="11" t="str">
        <f>IF($A80="","",_xlfn.TEXTJOIN(", ",TRUE,IF($G80&gt;0,'Template Setup'!$C$4,""),IF($H80&gt;0,'Template Setup'!$C$5,""),IF($I80&gt;0,'Template Setup'!$C$6,""),IF($J80&gt;0,'Template Setup'!$C$7,""),IF($K80&gt;0,'Template Setup'!$C$8,"")))</f>
        <v/>
      </c>
      <c r="E80" s="6" t="str" cm="1">
        <f t="array" ref="E80">IF($A80="","",_xlfn.LET(_xlpm.sheets,CHOOSE({1,2,3,4,5},'Template Setup'!$C$4,'Template Setup'!$C$5,'Template Setup'!$C$6,'Template Setup'!$C$7,'Template Setup'!$C$8),_xlpm.nums,CHOOSE({1,2,3,4,5},$L80,$M80,$N80,$O80,$P80),_xlpm.qtys,CHOOSE({1,2,3,4,5},$G80,$H80,$I80,$J80,$K80),_xlpm.validNums,_xlfn._xlws.FILTER(_xlpm.nums,_xlpm.qtys&gt;0),_xlpm.validSheets,_xlfn._xlws.FILTER(_xlpm.sheets,_xlpm.qtys&gt;0),_xlpm.mx,IFERROR(MAX(_xlpm.validNums),0),IF(_xlpm.mx=0,"",INDEX(_xlpm.validSheets,MATCH(_xlpm.mx,_xlpm.validNums,0))&amp;" (+"&amp;$R80&amp;")")))</f>
        <v/>
      </c>
      <c r="F80" s="11" t="str">
        <f t="shared" si="7"/>
        <v/>
      </c>
      <c r="G80" s="12" t="str">
        <f ca="1">IF($A80="","",IFERROR(SUMIF(INDIRECT("'"&amp;'Template Setup'!$C$4&amp;"'!C:C"),$A80,INDIRECT("'"&amp;'Template Setup'!$C$4&amp;"'!A:A")),0))</f>
        <v/>
      </c>
      <c r="H80" s="12" t="str">
        <f ca="1">IF($A80="","",IFERROR(SUMIF(INDIRECT("'"&amp;'Template Setup'!$C$5&amp;"'!C:C"),$A80,INDIRECT("'"&amp;'Template Setup'!$C$5&amp;"'!A:A")),0))</f>
        <v/>
      </c>
      <c r="I80" s="12" t="str">
        <f ca="1">IF($A80="","",IFERROR(SUMIF(INDIRECT("'"&amp;'Template Setup'!$C$6&amp;"'!C:C"),$A80,INDIRECT("'"&amp;'Template Setup'!$C$6&amp;"'!A:A")),0))</f>
        <v/>
      </c>
      <c r="J80" s="12" t="str">
        <f ca="1">IF($A80="","",IFERROR(SUMIF(INDIRECT("'"&amp;'Template Setup'!$C$7&amp;"'!C:C"),$A80,INDIRECT("'"&amp;'Template Setup'!$C$7&amp;"'!A:A")),0))</f>
        <v/>
      </c>
      <c r="K80" s="12" t="str">
        <f ca="1">IF($A80="","",IFERROR(SUMIF(INDIRECT("'"&amp;'Template Setup'!$C$8&amp;"'!C:C"),$A80,INDIRECT("'"&amp;'Template Setup'!$C$8&amp;"'!A:A")),0))</f>
        <v/>
      </c>
      <c r="L80" s="11" t="str">
        <f>IF($A80="","",IFERROR(VALUE(MID(TRIM('Template Setup'!$C$4),FIND("-",TRIM('Template Setup'!$C$4))+1,10)),0))</f>
        <v/>
      </c>
      <c r="M80" s="11" t="str">
        <f>IF($A80="","",IFERROR(VALUE(MID(TRIM('Template Setup'!$C$5),FIND("-",TRIM('Template Setup'!$C$5))+1,10)),0))</f>
        <v/>
      </c>
      <c r="N80" s="11" t="str">
        <f>IF($A80="","",IFERROR(VALUE(MID(TRIM('Template Setup'!$C$6),FIND("-",TRIM('Template Setup'!$C$6))+1,10)),0))</f>
        <v/>
      </c>
      <c r="O80" s="11" t="str">
        <f>IF($A80="","",IFERROR(VALUE(MID(TRIM('Template Setup'!$C$7),FIND("-",TRIM('Template Setup'!$C$7))+1,10)),0))</f>
        <v/>
      </c>
      <c r="P80" s="11" t="str">
        <f>IF($A80="","",IFERROR(VALUE(MID(TRIM('Template Setup'!$C$8),FIND("-",TRIM('Template Setup'!$C$8))+1,10)),0))</f>
        <v/>
      </c>
      <c r="Q80" s="9" t="str">
        <f>IF($A80="","",$A80&amp;"-"&amp;'Template Setup'!$C$16)</f>
        <v/>
      </c>
      <c r="R80" s="24" t="str">
        <f t="shared" si="5"/>
        <v/>
      </c>
      <c r="S80" s="24"/>
      <c r="T80" s="24" t="str">
        <f t="shared" si="6"/>
        <v/>
      </c>
      <c r="U80" s="6" t="str">
        <f t="shared" si="4"/>
        <v/>
      </c>
    </row>
    <row r="81" spans="1:21">
      <c r="A81" s="11"/>
      <c r="B81" s="11"/>
      <c r="C81" s="11"/>
      <c r="D81" s="11" t="str">
        <f>IF($A81="","",_xlfn.TEXTJOIN(", ",TRUE,IF($G81&gt;0,'Template Setup'!$C$4,""),IF($H81&gt;0,'Template Setup'!$C$5,""),IF($I81&gt;0,'Template Setup'!$C$6,""),IF($J81&gt;0,'Template Setup'!$C$7,""),IF($K81&gt;0,'Template Setup'!$C$8,"")))</f>
        <v/>
      </c>
      <c r="E81" s="6" t="str" cm="1">
        <f t="array" ref="E81">IF($A81="","",_xlfn.LET(_xlpm.sheets,CHOOSE({1,2,3,4,5},'Template Setup'!$C$4,'Template Setup'!$C$5,'Template Setup'!$C$6,'Template Setup'!$C$7,'Template Setup'!$C$8),_xlpm.nums,CHOOSE({1,2,3,4,5},$L81,$M81,$N81,$O81,$P81),_xlpm.qtys,CHOOSE({1,2,3,4,5},$G81,$H81,$I81,$J81,$K81),_xlpm.validNums,_xlfn._xlws.FILTER(_xlpm.nums,_xlpm.qtys&gt;0),_xlpm.validSheets,_xlfn._xlws.FILTER(_xlpm.sheets,_xlpm.qtys&gt;0),_xlpm.mx,IFERROR(MAX(_xlpm.validNums),0),IF(_xlpm.mx=0,"",INDEX(_xlpm.validSheets,MATCH(_xlpm.mx,_xlpm.validNums,0))&amp;" (+"&amp;$R81&amp;")")))</f>
        <v/>
      </c>
      <c r="F81" s="11" t="str">
        <f t="shared" si="7"/>
        <v/>
      </c>
      <c r="G81" s="12" t="str">
        <f ca="1">IF($A81="","",IFERROR(SUMIF(INDIRECT("'"&amp;'Template Setup'!$C$4&amp;"'!C:C"),$A81,INDIRECT("'"&amp;'Template Setup'!$C$4&amp;"'!A:A")),0))</f>
        <v/>
      </c>
      <c r="H81" s="12" t="str">
        <f ca="1">IF($A81="","",IFERROR(SUMIF(INDIRECT("'"&amp;'Template Setup'!$C$5&amp;"'!C:C"),$A81,INDIRECT("'"&amp;'Template Setup'!$C$5&amp;"'!A:A")),0))</f>
        <v/>
      </c>
      <c r="I81" s="12" t="str">
        <f ca="1">IF($A81="","",IFERROR(SUMIF(INDIRECT("'"&amp;'Template Setup'!$C$6&amp;"'!C:C"),$A81,INDIRECT("'"&amp;'Template Setup'!$C$6&amp;"'!A:A")),0))</f>
        <v/>
      </c>
      <c r="J81" s="12" t="str">
        <f ca="1">IF($A81="","",IFERROR(SUMIF(INDIRECT("'"&amp;'Template Setup'!$C$7&amp;"'!C:C"),$A81,INDIRECT("'"&amp;'Template Setup'!$C$7&amp;"'!A:A")),0))</f>
        <v/>
      </c>
      <c r="K81" s="12" t="str">
        <f ca="1">IF($A81="","",IFERROR(SUMIF(INDIRECT("'"&amp;'Template Setup'!$C$8&amp;"'!C:C"),$A81,INDIRECT("'"&amp;'Template Setup'!$C$8&amp;"'!A:A")),0))</f>
        <v/>
      </c>
      <c r="L81" s="11" t="str">
        <f>IF($A81="","",IFERROR(VALUE(MID(TRIM('Template Setup'!$C$4),FIND("-",TRIM('Template Setup'!$C$4))+1,10)),0))</f>
        <v/>
      </c>
      <c r="M81" s="11" t="str">
        <f>IF($A81="","",IFERROR(VALUE(MID(TRIM('Template Setup'!$C$5),FIND("-",TRIM('Template Setup'!$C$5))+1,10)),0))</f>
        <v/>
      </c>
      <c r="N81" s="11" t="str">
        <f>IF($A81="","",IFERROR(VALUE(MID(TRIM('Template Setup'!$C$6),FIND("-",TRIM('Template Setup'!$C$6))+1,10)),0))</f>
        <v/>
      </c>
      <c r="O81" s="11" t="str">
        <f>IF($A81="","",IFERROR(VALUE(MID(TRIM('Template Setup'!$C$7),FIND("-",TRIM('Template Setup'!$C$7))+1,10)),0))</f>
        <v/>
      </c>
      <c r="P81" s="11" t="str">
        <f>IF($A81="","",IFERROR(VALUE(MID(TRIM('Template Setup'!$C$8),FIND("-",TRIM('Template Setup'!$C$8))+1,10)),0))</f>
        <v/>
      </c>
      <c r="Q81" s="9" t="str">
        <f>IF($A81="","",$A81&amp;"-"&amp;'Template Setup'!$C$16)</f>
        <v/>
      </c>
      <c r="R81" s="24" t="str">
        <f t="shared" si="5"/>
        <v/>
      </c>
      <c r="S81" s="24"/>
      <c r="T81" s="24" t="str">
        <f t="shared" si="6"/>
        <v/>
      </c>
      <c r="U81" s="6" t="str">
        <f t="shared" si="4"/>
        <v/>
      </c>
    </row>
    <row r="82" spans="1:21">
      <c r="A82" s="11"/>
      <c r="B82" s="11"/>
      <c r="C82" s="11"/>
      <c r="D82" s="11" t="str">
        <f>IF($A82="","",_xlfn.TEXTJOIN(", ",TRUE,IF($G82&gt;0,'Template Setup'!$C$4,""),IF($H82&gt;0,'Template Setup'!$C$5,""),IF($I82&gt;0,'Template Setup'!$C$6,""),IF($J82&gt;0,'Template Setup'!$C$7,""),IF($K82&gt;0,'Template Setup'!$C$8,"")))</f>
        <v/>
      </c>
      <c r="E82" s="6" t="str" cm="1">
        <f t="array" ref="E82">IF($A82="","",_xlfn.LET(_xlpm.sheets,CHOOSE({1,2,3,4,5},'Template Setup'!$C$4,'Template Setup'!$C$5,'Template Setup'!$C$6,'Template Setup'!$C$7,'Template Setup'!$C$8),_xlpm.nums,CHOOSE({1,2,3,4,5},$L82,$M82,$N82,$O82,$P82),_xlpm.qtys,CHOOSE({1,2,3,4,5},$G82,$H82,$I82,$J82,$K82),_xlpm.validNums,_xlfn._xlws.FILTER(_xlpm.nums,_xlpm.qtys&gt;0),_xlpm.validSheets,_xlfn._xlws.FILTER(_xlpm.sheets,_xlpm.qtys&gt;0),_xlpm.mx,IFERROR(MAX(_xlpm.validNums),0),IF(_xlpm.mx=0,"",INDEX(_xlpm.validSheets,MATCH(_xlpm.mx,_xlpm.validNums,0))&amp;" (+"&amp;$R82&amp;")")))</f>
        <v/>
      </c>
      <c r="F82" s="11" t="str">
        <f t="shared" si="7"/>
        <v/>
      </c>
      <c r="G82" s="12" t="str">
        <f ca="1">IF($A82="","",IFERROR(SUMIF(INDIRECT("'"&amp;'Template Setup'!$C$4&amp;"'!C:C"),$A82,INDIRECT("'"&amp;'Template Setup'!$C$4&amp;"'!A:A")),0))</f>
        <v/>
      </c>
      <c r="H82" s="12" t="str">
        <f ca="1">IF($A82="","",IFERROR(SUMIF(INDIRECT("'"&amp;'Template Setup'!$C$5&amp;"'!C:C"),$A82,INDIRECT("'"&amp;'Template Setup'!$C$5&amp;"'!A:A")),0))</f>
        <v/>
      </c>
      <c r="I82" s="12" t="str">
        <f ca="1">IF($A82="","",IFERROR(SUMIF(INDIRECT("'"&amp;'Template Setup'!$C$6&amp;"'!C:C"),$A82,INDIRECT("'"&amp;'Template Setup'!$C$6&amp;"'!A:A")),0))</f>
        <v/>
      </c>
      <c r="J82" s="12" t="str">
        <f ca="1">IF($A82="","",IFERROR(SUMIF(INDIRECT("'"&amp;'Template Setup'!$C$7&amp;"'!C:C"),$A82,INDIRECT("'"&amp;'Template Setup'!$C$7&amp;"'!A:A")),0))</f>
        <v/>
      </c>
      <c r="K82" s="12" t="str">
        <f ca="1">IF($A82="","",IFERROR(SUMIF(INDIRECT("'"&amp;'Template Setup'!$C$8&amp;"'!C:C"),$A82,INDIRECT("'"&amp;'Template Setup'!$C$8&amp;"'!A:A")),0))</f>
        <v/>
      </c>
      <c r="L82" s="11" t="str">
        <f>IF($A82="","",IFERROR(VALUE(MID(TRIM('Template Setup'!$C$4),FIND("-",TRIM('Template Setup'!$C$4))+1,10)),0))</f>
        <v/>
      </c>
      <c r="M82" s="11" t="str">
        <f>IF($A82="","",IFERROR(VALUE(MID(TRIM('Template Setup'!$C$5),FIND("-",TRIM('Template Setup'!$C$5))+1,10)),0))</f>
        <v/>
      </c>
      <c r="N82" s="11" t="str">
        <f>IF($A82="","",IFERROR(VALUE(MID(TRIM('Template Setup'!$C$6),FIND("-",TRIM('Template Setup'!$C$6))+1,10)),0))</f>
        <v/>
      </c>
      <c r="O82" s="11" t="str">
        <f>IF($A82="","",IFERROR(VALUE(MID(TRIM('Template Setup'!$C$7),FIND("-",TRIM('Template Setup'!$C$7))+1,10)),0))</f>
        <v/>
      </c>
      <c r="P82" s="11" t="str">
        <f>IF($A82="","",IFERROR(VALUE(MID(TRIM('Template Setup'!$C$8),FIND("-",TRIM('Template Setup'!$C$8))+1,10)),0))</f>
        <v/>
      </c>
      <c r="Q82" s="9" t="str">
        <f>IF($A82="","",$A82&amp;"-"&amp;'Template Setup'!$C$16)</f>
        <v/>
      </c>
      <c r="R82" s="24" t="str">
        <f t="shared" si="5"/>
        <v/>
      </c>
      <c r="S82" s="24"/>
      <c r="T82" s="24" t="str">
        <f t="shared" si="6"/>
        <v/>
      </c>
      <c r="U82" s="6" t="str">
        <f t="shared" ref="U82:U145" si="8">IF($A82="","","☐")</f>
        <v/>
      </c>
    </row>
    <row r="83" spans="1:21">
      <c r="A83" s="11"/>
      <c r="B83" s="11"/>
      <c r="C83" s="11"/>
      <c r="D83" s="11" t="str">
        <f>IF($A83="","",_xlfn.TEXTJOIN(", ",TRUE,IF($G83&gt;0,'Template Setup'!$C$4,""),IF($H83&gt;0,'Template Setup'!$C$5,""),IF($I83&gt;0,'Template Setup'!$C$6,""),IF($J83&gt;0,'Template Setup'!$C$7,""),IF($K83&gt;0,'Template Setup'!$C$8,"")))</f>
        <v/>
      </c>
      <c r="E83" s="6" t="str" cm="1">
        <f t="array" ref="E83">IF($A83="","",_xlfn.LET(_xlpm.sheets,CHOOSE({1,2,3,4,5},'Template Setup'!$C$4,'Template Setup'!$C$5,'Template Setup'!$C$6,'Template Setup'!$C$7,'Template Setup'!$C$8),_xlpm.nums,CHOOSE({1,2,3,4,5},$L83,$M83,$N83,$O83,$P83),_xlpm.qtys,CHOOSE({1,2,3,4,5},$G83,$H83,$I83,$J83,$K83),_xlpm.validNums,_xlfn._xlws.FILTER(_xlpm.nums,_xlpm.qtys&gt;0),_xlpm.validSheets,_xlfn._xlws.FILTER(_xlpm.sheets,_xlpm.qtys&gt;0),_xlpm.mx,IFERROR(MAX(_xlpm.validNums),0),IF(_xlpm.mx=0,"",INDEX(_xlpm.validSheets,MATCH(_xlpm.mx,_xlpm.validNums,0))&amp;" (+"&amp;$R83&amp;")")))</f>
        <v/>
      </c>
      <c r="F83" s="11" t="str">
        <f t="shared" si="7"/>
        <v/>
      </c>
      <c r="G83" s="12" t="str">
        <f ca="1">IF($A83="","",IFERROR(SUMIF(INDIRECT("'"&amp;'Template Setup'!$C$4&amp;"'!C:C"),$A83,INDIRECT("'"&amp;'Template Setup'!$C$4&amp;"'!A:A")),0))</f>
        <v/>
      </c>
      <c r="H83" s="12" t="str">
        <f ca="1">IF($A83="","",IFERROR(SUMIF(INDIRECT("'"&amp;'Template Setup'!$C$5&amp;"'!C:C"),$A83,INDIRECT("'"&amp;'Template Setup'!$C$5&amp;"'!A:A")),0))</f>
        <v/>
      </c>
      <c r="I83" s="12" t="str">
        <f ca="1">IF($A83="","",IFERROR(SUMIF(INDIRECT("'"&amp;'Template Setup'!$C$6&amp;"'!C:C"),$A83,INDIRECT("'"&amp;'Template Setup'!$C$6&amp;"'!A:A")),0))</f>
        <v/>
      </c>
      <c r="J83" s="12" t="str">
        <f ca="1">IF($A83="","",IFERROR(SUMIF(INDIRECT("'"&amp;'Template Setup'!$C$7&amp;"'!C:C"),$A83,INDIRECT("'"&amp;'Template Setup'!$C$7&amp;"'!A:A")),0))</f>
        <v/>
      </c>
      <c r="K83" s="12" t="str">
        <f ca="1">IF($A83="","",IFERROR(SUMIF(INDIRECT("'"&amp;'Template Setup'!$C$8&amp;"'!C:C"),$A83,INDIRECT("'"&amp;'Template Setup'!$C$8&amp;"'!A:A")),0))</f>
        <v/>
      </c>
      <c r="L83" s="11" t="str">
        <f>IF($A83="","",IFERROR(VALUE(MID(TRIM('Template Setup'!$C$4),FIND("-",TRIM('Template Setup'!$C$4))+1,10)),0))</f>
        <v/>
      </c>
      <c r="M83" s="11" t="str">
        <f>IF($A83="","",IFERROR(VALUE(MID(TRIM('Template Setup'!$C$5),FIND("-",TRIM('Template Setup'!$C$5))+1,10)),0))</f>
        <v/>
      </c>
      <c r="N83" s="11" t="str">
        <f>IF($A83="","",IFERROR(VALUE(MID(TRIM('Template Setup'!$C$6),FIND("-",TRIM('Template Setup'!$C$6))+1,10)),0))</f>
        <v/>
      </c>
      <c r="O83" s="11" t="str">
        <f>IF($A83="","",IFERROR(VALUE(MID(TRIM('Template Setup'!$C$7),FIND("-",TRIM('Template Setup'!$C$7))+1,10)),0))</f>
        <v/>
      </c>
      <c r="P83" s="11" t="str">
        <f>IF($A83="","",IFERROR(VALUE(MID(TRIM('Template Setup'!$C$8),FIND("-",TRIM('Template Setup'!$C$8))+1,10)),0))</f>
        <v/>
      </c>
      <c r="Q83" s="9" t="str">
        <f>IF($A83="","",$A83&amp;"-"&amp;'Template Setup'!$C$16)</f>
        <v/>
      </c>
      <c r="R83" s="24" t="str">
        <f t="shared" si="5"/>
        <v/>
      </c>
      <c r="S83" s="24"/>
      <c r="T83" s="24" t="str">
        <f t="shared" si="6"/>
        <v/>
      </c>
      <c r="U83" s="6" t="str">
        <f t="shared" si="8"/>
        <v/>
      </c>
    </row>
    <row r="84" spans="1:21">
      <c r="A84" s="11"/>
      <c r="B84" s="11"/>
      <c r="C84" s="11"/>
      <c r="D84" s="11" t="str">
        <f>IF($A84="","",_xlfn.TEXTJOIN(", ",TRUE,IF($G84&gt;0,'Template Setup'!$C$4,""),IF($H84&gt;0,'Template Setup'!$C$5,""),IF($I84&gt;0,'Template Setup'!$C$6,""),IF($J84&gt;0,'Template Setup'!$C$7,""),IF($K84&gt;0,'Template Setup'!$C$8,"")))</f>
        <v/>
      </c>
      <c r="E84" s="6" t="str" cm="1">
        <f t="array" ref="E84">IF($A84="","",_xlfn.LET(_xlpm.sheets,CHOOSE({1,2,3,4,5},'Template Setup'!$C$4,'Template Setup'!$C$5,'Template Setup'!$C$6,'Template Setup'!$C$7,'Template Setup'!$C$8),_xlpm.nums,CHOOSE({1,2,3,4,5},$L84,$M84,$N84,$O84,$P84),_xlpm.qtys,CHOOSE({1,2,3,4,5},$G84,$H84,$I84,$J84,$K84),_xlpm.validNums,_xlfn._xlws.FILTER(_xlpm.nums,_xlpm.qtys&gt;0),_xlpm.validSheets,_xlfn._xlws.FILTER(_xlpm.sheets,_xlpm.qtys&gt;0),_xlpm.mx,IFERROR(MAX(_xlpm.validNums),0),IF(_xlpm.mx=0,"",INDEX(_xlpm.validSheets,MATCH(_xlpm.mx,_xlpm.validNums,0))&amp;" (+"&amp;$R84&amp;")")))</f>
        <v/>
      </c>
      <c r="F84" s="11" t="str">
        <f t="shared" si="7"/>
        <v/>
      </c>
      <c r="G84" s="12" t="str">
        <f ca="1">IF($A84="","",IFERROR(SUMIF(INDIRECT("'"&amp;'Template Setup'!$C$4&amp;"'!C:C"),$A84,INDIRECT("'"&amp;'Template Setup'!$C$4&amp;"'!A:A")),0))</f>
        <v/>
      </c>
      <c r="H84" s="12" t="str">
        <f ca="1">IF($A84="","",IFERROR(SUMIF(INDIRECT("'"&amp;'Template Setup'!$C$5&amp;"'!C:C"),$A84,INDIRECT("'"&amp;'Template Setup'!$C$5&amp;"'!A:A")),0))</f>
        <v/>
      </c>
      <c r="I84" s="12" t="str">
        <f ca="1">IF($A84="","",IFERROR(SUMIF(INDIRECT("'"&amp;'Template Setup'!$C$6&amp;"'!C:C"),$A84,INDIRECT("'"&amp;'Template Setup'!$C$6&amp;"'!A:A")),0))</f>
        <v/>
      </c>
      <c r="J84" s="12" t="str">
        <f ca="1">IF($A84="","",IFERROR(SUMIF(INDIRECT("'"&amp;'Template Setup'!$C$7&amp;"'!C:C"),$A84,INDIRECT("'"&amp;'Template Setup'!$C$7&amp;"'!A:A")),0))</f>
        <v/>
      </c>
      <c r="K84" s="12" t="str">
        <f ca="1">IF($A84="","",IFERROR(SUMIF(INDIRECT("'"&amp;'Template Setup'!$C$8&amp;"'!C:C"),$A84,INDIRECT("'"&amp;'Template Setup'!$C$8&amp;"'!A:A")),0))</f>
        <v/>
      </c>
      <c r="L84" s="11" t="str">
        <f>IF($A84="","",IFERROR(VALUE(MID(TRIM('Template Setup'!$C$4),FIND("-",TRIM('Template Setup'!$C$4))+1,10)),0))</f>
        <v/>
      </c>
      <c r="M84" s="11" t="str">
        <f>IF($A84="","",IFERROR(VALUE(MID(TRIM('Template Setup'!$C$5),FIND("-",TRIM('Template Setup'!$C$5))+1,10)),0))</f>
        <v/>
      </c>
      <c r="N84" s="11" t="str">
        <f>IF($A84="","",IFERROR(VALUE(MID(TRIM('Template Setup'!$C$6),FIND("-",TRIM('Template Setup'!$C$6))+1,10)),0))</f>
        <v/>
      </c>
      <c r="O84" s="11" t="str">
        <f>IF($A84="","",IFERROR(VALUE(MID(TRIM('Template Setup'!$C$7),FIND("-",TRIM('Template Setup'!$C$7))+1,10)),0))</f>
        <v/>
      </c>
      <c r="P84" s="11" t="str">
        <f>IF($A84="","",IFERROR(VALUE(MID(TRIM('Template Setup'!$C$8),FIND("-",TRIM('Template Setup'!$C$8))+1,10)),0))</f>
        <v/>
      </c>
      <c r="Q84" s="9" t="str">
        <f>IF($A84="","",$A84&amp;"-"&amp;'Template Setup'!$C$16)</f>
        <v/>
      </c>
      <c r="R84" s="24" t="str">
        <f t="shared" si="5"/>
        <v/>
      </c>
      <c r="S84" s="24"/>
      <c r="T84" s="24" t="str">
        <f t="shared" si="6"/>
        <v/>
      </c>
      <c r="U84" s="6" t="str">
        <f t="shared" si="8"/>
        <v/>
      </c>
    </row>
    <row r="85" spans="1:21">
      <c r="A85" s="11"/>
      <c r="B85" s="11"/>
      <c r="C85" s="11"/>
      <c r="D85" s="11" t="str">
        <f>IF($A85="","",_xlfn.TEXTJOIN(", ",TRUE,IF($G85&gt;0,'Template Setup'!$C$4,""),IF($H85&gt;0,'Template Setup'!$C$5,""),IF($I85&gt;0,'Template Setup'!$C$6,""),IF($J85&gt;0,'Template Setup'!$C$7,""),IF($K85&gt;0,'Template Setup'!$C$8,"")))</f>
        <v/>
      </c>
      <c r="E85" s="6" t="str" cm="1">
        <f t="array" ref="E85">IF($A85="","",_xlfn.LET(_xlpm.sheets,CHOOSE({1,2,3,4,5},'Template Setup'!$C$4,'Template Setup'!$C$5,'Template Setup'!$C$6,'Template Setup'!$C$7,'Template Setup'!$C$8),_xlpm.nums,CHOOSE({1,2,3,4,5},$L85,$M85,$N85,$O85,$P85),_xlpm.qtys,CHOOSE({1,2,3,4,5},$G85,$H85,$I85,$J85,$K85),_xlpm.validNums,_xlfn._xlws.FILTER(_xlpm.nums,_xlpm.qtys&gt;0),_xlpm.validSheets,_xlfn._xlws.FILTER(_xlpm.sheets,_xlpm.qtys&gt;0),_xlpm.mx,IFERROR(MAX(_xlpm.validNums),0),IF(_xlpm.mx=0,"",INDEX(_xlpm.validSheets,MATCH(_xlpm.mx,_xlpm.validNums,0))&amp;" (+"&amp;$R85&amp;")")))</f>
        <v/>
      </c>
      <c r="F85" s="11" t="str">
        <f t="shared" si="7"/>
        <v/>
      </c>
      <c r="G85" s="12" t="str">
        <f ca="1">IF($A85="","",IFERROR(SUMIF(INDIRECT("'"&amp;'Template Setup'!$C$4&amp;"'!C:C"),$A85,INDIRECT("'"&amp;'Template Setup'!$C$4&amp;"'!A:A")),0))</f>
        <v/>
      </c>
      <c r="H85" s="12" t="str">
        <f ca="1">IF($A85="","",IFERROR(SUMIF(INDIRECT("'"&amp;'Template Setup'!$C$5&amp;"'!C:C"),$A85,INDIRECT("'"&amp;'Template Setup'!$C$5&amp;"'!A:A")),0))</f>
        <v/>
      </c>
      <c r="I85" s="12" t="str">
        <f ca="1">IF($A85="","",IFERROR(SUMIF(INDIRECT("'"&amp;'Template Setup'!$C$6&amp;"'!C:C"),$A85,INDIRECT("'"&amp;'Template Setup'!$C$6&amp;"'!A:A")),0))</f>
        <v/>
      </c>
      <c r="J85" s="12" t="str">
        <f ca="1">IF($A85="","",IFERROR(SUMIF(INDIRECT("'"&amp;'Template Setup'!$C$7&amp;"'!C:C"),$A85,INDIRECT("'"&amp;'Template Setup'!$C$7&amp;"'!A:A")),0))</f>
        <v/>
      </c>
      <c r="K85" s="12" t="str">
        <f ca="1">IF($A85="","",IFERROR(SUMIF(INDIRECT("'"&amp;'Template Setup'!$C$8&amp;"'!C:C"),$A85,INDIRECT("'"&amp;'Template Setup'!$C$8&amp;"'!A:A")),0))</f>
        <v/>
      </c>
      <c r="L85" s="11" t="str">
        <f>IF($A85="","",IFERROR(VALUE(MID(TRIM('Template Setup'!$C$4),FIND("-",TRIM('Template Setup'!$C$4))+1,10)),0))</f>
        <v/>
      </c>
      <c r="M85" s="11" t="str">
        <f>IF($A85="","",IFERROR(VALUE(MID(TRIM('Template Setup'!$C$5),FIND("-",TRIM('Template Setup'!$C$5))+1,10)),0))</f>
        <v/>
      </c>
      <c r="N85" s="11" t="str">
        <f>IF($A85="","",IFERROR(VALUE(MID(TRIM('Template Setup'!$C$6),FIND("-",TRIM('Template Setup'!$C$6))+1,10)),0))</f>
        <v/>
      </c>
      <c r="O85" s="11" t="str">
        <f>IF($A85="","",IFERROR(VALUE(MID(TRIM('Template Setup'!$C$7),FIND("-",TRIM('Template Setup'!$C$7))+1,10)),0))</f>
        <v/>
      </c>
      <c r="P85" s="11" t="str">
        <f>IF($A85="","",IFERROR(VALUE(MID(TRIM('Template Setup'!$C$8),FIND("-",TRIM('Template Setup'!$C$8))+1,10)),0))</f>
        <v/>
      </c>
      <c r="Q85" s="9" t="str">
        <f>IF($A85="","",$A85&amp;"-"&amp;'Template Setup'!$C$16)</f>
        <v/>
      </c>
      <c r="R85" s="24" t="str">
        <f t="shared" si="5"/>
        <v/>
      </c>
      <c r="S85" s="24"/>
      <c r="T85" s="24" t="str">
        <f t="shared" si="6"/>
        <v/>
      </c>
      <c r="U85" s="6" t="str">
        <f t="shared" si="8"/>
        <v/>
      </c>
    </row>
    <row r="86" spans="1:21">
      <c r="A86" s="11"/>
      <c r="B86" s="11"/>
      <c r="C86" s="11"/>
      <c r="D86" s="11" t="str">
        <f>IF($A86="","",_xlfn.TEXTJOIN(", ",TRUE,IF($G86&gt;0,'Template Setup'!$C$4,""),IF($H86&gt;0,'Template Setup'!$C$5,""),IF($I86&gt;0,'Template Setup'!$C$6,""),IF($J86&gt;0,'Template Setup'!$C$7,""),IF($K86&gt;0,'Template Setup'!$C$8,"")))</f>
        <v/>
      </c>
      <c r="E86" s="6" t="str" cm="1">
        <f t="array" ref="E86">IF($A86="","",_xlfn.LET(_xlpm.sheets,CHOOSE({1,2,3,4,5},'Template Setup'!$C$4,'Template Setup'!$C$5,'Template Setup'!$C$6,'Template Setup'!$C$7,'Template Setup'!$C$8),_xlpm.nums,CHOOSE({1,2,3,4,5},$L86,$M86,$N86,$O86,$P86),_xlpm.qtys,CHOOSE({1,2,3,4,5},$G86,$H86,$I86,$J86,$K86),_xlpm.validNums,_xlfn._xlws.FILTER(_xlpm.nums,_xlpm.qtys&gt;0),_xlpm.validSheets,_xlfn._xlws.FILTER(_xlpm.sheets,_xlpm.qtys&gt;0),_xlpm.mx,IFERROR(MAX(_xlpm.validNums),0),IF(_xlpm.mx=0,"",INDEX(_xlpm.validSheets,MATCH(_xlpm.mx,_xlpm.validNums,0))&amp;" (+"&amp;$R86&amp;")")))</f>
        <v/>
      </c>
      <c r="F86" s="11" t="str">
        <f t="shared" si="7"/>
        <v/>
      </c>
      <c r="G86" s="12" t="str">
        <f ca="1">IF($A86="","",IFERROR(SUMIF(INDIRECT("'"&amp;'Template Setup'!$C$4&amp;"'!C:C"),$A86,INDIRECT("'"&amp;'Template Setup'!$C$4&amp;"'!A:A")),0))</f>
        <v/>
      </c>
      <c r="H86" s="12" t="str">
        <f ca="1">IF($A86="","",IFERROR(SUMIF(INDIRECT("'"&amp;'Template Setup'!$C$5&amp;"'!C:C"),$A86,INDIRECT("'"&amp;'Template Setup'!$C$5&amp;"'!A:A")),0))</f>
        <v/>
      </c>
      <c r="I86" s="12" t="str">
        <f ca="1">IF($A86="","",IFERROR(SUMIF(INDIRECT("'"&amp;'Template Setup'!$C$6&amp;"'!C:C"),$A86,INDIRECT("'"&amp;'Template Setup'!$C$6&amp;"'!A:A")),0))</f>
        <v/>
      </c>
      <c r="J86" s="12" t="str">
        <f ca="1">IF($A86="","",IFERROR(SUMIF(INDIRECT("'"&amp;'Template Setup'!$C$7&amp;"'!C:C"),$A86,INDIRECT("'"&amp;'Template Setup'!$C$7&amp;"'!A:A")),0))</f>
        <v/>
      </c>
      <c r="K86" s="12" t="str">
        <f ca="1">IF($A86="","",IFERROR(SUMIF(INDIRECT("'"&amp;'Template Setup'!$C$8&amp;"'!C:C"),$A86,INDIRECT("'"&amp;'Template Setup'!$C$8&amp;"'!A:A")),0))</f>
        <v/>
      </c>
      <c r="L86" s="11" t="str">
        <f>IF($A86="","",IFERROR(VALUE(MID(TRIM('Template Setup'!$C$4),FIND("-",TRIM('Template Setup'!$C$4))+1,10)),0))</f>
        <v/>
      </c>
      <c r="M86" s="11" t="str">
        <f>IF($A86="","",IFERROR(VALUE(MID(TRIM('Template Setup'!$C$5),FIND("-",TRIM('Template Setup'!$C$5))+1,10)),0))</f>
        <v/>
      </c>
      <c r="N86" s="11" t="str">
        <f>IF($A86="","",IFERROR(VALUE(MID(TRIM('Template Setup'!$C$6),FIND("-",TRIM('Template Setup'!$C$6))+1,10)),0))</f>
        <v/>
      </c>
      <c r="O86" s="11" t="str">
        <f>IF($A86="","",IFERROR(VALUE(MID(TRIM('Template Setup'!$C$7),FIND("-",TRIM('Template Setup'!$C$7))+1,10)),0))</f>
        <v/>
      </c>
      <c r="P86" s="11" t="str">
        <f>IF($A86="","",IFERROR(VALUE(MID(TRIM('Template Setup'!$C$8),FIND("-",TRIM('Template Setup'!$C$8))+1,10)),0))</f>
        <v/>
      </c>
      <c r="Q86" s="9" t="str">
        <f>IF($A86="","",$A86&amp;"-"&amp;'Template Setup'!$C$16)</f>
        <v/>
      </c>
      <c r="R86" s="24" t="str">
        <f t="shared" si="5"/>
        <v/>
      </c>
      <c r="S86" s="24"/>
      <c r="T86" s="24" t="str">
        <f t="shared" si="6"/>
        <v/>
      </c>
      <c r="U86" s="6" t="str">
        <f t="shared" si="8"/>
        <v/>
      </c>
    </row>
    <row r="87" spans="1:21">
      <c r="A87" s="11"/>
      <c r="B87" s="11"/>
      <c r="C87" s="11"/>
      <c r="D87" s="11" t="str">
        <f>IF($A87="","",_xlfn.TEXTJOIN(", ",TRUE,IF($G87&gt;0,'Template Setup'!$C$4,""),IF($H87&gt;0,'Template Setup'!$C$5,""),IF($I87&gt;0,'Template Setup'!$C$6,""),IF($J87&gt;0,'Template Setup'!$C$7,""),IF($K87&gt;0,'Template Setup'!$C$8,"")))</f>
        <v/>
      </c>
      <c r="E87" s="6" t="str" cm="1">
        <f t="array" ref="E87">IF($A87="","",_xlfn.LET(_xlpm.sheets,CHOOSE({1,2,3,4,5},'Template Setup'!$C$4,'Template Setup'!$C$5,'Template Setup'!$C$6,'Template Setup'!$C$7,'Template Setup'!$C$8),_xlpm.nums,CHOOSE({1,2,3,4,5},$L87,$M87,$N87,$O87,$P87),_xlpm.qtys,CHOOSE({1,2,3,4,5},$G87,$H87,$I87,$J87,$K87),_xlpm.validNums,_xlfn._xlws.FILTER(_xlpm.nums,_xlpm.qtys&gt;0),_xlpm.validSheets,_xlfn._xlws.FILTER(_xlpm.sheets,_xlpm.qtys&gt;0),_xlpm.mx,IFERROR(MAX(_xlpm.validNums),0),IF(_xlpm.mx=0,"",INDEX(_xlpm.validSheets,MATCH(_xlpm.mx,_xlpm.validNums,0))&amp;" (+"&amp;$R87&amp;")")))</f>
        <v/>
      </c>
      <c r="F87" s="11" t="str">
        <f t="shared" si="7"/>
        <v/>
      </c>
      <c r="G87" s="12" t="str">
        <f ca="1">IF($A87="","",IFERROR(SUMIF(INDIRECT("'"&amp;'Template Setup'!$C$4&amp;"'!C:C"),$A87,INDIRECT("'"&amp;'Template Setup'!$C$4&amp;"'!A:A")),0))</f>
        <v/>
      </c>
      <c r="H87" s="12" t="str">
        <f ca="1">IF($A87="","",IFERROR(SUMIF(INDIRECT("'"&amp;'Template Setup'!$C$5&amp;"'!C:C"),$A87,INDIRECT("'"&amp;'Template Setup'!$C$5&amp;"'!A:A")),0))</f>
        <v/>
      </c>
      <c r="I87" s="12" t="str">
        <f ca="1">IF($A87="","",IFERROR(SUMIF(INDIRECT("'"&amp;'Template Setup'!$C$6&amp;"'!C:C"),$A87,INDIRECT("'"&amp;'Template Setup'!$C$6&amp;"'!A:A")),0))</f>
        <v/>
      </c>
      <c r="J87" s="12" t="str">
        <f ca="1">IF($A87="","",IFERROR(SUMIF(INDIRECT("'"&amp;'Template Setup'!$C$7&amp;"'!C:C"),$A87,INDIRECT("'"&amp;'Template Setup'!$C$7&amp;"'!A:A")),0))</f>
        <v/>
      </c>
      <c r="K87" s="12" t="str">
        <f ca="1">IF($A87="","",IFERROR(SUMIF(INDIRECT("'"&amp;'Template Setup'!$C$8&amp;"'!C:C"),$A87,INDIRECT("'"&amp;'Template Setup'!$C$8&amp;"'!A:A")),0))</f>
        <v/>
      </c>
      <c r="L87" s="11" t="str">
        <f>IF($A87="","",IFERROR(VALUE(MID(TRIM('Template Setup'!$C$4),FIND("-",TRIM('Template Setup'!$C$4))+1,10)),0))</f>
        <v/>
      </c>
      <c r="M87" s="11" t="str">
        <f>IF($A87="","",IFERROR(VALUE(MID(TRIM('Template Setup'!$C$5),FIND("-",TRIM('Template Setup'!$C$5))+1,10)),0))</f>
        <v/>
      </c>
      <c r="N87" s="11" t="str">
        <f>IF($A87="","",IFERROR(VALUE(MID(TRIM('Template Setup'!$C$6),FIND("-",TRIM('Template Setup'!$C$6))+1,10)),0))</f>
        <v/>
      </c>
      <c r="O87" s="11" t="str">
        <f>IF($A87="","",IFERROR(VALUE(MID(TRIM('Template Setup'!$C$7),FIND("-",TRIM('Template Setup'!$C$7))+1,10)),0))</f>
        <v/>
      </c>
      <c r="P87" s="11" t="str">
        <f>IF($A87="","",IFERROR(VALUE(MID(TRIM('Template Setup'!$C$8),FIND("-",TRIM('Template Setup'!$C$8))+1,10)),0))</f>
        <v/>
      </c>
      <c r="Q87" s="9" t="str">
        <f>IF($A87="","",$A87&amp;"-"&amp;'Template Setup'!$C$16)</f>
        <v/>
      </c>
      <c r="R87" s="24" t="str">
        <f t="shared" si="5"/>
        <v/>
      </c>
      <c r="S87" s="24"/>
      <c r="T87" s="24" t="str">
        <f t="shared" si="6"/>
        <v/>
      </c>
      <c r="U87" s="6" t="str">
        <f t="shared" si="8"/>
        <v/>
      </c>
    </row>
    <row r="88" spans="1:21">
      <c r="A88" s="11"/>
      <c r="B88" s="11"/>
      <c r="C88" s="11"/>
      <c r="D88" s="11" t="str">
        <f>IF($A88="","",_xlfn.TEXTJOIN(", ",TRUE,IF($G88&gt;0,'Template Setup'!$C$4,""),IF($H88&gt;0,'Template Setup'!$C$5,""),IF($I88&gt;0,'Template Setup'!$C$6,""),IF($J88&gt;0,'Template Setup'!$C$7,""),IF($K88&gt;0,'Template Setup'!$C$8,"")))</f>
        <v/>
      </c>
      <c r="E88" s="6" t="str" cm="1">
        <f t="array" ref="E88">IF($A88="","",_xlfn.LET(_xlpm.sheets,CHOOSE({1,2,3,4,5},'Template Setup'!$C$4,'Template Setup'!$C$5,'Template Setup'!$C$6,'Template Setup'!$C$7,'Template Setup'!$C$8),_xlpm.nums,CHOOSE({1,2,3,4,5},$L88,$M88,$N88,$O88,$P88),_xlpm.qtys,CHOOSE({1,2,3,4,5},$G88,$H88,$I88,$J88,$K88),_xlpm.validNums,_xlfn._xlws.FILTER(_xlpm.nums,_xlpm.qtys&gt;0),_xlpm.validSheets,_xlfn._xlws.FILTER(_xlpm.sheets,_xlpm.qtys&gt;0),_xlpm.mx,IFERROR(MAX(_xlpm.validNums),0),IF(_xlpm.mx=0,"",INDEX(_xlpm.validSheets,MATCH(_xlpm.mx,_xlpm.validNums,0))&amp;" (+"&amp;$R88&amp;")")))</f>
        <v/>
      </c>
      <c r="F88" s="11" t="str">
        <f t="shared" si="7"/>
        <v/>
      </c>
      <c r="G88" s="12" t="str">
        <f ca="1">IF($A88="","",IFERROR(SUMIF(INDIRECT("'"&amp;'Template Setup'!$C$4&amp;"'!C:C"),$A88,INDIRECT("'"&amp;'Template Setup'!$C$4&amp;"'!A:A")),0))</f>
        <v/>
      </c>
      <c r="H88" s="12" t="str">
        <f ca="1">IF($A88="","",IFERROR(SUMIF(INDIRECT("'"&amp;'Template Setup'!$C$5&amp;"'!C:C"),$A88,INDIRECT("'"&amp;'Template Setup'!$C$5&amp;"'!A:A")),0))</f>
        <v/>
      </c>
      <c r="I88" s="12" t="str">
        <f ca="1">IF($A88="","",IFERROR(SUMIF(INDIRECT("'"&amp;'Template Setup'!$C$6&amp;"'!C:C"),$A88,INDIRECT("'"&amp;'Template Setup'!$C$6&amp;"'!A:A")),0))</f>
        <v/>
      </c>
      <c r="J88" s="12" t="str">
        <f ca="1">IF($A88="","",IFERROR(SUMIF(INDIRECT("'"&amp;'Template Setup'!$C$7&amp;"'!C:C"),$A88,INDIRECT("'"&amp;'Template Setup'!$C$7&amp;"'!A:A")),0))</f>
        <v/>
      </c>
      <c r="K88" s="12" t="str">
        <f ca="1">IF($A88="","",IFERROR(SUMIF(INDIRECT("'"&amp;'Template Setup'!$C$8&amp;"'!C:C"),$A88,INDIRECT("'"&amp;'Template Setup'!$C$8&amp;"'!A:A")),0))</f>
        <v/>
      </c>
      <c r="L88" s="11" t="str">
        <f>IF($A88="","",IFERROR(VALUE(MID(TRIM('Template Setup'!$C$4),FIND("-",TRIM('Template Setup'!$C$4))+1,10)),0))</f>
        <v/>
      </c>
      <c r="M88" s="11" t="str">
        <f>IF($A88="","",IFERROR(VALUE(MID(TRIM('Template Setup'!$C$5),FIND("-",TRIM('Template Setup'!$C$5))+1,10)),0))</f>
        <v/>
      </c>
      <c r="N88" s="11" t="str">
        <f>IF($A88="","",IFERROR(VALUE(MID(TRIM('Template Setup'!$C$6),FIND("-",TRIM('Template Setup'!$C$6))+1,10)),0))</f>
        <v/>
      </c>
      <c r="O88" s="11" t="str">
        <f>IF($A88="","",IFERROR(VALUE(MID(TRIM('Template Setup'!$C$7),FIND("-",TRIM('Template Setup'!$C$7))+1,10)),0))</f>
        <v/>
      </c>
      <c r="P88" s="11" t="str">
        <f>IF($A88="","",IFERROR(VALUE(MID(TRIM('Template Setup'!$C$8),FIND("-",TRIM('Template Setup'!$C$8))+1,10)),0))</f>
        <v/>
      </c>
      <c r="Q88" s="9" t="str">
        <f>IF($A88="","",$A88&amp;"-"&amp;'Template Setup'!$C$16)</f>
        <v/>
      </c>
      <c r="R88" s="24" t="str">
        <f t="shared" si="5"/>
        <v/>
      </c>
      <c r="S88" s="24"/>
      <c r="T88" s="24" t="str">
        <f t="shared" si="6"/>
        <v/>
      </c>
      <c r="U88" s="6" t="str">
        <f t="shared" si="8"/>
        <v/>
      </c>
    </row>
    <row r="89" spans="1:21">
      <c r="A89" s="11"/>
      <c r="B89" s="11"/>
      <c r="C89" s="11"/>
      <c r="D89" s="11" t="str">
        <f>IF($A89="","",_xlfn.TEXTJOIN(", ",TRUE,IF($G89&gt;0,'Template Setup'!$C$4,""),IF($H89&gt;0,'Template Setup'!$C$5,""),IF($I89&gt;0,'Template Setup'!$C$6,""),IF($J89&gt;0,'Template Setup'!$C$7,""),IF($K89&gt;0,'Template Setup'!$C$8,"")))</f>
        <v/>
      </c>
      <c r="E89" s="6" t="str" cm="1">
        <f t="array" ref="E89">IF($A89="","",_xlfn.LET(_xlpm.sheets,CHOOSE({1,2,3,4,5},'Template Setup'!$C$4,'Template Setup'!$C$5,'Template Setup'!$C$6,'Template Setup'!$C$7,'Template Setup'!$C$8),_xlpm.nums,CHOOSE({1,2,3,4,5},$L89,$M89,$N89,$O89,$P89),_xlpm.qtys,CHOOSE({1,2,3,4,5},$G89,$H89,$I89,$J89,$K89),_xlpm.validNums,_xlfn._xlws.FILTER(_xlpm.nums,_xlpm.qtys&gt;0),_xlpm.validSheets,_xlfn._xlws.FILTER(_xlpm.sheets,_xlpm.qtys&gt;0),_xlpm.mx,IFERROR(MAX(_xlpm.validNums),0),IF(_xlpm.mx=0,"",INDEX(_xlpm.validSheets,MATCH(_xlpm.mx,_xlpm.validNums,0))&amp;" (+"&amp;$R89&amp;")")))</f>
        <v/>
      </c>
      <c r="F89" s="11" t="str">
        <f t="shared" si="7"/>
        <v/>
      </c>
      <c r="G89" s="12" t="str">
        <f ca="1">IF($A89="","",IFERROR(SUMIF(INDIRECT("'"&amp;'Template Setup'!$C$4&amp;"'!C:C"),$A89,INDIRECT("'"&amp;'Template Setup'!$C$4&amp;"'!A:A")),0))</f>
        <v/>
      </c>
      <c r="H89" s="12" t="str">
        <f ca="1">IF($A89="","",IFERROR(SUMIF(INDIRECT("'"&amp;'Template Setup'!$C$5&amp;"'!C:C"),$A89,INDIRECT("'"&amp;'Template Setup'!$C$5&amp;"'!A:A")),0))</f>
        <v/>
      </c>
      <c r="I89" s="12" t="str">
        <f ca="1">IF($A89="","",IFERROR(SUMIF(INDIRECT("'"&amp;'Template Setup'!$C$6&amp;"'!C:C"),$A89,INDIRECT("'"&amp;'Template Setup'!$C$6&amp;"'!A:A")),0))</f>
        <v/>
      </c>
      <c r="J89" s="12" t="str">
        <f ca="1">IF($A89="","",IFERROR(SUMIF(INDIRECT("'"&amp;'Template Setup'!$C$7&amp;"'!C:C"),$A89,INDIRECT("'"&amp;'Template Setup'!$C$7&amp;"'!A:A")),0))</f>
        <v/>
      </c>
      <c r="K89" s="12" t="str">
        <f ca="1">IF($A89="","",IFERROR(SUMIF(INDIRECT("'"&amp;'Template Setup'!$C$8&amp;"'!C:C"),$A89,INDIRECT("'"&amp;'Template Setup'!$C$8&amp;"'!A:A")),0))</f>
        <v/>
      </c>
      <c r="L89" s="11" t="str">
        <f>IF($A89="","",IFERROR(VALUE(MID(TRIM('Template Setup'!$C$4),FIND("-",TRIM('Template Setup'!$C$4))+1,10)),0))</f>
        <v/>
      </c>
      <c r="M89" s="11" t="str">
        <f>IF($A89="","",IFERROR(VALUE(MID(TRIM('Template Setup'!$C$5),FIND("-",TRIM('Template Setup'!$C$5))+1,10)),0))</f>
        <v/>
      </c>
      <c r="N89" s="11" t="str">
        <f>IF($A89="","",IFERROR(VALUE(MID(TRIM('Template Setup'!$C$6),FIND("-",TRIM('Template Setup'!$C$6))+1,10)),0))</f>
        <v/>
      </c>
      <c r="O89" s="11" t="str">
        <f>IF($A89="","",IFERROR(VALUE(MID(TRIM('Template Setup'!$C$7),FIND("-",TRIM('Template Setup'!$C$7))+1,10)),0))</f>
        <v/>
      </c>
      <c r="P89" s="11" t="str">
        <f>IF($A89="","",IFERROR(VALUE(MID(TRIM('Template Setup'!$C$8),FIND("-",TRIM('Template Setup'!$C$8))+1,10)),0))</f>
        <v/>
      </c>
      <c r="Q89" s="9" t="str">
        <f>IF($A89="","",$A89&amp;"-"&amp;'Template Setup'!$C$16)</f>
        <v/>
      </c>
      <c r="R89" s="24" t="str">
        <f t="shared" si="5"/>
        <v/>
      </c>
      <c r="S89" s="24"/>
      <c r="T89" s="24" t="str">
        <f t="shared" si="6"/>
        <v/>
      </c>
      <c r="U89" s="6" t="str">
        <f t="shared" si="8"/>
        <v/>
      </c>
    </row>
    <row r="90" spans="1:21">
      <c r="A90" s="11"/>
      <c r="B90" s="11"/>
      <c r="C90" s="11"/>
      <c r="D90" s="11" t="str">
        <f>IF($A90="","",_xlfn.TEXTJOIN(", ",TRUE,IF($G90&gt;0,'Template Setup'!$C$4,""),IF($H90&gt;0,'Template Setup'!$C$5,""),IF($I90&gt;0,'Template Setup'!$C$6,""),IF($J90&gt;0,'Template Setup'!$C$7,""),IF($K90&gt;0,'Template Setup'!$C$8,"")))</f>
        <v/>
      </c>
      <c r="E90" s="6" t="str" cm="1">
        <f t="array" ref="E90">IF($A90="","",_xlfn.LET(_xlpm.sheets,CHOOSE({1,2,3,4,5},'Template Setup'!$C$4,'Template Setup'!$C$5,'Template Setup'!$C$6,'Template Setup'!$C$7,'Template Setup'!$C$8),_xlpm.nums,CHOOSE({1,2,3,4,5},$L90,$M90,$N90,$O90,$P90),_xlpm.qtys,CHOOSE({1,2,3,4,5},$G90,$H90,$I90,$J90,$K90),_xlpm.validNums,_xlfn._xlws.FILTER(_xlpm.nums,_xlpm.qtys&gt;0),_xlpm.validSheets,_xlfn._xlws.FILTER(_xlpm.sheets,_xlpm.qtys&gt;0),_xlpm.mx,IFERROR(MAX(_xlpm.validNums),0),IF(_xlpm.mx=0,"",INDEX(_xlpm.validSheets,MATCH(_xlpm.mx,_xlpm.validNums,0))&amp;" (+"&amp;$R90&amp;")")))</f>
        <v/>
      </c>
      <c r="F90" s="11" t="str">
        <f t="shared" si="7"/>
        <v/>
      </c>
      <c r="G90" s="12" t="str">
        <f ca="1">IF($A90="","",IFERROR(SUMIF(INDIRECT("'"&amp;'Template Setup'!$C$4&amp;"'!C:C"),$A90,INDIRECT("'"&amp;'Template Setup'!$C$4&amp;"'!A:A")),0))</f>
        <v/>
      </c>
      <c r="H90" s="12" t="str">
        <f ca="1">IF($A90="","",IFERROR(SUMIF(INDIRECT("'"&amp;'Template Setup'!$C$5&amp;"'!C:C"),$A90,INDIRECT("'"&amp;'Template Setup'!$C$5&amp;"'!A:A")),0))</f>
        <v/>
      </c>
      <c r="I90" s="12" t="str">
        <f ca="1">IF($A90="","",IFERROR(SUMIF(INDIRECT("'"&amp;'Template Setup'!$C$6&amp;"'!C:C"),$A90,INDIRECT("'"&amp;'Template Setup'!$C$6&amp;"'!A:A")),0))</f>
        <v/>
      </c>
      <c r="J90" s="12" t="str">
        <f ca="1">IF($A90="","",IFERROR(SUMIF(INDIRECT("'"&amp;'Template Setup'!$C$7&amp;"'!C:C"),$A90,INDIRECT("'"&amp;'Template Setup'!$C$7&amp;"'!A:A")),0))</f>
        <v/>
      </c>
      <c r="K90" s="12" t="str">
        <f ca="1">IF($A90="","",IFERROR(SUMIF(INDIRECT("'"&amp;'Template Setup'!$C$8&amp;"'!C:C"),$A90,INDIRECT("'"&amp;'Template Setup'!$C$8&amp;"'!A:A")),0))</f>
        <v/>
      </c>
      <c r="L90" s="11" t="str">
        <f>IF($A90="","",IFERROR(VALUE(MID(TRIM('Template Setup'!$C$4),FIND("-",TRIM('Template Setup'!$C$4))+1,10)),0))</f>
        <v/>
      </c>
      <c r="M90" s="11" t="str">
        <f>IF($A90="","",IFERROR(VALUE(MID(TRIM('Template Setup'!$C$5),FIND("-",TRIM('Template Setup'!$C$5))+1,10)),0))</f>
        <v/>
      </c>
      <c r="N90" s="11" t="str">
        <f>IF($A90="","",IFERROR(VALUE(MID(TRIM('Template Setup'!$C$6),FIND("-",TRIM('Template Setup'!$C$6))+1,10)),0))</f>
        <v/>
      </c>
      <c r="O90" s="11" t="str">
        <f>IF($A90="","",IFERROR(VALUE(MID(TRIM('Template Setup'!$C$7),FIND("-",TRIM('Template Setup'!$C$7))+1,10)),0))</f>
        <v/>
      </c>
      <c r="P90" s="11" t="str">
        <f>IF($A90="","",IFERROR(VALUE(MID(TRIM('Template Setup'!$C$8),FIND("-",TRIM('Template Setup'!$C$8))+1,10)),0))</f>
        <v/>
      </c>
      <c r="Q90" s="9" t="str">
        <f>IF($A90="","",$A90&amp;"-"&amp;'Template Setup'!$C$16)</f>
        <v/>
      </c>
      <c r="R90" s="24" t="str">
        <f t="shared" si="5"/>
        <v/>
      </c>
      <c r="S90" s="24"/>
      <c r="T90" s="24" t="str">
        <f t="shared" si="6"/>
        <v/>
      </c>
      <c r="U90" s="6" t="str">
        <f t="shared" si="8"/>
        <v/>
      </c>
    </row>
    <row r="91" spans="1:21">
      <c r="A91" s="11"/>
      <c r="B91" s="11"/>
      <c r="C91" s="11"/>
      <c r="D91" s="11" t="str">
        <f>IF($A91="","",_xlfn.TEXTJOIN(", ",TRUE,IF($G91&gt;0,'Template Setup'!$C$4,""),IF($H91&gt;0,'Template Setup'!$C$5,""),IF($I91&gt;0,'Template Setup'!$C$6,""),IF($J91&gt;0,'Template Setup'!$C$7,""),IF($K91&gt;0,'Template Setup'!$C$8,"")))</f>
        <v/>
      </c>
      <c r="E91" s="6" t="str" cm="1">
        <f t="array" ref="E91">IF($A91="","",_xlfn.LET(_xlpm.sheets,CHOOSE({1,2,3,4,5},'Template Setup'!$C$4,'Template Setup'!$C$5,'Template Setup'!$C$6,'Template Setup'!$C$7,'Template Setup'!$C$8),_xlpm.nums,CHOOSE({1,2,3,4,5},$L91,$M91,$N91,$O91,$P91),_xlpm.qtys,CHOOSE({1,2,3,4,5},$G91,$H91,$I91,$J91,$K91),_xlpm.validNums,_xlfn._xlws.FILTER(_xlpm.nums,_xlpm.qtys&gt;0),_xlpm.validSheets,_xlfn._xlws.FILTER(_xlpm.sheets,_xlpm.qtys&gt;0),_xlpm.mx,IFERROR(MAX(_xlpm.validNums),0),IF(_xlpm.mx=0,"",INDEX(_xlpm.validSheets,MATCH(_xlpm.mx,_xlpm.validNums,0))&amp;" (+"&amp;$R91&amp;")")))</f>
        <v/>
      </c>
      <c r="F91" s="11" t="str">
        <f t="shared" si="7"/>
        <v/>
      </c>
      <c r="G91" s="12" t="str">
        <f ca="1">IF($A91="","",IFERROR(SUMIF(INDIRECT("'"&amp;'Template Setup'!$C$4&amp;"'!C:C"),$A91,INDIRECT("'"&amp;'Template Setup'!$C$4&amp;"'!A:A")),0))</f>
        <v/>
      </c>
      <c r="H91" s="12" t="str">
        <f ca="1">IF($A91="","",IFERROR(SUMIF(INDIRECT("'"&amp;'Template Setup'!$C$5&amp;"'!C:C"),$A91,INDIRECT("'"&amp;'Template Setup'!$C$5&amp;"'!A:A")),0))</f>
        <v/>
      </c>
      <c r="I91" s="12" t="str">
        <f ca="1">IF($A91="","",IFERROR(SUMIF(INDIRECT("'"&amp;'Template Setup'!$C$6&amp;"'!C:C"),$A91,INDIRECT("'"&amp;'Template Setup'!$C$6&amp;"'!A:A")),0))</f>
        <v/>
      </c>
      <c r="J91" s="12" t="str">
        <f ca="1">IF($A91="","",IFERROR(SUMIF(INDIRECT("'"&amp;'Template Setup'!$C$7&amp;"'!C:C"),$A91,INDIRECT("'"&amp;'Template Setup'!$C$7&amp;"'!A:A")),0))</f>
        <v/>
      </c>
      <c r="K91" s="12" t="str">
        <f ca="1">IF($A91="","",IFERROR(SUMIF(INDIRECT("'"&amp;'Template Setup'!$C$8&amp;"'!C:C"),$A91,INDIRECT("'"&amp;'Template Setup'!$C$8&amp;"'!A:A")),0))</f>
        <v/>
      </c>
      <c r="L91" s="11" t="str">
        <f>IF($A91="","",IFERROR(VALUE(MID(TRIM('Template Setup'!$C$4),FIND("-",TRIM('Template Setup'!$C$4))+1,10)),0))</f>
        <v/>
      </c>
      <c r="M91" s="11" t="str">
        <f>IF($A91="","",IFERROR(VALUE(MID(TRIM('Template Setup'!$C$5),FIND("-",TRIM('Template Setup'!$C$5))+1,10)),0))</f>
        <v/>
      </c>
      <c r="N91" s="11" t="str">
        <f>IF($A91="","",IFERROR(VALUE(MID(TRIM('Template Setup'!$C$6),FIND("-",TRIM('Template Setup'!$C$6))+1,10)),0))</f>
        <v/>
      </c>
      <c r="O91" s="11" t="str">
        <f>IF($A91="","",IFERROR(VALUE(MID(TRIM('Template Setup'!$C$7),FIND("-",TRIM('Template Setup'!$C$7))+1,10)),0))</f>
        <v/>
      </c>
      <c r="P91" s="11" t="str">
        <f>IF($A91="","",IFERROR(VALUE(MID(TRIM('Template Setup'!$C$8),FIND("-",TRIM('Template Setup'!$C$8))+1,10)),0))</f>
        <v/>
      </c>
      <c r="Q91" s="9" t="str">
        <f>IF($A91="","",$A91&amp;"-"&amp;'Template Setup'!$C$16)</f>
        <v/>
      </c>
      <c r="R91" s="24" t="str">
        <f t="shared" si="5"/>
        <v/>
      </c>
      <c r="S91" s="24"/>
      <c r="T91" s="24" t="str">
        <f t="shared" si="6"/>
        <v/>
      </c>
      <c r="U91" s="6" t="str">
        <f t="shared" si="8"/>
        <v/>
      </c>
    </row>
    <row r="92" spans="1:21">
      <c r="A92" s="11"/>
      <c r="B92" s="11"/>
      <c r="C92" s="11"/>
      <c r="D92" s="11" t="str">
        <f>IF($A92="","",_xlfn.TEXTJOIN(", ",TRUE,IF($G92&gt;0,'Template Setup'!$C$4,""),IF($H92&gt;0,'Template Setup'!$C$5,""),IF($I92&gt;0,'Template Setup'!$C$6,""),IF($J92&gt;0,'Template Setup'!$C$7,""),IF($K92&gt;0,'Template Setup'!$C$8,"")))</f>
        <v/>
      </c>
      <c r="E92" s="6" t="str" cm="1">
        <f t="array" ref="E92">IF($A92="","",_xlfn.LET(_xlpm.sheets,CHOOSE({1,2,3,4,5},'Template Setup'!$C$4,'Template Setup'!$C$5,'Template Setup'!$C$6,'Template Setup'!$C$7,'Template Setup'!$C$8),_xlpm.nums,CHOOSE({1,2,3,4,5},$L92,$M92,$N92,$O92,$P92),_xlpm.qtys,CHOOSE({1,2,3,4,5},$G92,$H92,$I92,$J92,$K92),_xlpm.validNums,_xlfn._xlws.FILTER(_xlpm.nums,_xlpm.qtys&gt;0),_xlpm.validSheets,_xlfn._xlws.FILTER(_xlpm.sheets,_xlpm.qtys&gt;0),_xlpm.mx,IFERROR(MAX(_xlpm.validNums),0),IF(_xlpm.mx=0,"",INDEX(_xlpm.validSheets,MATCH(_xlpm.mx,_xlpm.validNums,0))&amp;" (+"&amp;$R92&amp;")")))</f>
        <v/>
      </c>
      <c r="F92" s="11" t="str">
        <f t="shared" si="7"/>
        <v/>
      </c>
      <c r="G92" s="12" t="str">
        <f ca="1">IF($A92="","",IFERROR(SUMIF(INDIRECT("'"&amp;'Template Setup'!$C$4&amp;"'!C:C"),$A92,INDIRECT("'"&amp;'Template Setup'!$C$4&amp;"'!A:A")),0))</f>
        <v/>
      </c>
      <c r="H92" s="12" t="str">
        <f ca="1">IF($A92="","",IFERROR(SUMIF(INDIRECT("'"&amp;'Template Setup'!$C$5&amp;"'!C:C"),$A92,INDIRECT("'"&amp;'Template Setup'!$C$5&amp;"'!A:A")),0))</f>
        <v/>
      </c>
      <c r="I92" s="12" t="str">
        <f ca="1">IF($A92="","",IFERROR(SUMIF(INDIRECT("'"&amp;'Template Setup'!$C$6&amp;"'!C:C"),$A92,INDIRECT("'"&amp;'Template Setup'!$C$6&amp;"'!A:A")),0))</f>
        <v/>
      </c>
      <c r="J92" s="12" t="str">
        <f ca="1">IF($A92="","",IFERROR(SUMIF(INDIRECT("'"&amp;'Template Setup'!$C$7&amp;"'!C:C"),$A92,INDIRECT("'"&amp;'Template Setup'!$C$7&amp;"'!A:A")),0))</f>
        <v/>
      </c>
      <c r="K92" s="12" t="str">
        <f ca="1">IF($A92="","",IFERROR(SUMIF(INDIRECT("'"&amp;'Template Setup'!$C$8&amp;"'!C:C"),$A92,INDIRECT("'"&amp;'Template Setup'!$C$8&amp;"'!A:A")),0))</f>
        <v/>
      </c>
      <c r="L92" s="11" t="str">
        <f>IF($A92="","",IFERROR(VALUE(MID(TRIM('Template Setup'!$C$4),FIND("-",TRIM('Template Setup'!$C$4))+1,10)),0))</f>
        <v/>
      </c>
      <c r="M92" s="11" t="str">
        <f>IF($A92="","",IFERROR(VALUE(MID(TRIM('Template Setup'!$C$5),FIND("-",TRIM('Template Setup'!$C$5))+1,10)),0))</f>
        <v/>
      </c>
      <c r="N92" s="11" t="str">
        <f>IF($A92="","",IFERROR(VALUE(MID(TRIM('Template Setup'!$C$6),FIND("-",TRIM('Template Setup'!$C$6))+1,10)),0))</f>
        <v/>
      </c>
      <c r="O92" s="11" t="str">
        <f>IF($A92="","",IFERROR(VALUE(MID(TRIM('Template Setup'!$C$7),FIND("-",TRIM('Template Setup'!$C$7))+1,10)),0))</f>
        <v/>
      </c>
      <c r="P92" s="11" t="str">
        <f>IF($A92="","",IFERROR(VALUE(MID(TRIM('Template Setup'!$C$8),FIND("-",TRIM('Template Setup'!$C$8))+1,10)),0))</f>
        <v/>
      </c>
      <c r="Q92" s="9" t="str">
        <f>IF($A92="","",$A92&amp;"-"&amp;'Template Setup'!$C$16)</f>
        <v/>
      </c>
      <c r="R92" s="24" t="str">
        <f t="shared" si="5"/>
        <v/>
      </c>
      <c r="S92" s="24"/>
      <c r="T92" s="24" t="str">
        <f t="shared" si="6"/>
        <v/>
      </c>
      <c r="U92" s="6" t="str">
        <f t="shared" si="8"/>
        <v/>
      </c>
    </row>
    <row r="93" spans="1:21">
      <c r="A93" s="11"/>
      <c r="B93" s="11"/>
      <c r="C93" s="11"/>
      <c r="D93" s="11" t="str">
        <f>IF($A93="","",_xlfn.TEXTJOIN(", ",TRUE,IF($G93&gt;0,'Template Setup'!$C$4,""),IF($H93&gt;0,'Template Setup'!$C$5,""),IF($I93&gt;0,'Template Setup'!$C$6,""),IF($J93&gt;0,'Template Setup'!$C$7,""),IF($K93&gt;0,'Template Setup'!$C$8,"")))</f>
        <v/>
      </c>
      <c r="E93" s="6" t="str" cm="1">
        <f t="array" ref="E93">IF($A93="","",_xlfn.LET(_xlpm.sheets,CHOOSE({1,2,3,4,5},'Template Setup'!$C$4,'Template Setup'!$C$5,'Template Setup'!$C$6,'Template Setup'!$C$7,'Template Setup'!$C$8),_xlpm.nums,CHOOSE({1,2,3,4,5},$L93,$M93,$N93,$O93,$P93),_xlpm.qtys,CHOOSE({1,2,3,4,5},$G93,$H93,$I93,$J93,$K93),_xlpm.validNums,_xlfn._xlws.FILTER(_xlpm.nums,_xlpm.qtys&gt;0),_xlpm.validSheets,_xlfn._xlws.FILTER(_xlpm.sheets,_xlpm.qtys&gt;0),_xlpm.mx,IFERROR(MAX(_xlpm.validNums),0),IF(_xlpm.mx=0,"",INDEX(_xlpm.validSheets,MATCH(_xlpm.mx,_xlpm.validNums,0))&amp;" (+"&amp;$R93&amp;")")))</f>
        <v/>
      </c>
      <c r="F93" s="11" t="str">
        <f t="shared" si="7"/>
        <v/>
      </c>
      <c r="G93" s="12" t="str">
        <f ca="1">IF($A93="","",IFERROR(SUMIF(INDIRECT("'"&amp;'Template Setup'!$C$4&amp;"'!C:C"),$A93,INDIRECT("'"&amp;'Template Setup'!$C$4&amp;"'!A:A")),0))</f>
        <v/>
      </c>
      <c r="H93" s="12" t="str">
        <f ca="1">IF($A93="","",IFERROR(SUMIF(INDIRECT("'"&amp;'Template Setup'!$C$5&amp;"'!C:C"),$A93,INDIRECT("'"&amp;'Template Setup'!$C$5&amp;"'!A:A")),0))</f>
        <v/>
      </c>
      <c r="I93" s="12" t="str">
        <f ca="1">IF($A93="","",IFERROR(SUMIF(INDIRECT("'"&amp;'Template Setup'!$C$6&amp;"'!C:C"),$A93,INDIRECT("'"&amp;'Template Setup'!$C$6&amp;"'!A:A")),0))</f>
        <v/>
      </c>
      <c r="J93" s="12" t="str">
        <f ca="1">IF($A93="","",IFERROR(SUMIF(INDIRECT("'"&amp;'Template Setup'!$C$7&amp;"'!C:C"),$A93,INDIRECT("'"&amp;'Template Setup'!$C$7&amp;"'!A:A")),0))</f>
        <v/>
      </c>
      <c r="K93" s="12" t="str">
        <f ca="1">IF($A93="","",IFERROR(SUMIF(INDIRECT("'"&amp;'Template Setup'!$C$8&amp;"'!C:C"),$A93,INDIRECT("'"&amp;'Template Setup'!$C$8&amp;"'!A:A")),0))</f>
        <v/>
      </c>
      <c r="L93" s="11" t="str">
        <f>IF($A93="","",IFERROR(VALUE(MID(TRIM('Template Setup'!$C$4),FIND("-",TRIM('Template Setup'!$C$4))+1,10)),0))</f>
        <v/>
      </c>
      <c r="M93" s="11" t="str">
        <f>IF($A93="","",IFERROR(VALUE(MID(TRIM('Template Setup'!$C$5),FIND("-",TRIM('Template Setup'!$C$5))+1,10)),0))</f>
        <v/>
      </c>
      <c r="N93" s="11" t="str">
        <f>IF($A93="","",IFERROR(VALUE(MID(TRIM('Template Setup'!$C$6),FIND("-",TRIM('Template Setup'!$C$6))+1,10)),0))</f>
        <v/>
      </c>
      <c r="O93" s="11" t="str">
        <f>IF($A93="","",IFERROR(VALUE(MID(TRIM('Template Setup'!$C$7),FIND("-",TRIM('Template Setup'!$C$7))+1,10)),0))</f>
        <v/>
      </c>
      <c r="P93" s="11" t="str">
        <f>IF($A93="","",IFERROR(VALUE(MID(TRIM('Template Setup'!$C$8),FIND("-",TRIM('Template Setup'!$C$8))+1,10)),0))</f>
        <v/>
      </c>
      <c r="Q93" s="9" t="str">
        <f>IF($A93="","",$A93&amp;"-"&amp;'Template Setup'!$C$16)</f>
        <v/>
      </c>
      <c r="R93" s="24" t="str">
        <f t="shared" si="5"/>
        <v/>
      </c>
      <c r="S93" s="24"/>
      <c r="T93" s="24" t="str">
        <f t="shared" si="6"/>
        <v/>
      </c>
      <c r="U93" s="6" t="str">
        <f t="shared" si="8"/>
        <v/>
      </c>
    </row>
    <row r="94" spans="1:21">
      <c r="A94" s="11"/>
      <c r="B94" s="11"/>
      <c r="C94" s="11"/>
      <c r="D94" s="11" t="str">
        <f>IF($A94="","",_xlfn.TEXTJOIN(", ",TRUE,IF($G94&gt;0,'Template Setup'!$C$4,""),IF($H94&gt;0,'Template Setup'!$C$5,""),IF($I94&gt;0,'Template Setup'!$C$6,""),IF($J94&gt;0,'Template Setup'!$C$7,""),IF($K94&gt;0,'Template Setup'!$C$8,"")))</f>
        <v/>
      </c>
      <c r="E94" s="6" t="str" cm="1">
        <f t="array" ref="E94">IF($A94="","",_xlfn.LET(_xlpm.sheets,CHOOSE({1,2,3,4,5},'Template Setup'!$C$4,'Template Setup'!$C$5,'Template Setup'!$C$6,'Template Setup'!$C$7,'Template Setup'!$C$8),_xlpm.nums,CHOOSE({1,2,3,4,5},$L94,$M94,$N94,$O94,$P94),_xlpm.qtys,CHOOSE({1,2,3,4,5},$G94,$H94,$I94,$J94,$K94),_xlpm.validNums,_xlfn._xlws.FILTER(_xlpm.nums,_xlpm.qtys&gt;0),_xlpm.validSheets,_xlfn._xlws.FILTER(_xlpm.sheets,_xlpm.qtys&gt;0),_xlpm.mx,IFERROR(MAX(_xlpm.validNums),0),IF(_xlpm.mx=0,"",INDEX(_xlpm.validSheets,MATCH(_xlpm.mx,_xlpm.validNums,0))&amp;" (+"&amp;$R94&amp;")")))</f>
        <v/>
      </c>
      <c r="F94" s="11" t="str">
        <f t="shared" si="7"/>
        <v/>
      </c>
      <c r="G94" s="12" t="str">
        <f ca="1">IF($A94="","",IFERROR(SUMIF(INDIRECT("'"&amp;'Template Setup'!$C$4&amp;"'!C:C"),$A94,INDIRECT("'"&amp;'Template Setup'!$C$4&amp;"'!A:A")),0))</f>
        <v/>
      </c>
      <c r="H94" s="12" t="str">
        <f ca="1">IF($A94="","",IFERROR(SUMIF(INDIRECT("'"&amp;'Template Setup'!$C$5&amp;"'!C:C"),$A94,INDIRECT("'"&amp;'Template Setup'!$C$5&amp;"'!A:A")),0))</f>
        <v/>
      </c>
      <c r="I94" s="12" t="str">
        <f ca="1">IF($A94="","",IFERROR(SUMIF(INDIRECT("'"&amp;'Template Setup'!$C$6&amp;"'!C:C"),$A94,INDIRECT("'"&amp;'Template Setup'!$C$6&amp;"'!A:A")),0))</f>
        <v/>
      </c>
      <c r="J94" s="12" t="str">
        <f ca="1">IF($A94="","",IFERROR(SUMIF(INDIRECT("'"&amp;'Template Setup'!$C$7&amp;"'!C:C"),$A94,INDIRECT("'"&amp;'Template Setup'!$C$7&amp;"'!A:A")),0))</f>
        <v/>
      </c>
      <c r="K94" s="12" t="str">
        <f ca="1">IF($A94="","",IFERROR(SUMIF(INDIRECT("'"&amp;'Template Setup'!$C$8&amp;"'!C:C"),$A94,INDIRECT("'"&amp;'Template Setup'!$C$8&amp;"'!A:A")),0))</f>
        <v/>
      </c>
      <c r="L94" s="11" t="str">
        <f>IF($A94="","",IFERROR(VALUE(MID(TRIM('Template Setup'!$C$4),FIND("-",TRIM('Template Setup'!$C$4))+1,10)),0))</f>
        <v/>
      </c>
      <c r="M94" s="11" t="str">
        <f>IF($A94="","",IFERROR(VALUE(MID(TRIM('Template Setup'!$C$5),FIND("-",TRIM('Template Setup'!$C$5))+1,10)),0))</f>
        <v/>
      </c>
      <c r="N94" s="11" t="str">
        <f>IF($A94="","",IFERROR(VALUE(MID(TRIM('Template Setup'!$C$6),FIND("-",TRIM('Template Setup'!$C$6))+1,10)),0))</f>
        <v/>
      </c>
      <c r="O94" s="11" t="str">
        <f>IF($A94="","",IFERROR(VALUE(MID(TRIM('Template Setup'!$C$7),FIND("-",TRIM('Template Setup'!$C$7))+1,10)),0))</f>
        <v/>
      </c>
      <c r="P94" s="11" t="str">
        <f>IF($A94="","",IFERROR(VALUE(MID(TRIM('Template Setup'!$C$8),FIND("-",TRIM('Template Setup'!$C$8))+1,10)),0))</f>
        <v/>
      </c>
      <c r="Q94" s="9" t="str">
        <f>IF($A94="","",$A94&amp;"-"&amp;'Template Setup'!$C$16)</f>
        <v/>
      </c>
      <c r="R94" s="24" t="str">
        <f t="shared" si="5"/>
        <v/>
      </c>
      <c r="S94" s="24"/>
      <c r="T94" s="24" t="str">
        <f t="shared" si="6"/>
        <v/>
      </c>
      <c r="U94" s="6" t="str">
        <f t="shared" si="8"/>
        <v/>
      </c>
    </row>
    <row r="95" spans="1:21">
      <c r="A95" s="11"/>
      <c r="B95" s="11"/>
      <c r="C95" s="11"/>
      <c r="D95" s="11" t="str">
        <f>IF($A95="","",_xlfn.TEXTJOIN(", ",TRUE,IF($G95&gt;0,'Template Setup'!$C$4,""),IF($H95&gt;0,'Template Setup'!$C$5,""),IF($I95&gt;0,'Template Setup'!$C$6,""),IF($J95&gt;0,'Template Setup'!$C$7,""),IF($K95&gt;0,'Template Setup'!$C$8,"")))</f>
        <v/>
      </c>
      <c r="E95" s="6" t="str" cm="1">
        <f t="array" ref="E95">IF($A95="","",_xlfn.LET(_xlpm.sheets,CHOOSE({1,2,3,4,5},'Template Setup'!$C$4,'Template Setup'!$C$5,'Template Setup'!$C$6,'Template Setup'!$C$7,'Template Setup'!$C$8),_xlpm.nums,CHOOSE({1,2,3,4,5},$L95,$M95,$N95,$O95,$P95),_xlpm.qtys,CHOOSE({1,2,3,4,5},$G95,$H95,$I95,$J95,$K95),_xlpm.validNums,_xlfn._xlws.FILTER(_xlpm.nums,_xlpm.qtys&gt;0),_xlpm.validSheets,_xlfn._xlws.FILTER(_xlpm.sheets,_xlpm.qtys&gt;0),_xlpm.mx,IFERROR(MAX(_xlpm.validNums),0),IF(_xlpm.mx=0,"",INDEX(_xlpm.validSheets,MATCH(_xlpm.mx,_xlpm.validNums,0))&amp;" (+"&amp;$R95&amp;")")))</f>
        <v/>
      </c>
      <c r="F95" s="11" t="str">
        <f t="shared" si="7"/>
        <v/>
      </c>
      <c r="G95" s="12" t="str">
        <f ca="1">IF($A95="","",IFERROR(SUMIF(INDIRECT("'"&amp;'Template Setup'!$C$4&amp;"'!C:C"),$A95,INDIRECT("'"&amp;'Template Setup'!$C$4&amp;"'!A:A")),0))</f>
        <v/>
      </c>
      <c r="H95" s="12" t="str">
        <f ca="1">IF($A95="","",IFERROR(SUMIF(INDIRECT("'"&amp;'Template Setup'!$C$5&amp;"'!C:C"),$A95,INDIRECT("'"&amp;'Template Setup'!$C$5&amp;"'!A:A")),0))</f>
        <v/>
      </c>
      <c r="I95" s="12" t="str">
        <f ca="1">IF($A95="","",IFERROR(SUMIF(INDIRECT("'"&amp;'Template Setup'!$C$6&amp;"'!C:C"),$A95,INDIRECT("'"&amp;'Template Setup'!$C$6&amp;"'!A:A")),0))</f>
        <v/>
      </c>
      <c r="J95" s="12" t="str">
        <f ca="1">IF($A95="","",IFERROR(SUMIF(INDIRECT("'"&amp;'Template Setup'!$C$7&amp;"'!C:C"),$A95,INDIRECT("'"&amp;'Template Setup'!$C$7&amp;"'!A:A")),0))</f>
        <v/>
      </c>
      <c r="K95" s="12" t="str">
        <f ca="1">IF($A95="","",IFERROR(SUMIF(INDIRECT("'"&amp;'Template Setup'!$C$8&amp;"'!C:C"),$A95,INDIRECT("'"&amp;'Template Setup'!$C$8&amp;"'!A:A")),0))</f>
        <v/>
      </c>
      <c r="L95" s="11" t="str">
        <f>IF($A95="","",IFERROR(VALUE(MID(TRIM('Template Setup'!$C$4),FIND("-",TRIM('Template Setup'!$C$4))+1,10)),0))</f>
        <v/>
      </c>
      <c r="M95" s="11" t="str">
        <f>IF($A95="","",IFERROR(VALUE(MID(TRIM('Template Setup'!$C$5),FIND("-",TRIM('Template Setup'!$C$5))+1,10)),0))</f>
        <v/>
      </c>
      <c r="N95" s="11" t="str">
        <f>IF($A95="","",IFERROR(VALUE(MID(TRIM('Template Setup'!$C$6),FIND("-",TRIM('Template Setup'!$C$6))+1,10)),0))</f>
        <v/>
      </c>
      <c r="O95" s="11" t="str">
        <f>IF($A95="","",IFERROR(VALUE(MID(TRIM('Template Setup'!$C$7),FIND("-",TRIM('Template Setup'!$C$7))+1,10)),0))</f>
        <v/>
      </c>
      <c r="P95" s="11" t="str">
        <f>IF($A95="","",IFERROR(VALUE(MID(TRIM('Template Setup'!$C$8),FIND("-",TRIM('Template Setup'!$C$8))+1,10)),0))</f>
        <v/>
      </c>
      <c r="Q95" s="9" t="str">
        <f>IF($A95="","",$A95&amp;"-"&amp;'Template Setup'!$C$16)</f>
        <v/>
      </c>
      <c r="R95" s="24" t="str">
        <f t="shared" si="5"/>
        <v/>
      </c>
      <c r="S95" s="24"/>
      <c r="T95" s="24" t="str">
        <f t="shared" si="6"/>
        <v/>
      </c>
      <c r="U95" s="6" t="str">
        <f t="shared" si="8"/>
        <v/>
      </c>
    </row>
    <row r="96" spans="1:21">
      <c r="A96" s="11"/>
      <c r="B96" s="11"/>
      <c r="C96" s="11"/>
      <c r="D96" s="11" t="str">
        <f>IF($A96="","",_xlfn.TEXTJOIN(", ",TRUE,IF($G96&gt;0,'Template Setup'!$C$4,""),IF($H96&gt;0,'Template Setup'!$C$5,""),IF($I96&gt;0,'Template Setup'!$C$6,""),IF($J96&gt;0,'Template Setup'!$C$7,""),IF($K96&gt;0,'Template Setup'!$C$8,"")))</f>
        <v/>
      </c>
      <c r="E96" s="6" t="str" cm="1">
        <f t="array" ref="E96">IF($A96="","",_xlfn.LET(_xlpm.sheets,CHOOSE({1,2,3,4,5},'Template Setup'!$C$4,'Template Setup'!$C$5,'Template Setup'!$C$6,'Template Setup'!$C$7,'Template Setup'!$C$8),_xlpm.nums,CHOOSE({1,2,3,4,5},$L96,$M96,$N96,$O96,$P96),_xlpm.qtys,CHOOSE({1,2,3,4,5},$G96,$H96,$I96,$J96,$K96),_xlpm.validNums,_xlfn._xlws.FILTER(_xlpm.nums,_xlpm.qtys&gt;0),_xlpm.validSheets,_xlfn._xlws.FILTER(_xlpm.sheets,_xlpm.qtys&gt;0),_xlpm.mx,IFERROR(MAX(_xlpm.validNums),0),IF(_xlpm.mx=0,"",INDEX(_xlpm.validSheets,MATCH(_xlpm.mx,_xlpm.validNums,0))&amp;" (+"&amp;$R96&amp;")")))</f>
        <v/>
      </c>
      <c r="F96" s="11" t="str">
        <f t="shared" si="7"/>
        <v/>
      </c>
      <c r="G96" s="12" t="str">
        <f ca="1">IF($A96="","",IFERROR(SUMIF(INDIRECT("'"&amp;'Template Setup'!$C$4&amp;"'!C:C"),$A96,INDIRECT("'"&amp;'Template Setup'!$C$4&amp;"'!A:A")),0))</f>
        <v/>
      </c>
      <c r="H96" s="12" t="str">
        <f ca="1">IF($A96="","",IFERROR(SUMIF(INDIRECT("'"&amp;'Template Setup'!$C$5&amp;"'!C:C"),$A96,INDIRECT("'"&amp;'Template Setup'!$C$5&amp;"'!A:A")),0))</f>
        <v/>
      </c>
      <c r="I96" s="12" t="str">
        <f ca="1">IF($A96="","",IFERROR(SUMIF(INDIRECT("'"&amp;'Template Setup'!$C$6&amp;"'!C:C"),$A96,INDIRECT("'"&amp;'Template Setup'!$C$6&amp;"'!A:A")),0))</f>
        <v/>
      </c>
      <c r="J96" s="12" t="str">
        <f ca="1">IF($A96="","",IFERROR(SUMIF(INDIRECT("'"&amp;'Template Setup'!$C$7&amp;"'!C:C"),$A96,INDIRECT("'"&amp;'Template Setup'!$C$7&amp;"'!A:A")),0))</f>
        <v/>
      </c>
      <c r="K96" s="12" t="str">
        <f ca="1">IF($A96="","",IFERROR(SUMIF(INDIRECT("'"&amp;'Template Setup'!$C$8&amp;"'!C:C"),$A96,INDIRECT("'"&amp;'Template Setup'!$C$8&amp;"'!A:A")),0))</f>
        <v/>
      </c>
      <c r="L96" s="11" t="str">
        <f>IF($A96="","",IFERROR(VALUE(MID(TRIM('Template Setup'!$C$4),FIND("-",TRIM('Template Setup'!$C$4))+1,10)),0))</f>
        <v/>
      </c>
      <c r="M96" s="11" t="str">
        <f>IF($A96="","",IFERROR(VALUE(MID(TRIM('Template Setup'!$C$5),FIND("-",TRIM('Template Setup'!$C$5))+1,10)),0))</f>
        <v/>
      </c>
      <c r="N96" s="11" t="str">
        <f>IF($A96="","",IFERROR(VALUE(MID(TRIM('Template Setup'!$C$6),FIND("-",TRIM('Template Setup'!$C$6))+1,10)),0))</f>
        <v/>
      </c>
      <c r="O96" s="11" t="str">
        <f>IF($A96="","",IFERROR(VALUE(MID(TRIM('Template Setup'!$C$7),FIND("-",TRIM('Template Setup'!$C$7))+1,10)),0))</f>
        <v/>
      </c>
      <c r="P96" s="11" t="str">
        <f>IF($A96="","",IFERROR(VALUE(MID(TRIM('Template Setup'!$C$8),FIND("-",TRIM('Template Setup'!$C$8))+1,10)),0))</f>
        <v/>
      </c>
      <c r="Q96" s="9" t="str">
        <f>IF($A96="","",$A96&amp;"-"&amp;'Template Setup'!$C$16)</f>
        <v/>
      </c>
      <c r="R96" s="24" t="str">
        <f t="shared" si="5"/>
        <v/>
      </c>
      <c r="S96" s="24"/>
      <c r="T96" s="24" t="str">
        <f t="shared" si="6"/>
        <v/>
      </c>
      <c r="U96" s="6" t="str">
        <f t="shared" si="8"/>
        <v/>
      </c>
    </row>
    <row r="97" spans="1:21">
      <c r="A97" s="11"/>
      <c r="B97" s="11"/>
      <c r="C97" s="11"/>
      <c r="D97" s="11" t="str">
        <f>IF($A97="","",_xlfn.TEXTJOIN(", ",TRUE,IF($G97&gt;0,'Template Setup'!$C$4,""),IF($H97&gt;0,'Template Setup'!$C$5,""),IF($I97&gt;0,'Template Setup'!$C$6,""),IF($J97&gt;0,'Template Setup'!$C$7,""),IF($K97&gt;0,'Template Setup'!$C$8,"")))</f>
        <v/>
      </c>
      <c r="E97" s="6" t="str" cm="1">
        <f t="array" ref="E97">IF($A97="","",_xlfn.LET(_xlpm.sheets,CHOOSE({1,2,3,4,5},'Template Setup'!$C$4,'Template Setup'!$C$5,'Template Setup'!$C$6,'Template Setup'!$C$7,'Template Setup'!$C$8),_xlpm.nums,CHOOSE({1,2,3,4,5},$L97,$M97,$N97,$O97,$P97),_xlpm.qtys,CHOOSE({1,2,3,4,5},$G97,$H97,$I97,$J97,$K97),_xlpm.validNums,_xlfn._xlws.FILTER(_xlpm.nums,_xlpm.qtys&gt;0),_xlpm.validSheets,_xlfn._xlws.FILTER(_xlpm.sheets,_xlpm.qtys&gt;0),_xlpm.mx,IFERROR(MAX(_xlpm.validNums),0),IF(_xlpm.mx=0,"",INDEX(_xlpm.validSheets,MATCH(_xlpm.mx,_xlpm.validNums,0))&amp;" (+"&amp;$R97&amp;")")))</f>
        <v/>
      </c>
      <c r="F97" s="11" t="str">
        <f t="shared" si="7"/>
        <v/>
      </c>
      <c r="G97" s="12" t="str">
        <f ca="1">IF($A97="","",IFERROR(SUMIF(INDIRECT("'"&amp;'Template Setup'!$C$4&amp;"'!C:C"),$A97,INDIRECT("'"&amp;'Template Setup'!$C$4&amp;"'!A:A")),0))</f>
        <v/>
      </c>
      <c r="H97" s="12" t="str">
        <f ca="1">IF($A97="","",IFERROR(SUMIF(INDIRECT("'"&amp;'Template Setup'!$C$5&amp;"'!C:C"),$A97,INDIRECT("'"&amp;'Template Setup'!$C$5&amp;"'!A:A")),0))</f>
        <v/>
      </c>
      <c r="I97" s="12" t="str">
        <f ca="1">IF($A97="","",IFERROR(SUMIF(INDIRECT("'"&amp;'Template Setup'!$C$6&amp;"'!C:C"),$A97,INDIRECT("'"&amp;'Template Setup'!$C$6&amp;"'!A:A")),0))</f>
        <v/>
      </c>
      <c r="J97" s="12" t="str">
        <f ca="1">IF($A97="","",IFERROR(SUMIF(INDIRECT("'"&amp;'Template Setup'!$C$7&amp;"'!C:C"),$A97,INDIRECT("'"&amp;'Template Setup'!$C$7&amp;"'!A:A")),0))</f>
        <v/>
      </c>
      <c r="K97" s="12" t="str">
        <f ca="1">IF($A97="","",IFERROR(SUMIF(INDIRECT("'"&amp;'Template Setup'!$C$8&amp;"'!C:C"),$A97,INDIRECT("'"&amp;'Template Setup'!$C$8&amp;"'!A:A")),0))</f>
        <v/>
      </c>
      <c r="L97" s="11" t="str">
        <f>IF($A97="","",IFERROR(VALUE(MID(TRIM('Template Setup'!$C$4),FIND("-",TRIM('Template Setup'!$C$4))+1,10)),0))</f>
        <v/>
      </c>
      <c r="M97" s="11" t="str">
        <f>IF($A97="","",IFERROR(VALUE(MID(TRIM('Template Setup'!$C$5),FIND("-",TRIM('Template Setup'!$C$5))+1,10)),0))</f>
        <v/>
      </c>
      <c r="N97" s="11" t="str">
        <f>IF($A97="","",IFERROR(VALUE(MID(TRIM('Template Setup'!$C$6),FIND("-",TRIM('Template Setup'!$C$6))+1,10)),0))</f>
        <v/>
      </c>
      <c r="O97" s="11" t="str">
        <f>IF($A97="","",IFERROR(VALUE(MID(TRIM('Template Setup'!$C$7),FIND("-",TRIM('Template Setup'!$C$7))+1,10)),0))</f>
        <v/>
      </c>
      <c r="P97" s="11" t="str">
        <f>IF($A97="","",IFERROR(VALUE(MID(TRIM('Template Setup'!$C$8),FIND("-",TRIM('Template Setup'!$C$8))+1,10)),0))</f>
        <v/>
      </c>
      <c r="Q97" s="9" t="str">
        <f>IF($A97="","",$A97&amp;"-"&amp;'Template Setup'!$C$16)</f>
        <v/>
      </c>
      <c r="R97" s="24" t="str">
        <f t="shared" si="5"/>
        <v/>
      </c>
      <c r="S97" s="24"/>
      <c r="T97" s="24" t="str">
        <f t="shared" si="6"/>
        <v/>
      </c>
      <c r="U97" s="6" t="str">
        <f t="shared" si="8"/>
        <v/>
      </c>
    </row>
    <row r="98" spans="1:21">
      <c r="A98" s="11"/>
      <c r="B98" s="11"/>
      <c r="C98" s="11"/>
      <c r="D98" s="11" t="str">
        <f>IF($A98="","",_xlfn.TEXTJOIN(", ",TRUE,IF($G98&gt;0,'Template Setup'!$C$4,""),IF($H98&gt;0,'Template Setup'!$C$5,""),IF($I98&gt;0,'Template Setup'!$C$6,""),IF($J98&gt;0,'Template Setup'!$C$7,""),IF($K98&gt;0,'Template Setup'!$C$8,"")))</f>
        <v/>
      </c>
      <c r="E98" s="6" t="str" cm="1">
        <f t="array" ref="E98">IF($A98="","",_xlfn.LET(_xlpm.sheets,CHOOSE({1,2,3,4,5},'Template Setup'!$C$4,'Template Setup'!$C$5,'Template Setup'!$C$6,'Template Setup'!$C$7,'Template Setup'!$C$8),_xlpm.nums,CHOOSE({1,2,3,4,5},$L98,$M98,$N98,$O98,$P98),_xlpm.qtys,CHOOSE({1,2,3,4,5},$G98,$H98,$I98,$J98,$K98),_xlpm.validNums,_xlfn._xlws.FILTER(_xlpm.nums,_xlpm.qtys&gt;0),_xlpm.validSheets,_xlfn._xlws.FILTER(_xlpm.sheets,_xlpm.qtys&gt;0),_xlpm.mx,IFERROR(MAX(_xlpm.validNums),0),IF(_xlpm.mx=0,"",INDEX(_xlpm.validSheets,MATCH(_xlpm.mx,_xlpm.validNums,0))&amp;" (+"&amp;$R98&amp;")")))</f>
        <v/>
      </c>
      <c r="F98" s="11" t="str">
        <f t="shared" si="7"/>
        <v/>
      </c>
      <c r="G98" s="12" t="str">
        <f ca="1">IF($A98="","",IFERROR(SUMIF(INDIRECT("'"&amp;'Template Setup'!$C$4&amp;"'!C:C"),$A98,INDIRECT("'"&amp;'Template Setup'!$C$4&amp;"'!A:A")),0))</f>
        <v/>
      </c>
      <c r="H98" s="12" t="str">
        <f ca="1">IF($A98="","",IFERROR(SUMIF(INDIRECT("'"&amp;'Template Setup'!$C$5&amp;"'!C:C"),$A98,INDIRECT("'"&amp;'Template Setup'!$C$5&amp;"'!A:A")),0))</f>
        <v/>
      </c>
      <c r="I98" s="12" t="str">
        <f ca="1">IF($A98="","",IFERROR(SUMIF(INDIRECT("'"&amp;'Template Setup'!$C$6&amp;"'!C:C"),$A98,INDIRECT("'"&amp;'Template Setup'!$C$6&amp;"'!A:A")),0))</f>
        <v/>
      </c>
      <c r="J98" s="12" t="str">
        <f ca="1">IF($A98="","",IFERROR(SUMIF(INDIRECT("'"&amp;'Template Setup'!$C$7&amp;"'!C:C"),$A98,INDIRECT("'"&amp;'Template Setup'!$C$7&amp;"'!A:A")),0))</f>
        <v/>
      </c>
      <c r="K98" s="12" t="str">
        <f ca="1">IF($A98="","",IFERROR(SUMIF(INDIRECT("'"&amp;'Template Setup'!$C$8&amp;"'!C:C"),$A98,INDIRECT("'"&amp;'Template Setup'!$C$8&amp;"'!A:A")),0))</f>
        <v/>
      </c>
      <c r="L98" s="11" t="str">
        <f>IF($A98="","",IFERROR(VALUE(MID(TRIM('Template Setup'!$C$4),FIND("-",TRIM('Template Setup'!$C$4))+1,10)),0))</f>
        <v/>
      </c>
      <c r="M98" s="11" t="str">
        <f>IF($A98="","",IFERROR(VALUE(MID(TRIM('Template Setup'!$C$5),FIND("-",TRIM('Template Setup'!$C$5))+1,10)),0))</f>
        <v/>
      </c>
      <c r="N98" s="11" t="str">
        <f>IF($A98="","",IFERROR(VALUE(MID(TRIM('Template Setup'!$C$6),FIND("-",TRIM('Template Setup'!$C$6))+1,10)),0))</f>
        <v/>
      </c>
      <c r="O98" s="11" t="str">
        <f>IF($A98="","",IFERROR(VALUE(MID(TRIM('Template Setup'!$C$7),FIND("-",TRIM('Template Setup'!$C$7))+1,10)),0))</f>
        <v/>
      </c>
      <c r="P98" s="11" t="str">
        <f>IF($A98="","",IFERROR(VALUE(MID(TRIM('Template Setup'!$C$8),FIND("-",TRIM('Template Setup'!$C$8))+1,10)),0))</f>
        <v/>
      </c>
      <c r="Q98" s="9" t="str">
        <f>IF($A98="","",$A98&amp;"-"&amp;'Template Setup'!$C$16)</f>
        <v/>
      </c>
      <c r="R98" s="24" t="str">
        <f t="shared" si="5"/>
        <v/>
      </c>
      <c r="S98" s="24"/>
      <c r="T98" s="24" t="str">
        <f t="shared" si="6"/>
        <v/>
      </c>
      <c r="U98" s="6" t="str">
        <f t="shared" si="8"/>
        <v/>
      </c>
    </row>
    <row r="99" spans="1:21">
      <c r="A99" s="11"/>
      <c r="B99" s="11"/>
      <c r="C99" s="11"/>
      <c r="D99" s="11" t="str">
        <f>IF($A99="","",_xlfn.TEXTJOIN(", ",TRUE,IF($G99&gt;0,'Template Setup'!$C$4,""),IF($H99&gt;0,'Template Setup'!$C$5,""),IF($I99&gt;0,'Template Setup'!$C$6,""),IF($J99&gt;0,'Template Setup'!$C$7,""),IF($K99&gt;0,'Template Setup'!$C$8,"")))</f>
        <v/>
      </c>
      <c r="E99" s="6" t="str" cm="1">
        <f t="array" ref="E99">IF($A99="","",_xlfn.LET(_xlpm.sheets,CHOOSE({1,2,3,4,5},'Template Setup'!$C$4,'Template Setup'!$C$5,'Template Setup'!$C$6,'Template Setup'!$C$7,'Template Setup'!$C$8),_xlpm.nums,CHOOSE({1,2,3,4,5},$L99,$M99,$N99,$O99,$P99),_xlpm.qtys,CHOOSE({1,2,3,4,5},$G99,$H99,$I99,$J99,$K99),_xlpm.validNums,_xlfn._xlws.FILTER(_xlpm.nums,_xlpm.qtys&gt;0),_xlpm.validSheets,_xlfn._xlws.FILTER(_xlpm.sheets,_xlpm.qtys&gt;0),_xlpm.mx,IFERROR(MAX(_xlpm.validNums),0),IF(_xlpm.mx=0,"",INDEX(_xlpm.validSheets,MATCH(_xlpm.mx,_xlpm.validNums,0))&amp;" (+"&amp;$R99&amp;")")))</f>
        <v/>
      </c>
      <c r="F99" s="11" t="str">
        <f t="shared" si="7"/>
        <v/>
      </c>
      <c r="G99" s="12" t="str">
        <f ca="1">IF($A99="","",IFERROR(SUMIF(INDIRECT("'"&amp;'Template Setup'!$C$4&amp;"'!C:C"),$A99,INDIRECT("'"&amp;'Template Setup'!$C$4&amp;"'!A:A")),0))</f>
        <v/>
      </c>
      <c r="H99" s="12" t="str">
        <f ca="1">IF($A99="","",IFERROR(SUMIF(INDIRECT("'"&amp;'Template Setup'!$C$5&amp;"'!C:C"),$A99,INDIRECT("'"&amp;'Template Setup'!$C$5&amp;"'!A:A")),0))</f>
        <v/>
      </c>
      <c r="I99" s="12" t="str">
        <f ca="1">IF($A99="","",IFERROR(SUMIF(INDIRECT("'"&amp;'Template Setup'!$C$6&amp;"'!C:C"),$A99,INDIRECT("'"&amp;'Template Setup'!$C$6&amp;"'!A:A")),0))</f>
        <v/>
      </c>
      <c r="J99" s="12" t="str">
        <f ca="1">IF($A99="","",IFERROR(SUMIF(INDIRECT("'"&amp;'Template Setup'!$C$7&amp;"'!C:C"),$A99,INDIRECT("'"&amp;'Template Setup'!$C$7&amp;"'!A:A")),0))</f>
        <v/>
      </c>
      <c r="K99" s="12" t="str">
        <f ca="1">IF($A99="","",IFERROR(SUMIF(INDIRECT("'"&amp;'Template Setup'!$C$8&amp;"'!C:C"),$A99,INDIRECT("'"&amp;'Template Setup'!$C$8&amp;"'!A:A")),0))</f>
        <v/>
      </c>
      <c r="L99" s="11" t="str">
        <f>IF($A99="","",IFERROR(VALUE(MID(TRIM('Template Setup'!$C$4),FIND("-",TRIM('Template Setup'!$C$4))+1,10)),0))</f>
        <v/>
      </c>
      <c r="M99" s="11" t="str">
        <f>IF($A99="","",IFERROR(VALUE(MID(TRIM('Template Setup'!$C$5),FIND("-",TRIM('Template Setup'!$C$5))+1,10)),0))</f>
        <v/>
      </c>
      <c r="N99" s="11" t="str">
        <f>IF($A99="","",IFERROR(VALUE(MID(TRIM('Template Setup'!$C$6),FIND("-",TRIM('Template Setup'!$C$6))+1,10)),0))</f>
        <v/>
      </c>
      <c r="O99" s="11" t="str">
        <f>IF($A99="","",IFERROR(VALUE(MID(TRIM('Template Setup'!$C$7),FIND("-",TRIM('Template Setup'!$C$7))+1,10)),0))</f>
        <v/>
      </c>
      <c r="P99" s="11" t="str">
        <f>IF($A99="","",IFERROR(VALUE(MID(TRIM('Template Setup'!$C$8),FIND("-",TRIM('Template Setup'!$C$8))+1,10)),0))</f>
        <v/>
      </c>
      <c r="Q99" s="9" t="str">
        <f>IF($A99="","",$A99&amp;"-"&amp;'Template Setup'!$C$16)</f>
        <v/>
      </c>
      <c r="R99" s="24" t="str">
        <f t="shared" si="5"/>
        <v/>
      </c>
      <c r="S99" s="24"/>
      <c r="T99" s="24" t="str">
        <f t="shared" si="6"/>
        <v/>
      </c>
      <c r="U99" s="6" t="str">
        <f t="shared" si="8"/>
        <v/>
      </c>
    </row>
    <row r="100" spans="1:21">
      <c r="A100" s="11"/>
      <c r="B100" s="11"/>
      <c r="C100" s="11"/>
      <c r="D100" s="11" t="str">
        <f>IF($A100="","",_xlfn.TEXTJOIN(", ",TRUE,IF($G100&gt;0,'Template Setup'!$C$4,""),IF($H100&gt;0,'Template Setup'!$C$5,""),IF($I100&gt;0,'Template Setup'!$C$6,""),IF($J100&gt;0,'Template Setup'!$C$7,""),IF($K100&gt;0,'Template Setup'!$C$8,"")))</f>
        <v/>
      </c>
      <c r="E100" s="6" t="str" cm="1">
        <f t="array" ref="E100">IF($A100="","",_xlfn.LET(_xlpm.sheets,CHOOSE({1,2,3,4,5},'Template Setup'!$C$4,'Template Setup'!$C$5,'Template Setup'!$C$6,'Template Setup'!$C$7,'Template Setup'!$C$8),_xlpm.nums,CHOOSE({1,2,3,4,5},$L100,$M100,$N100,$O100,$P100),_xlpm.qtys,CHOOSE({1,2,3,4,5},$G100,$H100,$I100,$J100,$K100),_xlpm.validNums,_xlfn._xlws.FILTER(_xlpm.nums,_xlpm.qtys&gt;0),_xlpm.validSheets,_xlfn._xlws.FILTER(_xlpm.sheets,_xlpm.qtys&gt;0),_xlpm.mx,IFERROR(MAX(_xlpm.validNums),0),IF(_xlpm.mx=0,"",INDEX(_xlpm.validSheets,MATCH(_xlpm.mx,_xlpm.validNums,0))&amp;" (+"&amp;$R100&amp;")")))</f>
        <v/>
      </c>
      <c r="F100" s="11" t="str">
        <f t="shared" si="7"/>
        <v/>
      </c>
      <c r="G100" s="12" t="str">
        <f ca="1">IF($A100="","",IFERROR(SUMIF(INDIRECT("'"&amp;'Template Setup'!$C$4&amp;"'!C:C"),$A100,INDIRECT("'"&amp;'Template Setup'!$C$4&amp;"'!A:A")),0))</f>
        <v/>
      </c>
      <c r="H100" s="12" t="str">
        <f ca="1">IF($A100="","",IFERROR(SUMIF(INDIRECT("'"&amp;'Template Setup'!$C$5&amp;"'!C:C"),$A100,INDIRECT("'"&amp;'Template Setup'!$C$5&amp;"'!A:A")),0))</f>
        <v/>
      </c>
      <c r="I100" s="12" t="str">
        <f ca="1">IF($A100="","",IFERROR(SUMIF(INDIRECT("'"&amp;'Template Setup'!$C$6&amp;"'!C:C"),$A100,INDIRECT("'"&amp;'Template Setup'!$C$6&amp;"'!A:A")),0))</f>
        <v/>
      </c>
      <c r="J100" s="12" t="str">
        <f ca="1">IF($A100="","",IFERROR(SUMIF(INDIRECT("'"&amp;'Template Setup'!$C$7&amp;"'!C:C"),$A100,INDIRECT("'"&amp;'Template Setup'!$C$7&amp;"'!A:A")),0))</f>
        <v/>
      </c>
      <c r="K100" s="12" t="str">
        <f ca="1">IF($A100="","",IFERROR(SUMIF(INDIRECT("'"&amp;'Template Setup'!$C$8&amp;"'!C:C"),$A100,INDIRECT("'"&amp;'Template Setup'!$C$8&amp;"'!A:A")),0))</f>
        <v/>
      </c>
      <c r="L100" s="11" t="str">
        <f>IF($A100="","",IFERROR(VALUE(MID(TRIM('Template Setup'!$C$4),FIND("-",TRIM('Template Setup'!$C$4))+1,10)),0))</f>
        <v/>
      </c>
      <c r="M100" s="11" t="str">
        <f>IF($A100="","",IFERROR(VALUE(MID(TRIM('Template Setup'!$C$5),FIND("-",TRIM('Template Setup'!$C$5))+1,10)),0))</f>
        <v/>
      </c>
      <c r="N100" s="11" t="str">
        <f>IF($A100="","",IFERROR(VALUE(MID(TRIM('Template Setup'!$C$6),FIND("-",TRIM('Template Setup'!$C$6))+1,10)),0))</f>
        <v/>
      </c>
      <c r="O100" s="11" t="str">
        <f>IF($A100="","",IFERROR(VALUE(MID(TRIM('Template Setup'!$C$7),FIND("-",TRIM('Template Setup'!$C$7))+1,10)),0))</f>
        <v/>
      </c>
      <c r="P100" s="11" t="str">
        <f>IF($A100="","",IFERROR(VALUE(MID(TRIM('Template Setup'!$C$8),FIND("-",TRIM('Template Setup'!$C$8))+1,10)),0))</f>
        <v/>
      </c>
      <c r="Q100" s="9" t="str">
        <f>IF($A100="","",$A100&amp;"-"&amp;'Template Setup'!$C$16)</f>
        <v/>
      </c>
      <c r="R100" s="24" t="str">
        <f t="shared" si="5"/>
        <v/>
      </c>
      <c r="S100" s="24"/>
      <c r="T100" s="24" t="str">
        <f t="shared" si="6"/>
        <v/>
      </c>
      <c r="U100" s="6" t="str">
        <f t="shared" si="8"/>
        <v/>
      </c>
    </row>
    <row r="101" spans="1:21">
      <c r="A101" s="11"/>
      <c r="B101" s="11"/>
      <c r="C101" s="11"/>
      <c r="D101" s="11" t="str">
        <f>IF($A101="","",_xlfn.TEXTJOIN(", ",TRUE,IF($G101&gt;0,'Template Setup'!$C$4,""),IF($H101&gt;0,'Template Setup'!$C$5,""),IF($I101&gt;0,'Template Setup'!$C$6,""),IF($J101&gt;0,'Template Setup'!$C$7,""),IF($K101&gt;0,'Template Setup'!$C$8,"")))</f>
        <v/>
      </c>
      <c r="E101" s="6" t="str" cm="1">
        <f t="array" ref="E101">IF($A101="","",_xlfn.LET(_xlpm.sheets,CHOOSE({1,2,3,4,5},'Template Setup'!$C$4,'Template Setup'!$C$5,'Template Setup'!$C$6,'Template Setup'!$C$7,'Template Setup'!$C$8),_xlpm.nums,CHOOSE({1,2,3,4,5},$L101,$M101,$N101,$O101,$P101),_xlpm.qtys,CHOOSE({1,2,3,4,5},$G101,$H101,$I101,$J101,$K101),_xlpm.validNums,_xlfn._xlws.FILTER(_xlpm.nums,_xlpm.qtys&gt;0),_xlpm.validSheets,_xlfn._xlws.FILTER(_xlpm.sheets,_xlpm.qtys&gt;0),_xlpm.mx,IFERROR(MAX(_xlpm.validNums),0),IF(_xlpm.mx=0,"",INDEX(_xlpm.validSheets,MATCH(_xlpm.mx,_xlpm.validNums,0))&amp;" (+"&amp;$R101&amp;")")))</f>
        <v/>
      </c>
      <c r="F101" s="11" t="str">
        <f t="shared" si="7"/>
        <v/>
      </c>
      <c r="G101" s="12" t="str">
        <f ca="1">IF($A101="","",IFERROR(SUMIF(INDIRECT("'"&amp;'Template Setup'!$C$4&amp;"'!C:C"),$A101,INDIRECT("'"&amp;'Template Setup'!$C$4&amp;"'!A:A")),0))</f>
        <v/>
      </c>
      <c r="H101" s="12" t="str">
        <f ca="1">IF($A101="","",IFERROR(SUMIF(INDIRECT("'"&amp;'Template Setup'!$C$5&amp;"'!C:C"),$A101,INDIRECT("'"&amp;'Template Setup'!$C$5&amp;"'!A:A")),0))</f>
        <v/>
      </c>
      <c r="I101" s="12" t="str">
        <f ca="1">IF($A101="","",IFERROR(SUMIF(INDIRECT("'"&amp;'Template Setup'!$C$6&amp;"'!C:C"),$A101,INDIRECT("'"&amp;'Template Setup'!$C$6&amp;"'!A:A")),0))</f>
        <v/>
      </c>
      <c r="J101" s="12" t="str">
        <f ca="1">IF($A101="","",IFERROR(SUMIF(INDIRECT("'"&amp;'Template Setup'!$C$7&amp;"'!C:C"),$A101,INDIRECT("'"&amp;'Template Setup'!$C$7&amp;"'!A:A")),0))</f>
        <v/>
      </c>
      <c r="K101" s="12" t="str">
        <f ca="1">IF($A101="","",IFERROR(SUMIF(INDIRECT("'"&amp;'Template Setup'!$C$8&amp;"'!C:C"),$A101,INDIRECT("'"&amp;'Template Setup'!$C$8&amp;"'!A:A")),0))</f>
        <v/>
      </c>
      <c r="L101" s="11" t="str">
        <f>IF($A101="","",IFERROR(VALUE(MID(TRIM('Template Setup'!$C$4),FIND("-",TRIM('Template Setup'!$C$4))+1,10)),0))</f>
        <v/>
      </c>
      <c r="M101" s="11" t="str">
        <f>IF($A101="","",IFERROR(VALUE(MID(TRIM('Template Setup'!$C$5),FIND("-",TRIM('Template Setup'!$C$5))+1,10)),0))</f>
        <v/>
      </c>
      <c r="N101" s="11" t="str">
        <f>IF($A101="","",IFERROR(VALUE(MID(TRIM('Template Setup'!$C$6),FIND("-",TRIM('Template Setup'!$C$6))+1,10)),0))</f>
        <v/>
      </c>
      <c r="O101" s="11" t="str">
        <f>IF($A101="","",IFERROR(VALUE(MID(TRIM('Template Setup'!$C$7),FIND("-",TRIM('Template Setup'!$C$7))+1,10)),0))</f>
        <v/>
      </c>
      <c r="P101" s="11" t="str">
        <f>IF($A101="","",IFERROR(VALUE(MID(TRIM('Template Setup'!$C$8),FIND("-",TRIM('Template Setup'!$C$8))+1,10)),0))</f>
        <v/>
      </c>
      <c r="Q101" s="9" t="str">
        <f>IF($A101="","",$A101&amp;"-"&amp;'Template Setup'!$C$16)</f>
        <v/>
      </c>
      <c r="R101" s="24" t="str">
        <f t="shared" si="5"/>
        <v/>
      </c>
      <c r="S101" s="24"/>
      <c r="T101" s="24" t="str">
        <f t="shared" si="6"/>
        <v/>
      </c>
      <c r="U101" s="6" t="str">
        <f t="shared" si="8"/>
        <v/>
      </c>
    </row>
    <row r="102" spans="1:21">
      <c r="A102" s="11"/>
      <c r="B102" s="11"/>
      <c r="C102" s="11"/>
      <c r="D102" s="11" t="str">
        <f>IF($A102="","",_xlfn.TEXTJOIN(", ",TRUE,IF($G102&gt;0,'Template Setup'!$C$4,""),IF($H102&gt;0,'Template Setup'!$C$5,""),IF($I102&gt;0,'Template Setup'!$C$6,""),IF($J102&gt;0,'Template Setup'!$C$7,""),IF($K102&gt;0,'Template Setup'!$C$8,"")))</f>
        <v/>
      </c>
      <c r="E102" s="6" t="str" cm="1">
        <f t="array" ref="E102">IF($A102="","",_xlfn.LET(_xlpm.sheets,CHOOSE({1,2,3,4,5},'Template Setup'!$C$4,'Template Setup'!$C$5,'Template Setup'!$C$6,'Template Setup'!$C$7,'Template Setup'!$C$8),_xlpm.nums,CHOOSE({1,2,3,4,5},$L102,$M102,$N102,$O102,$P102),_xlpm.qtys,CHOOSE({1,2,3,4,5},$G102,$H102,$I102,$J102,$K102),_xlpm.validNums,_xlfn._xlws.FILTER(_xlpm.nums,_xlpm.qtys&gt;0),_xlpm.validSheets,_xlfn._xlws.FILTER(_xlpm.sheets,_xlpm.qtys&gt;0),_xlpm.mx,IFERROR(MAX(_xlpm.validNums),0),IF(_xlpm.mx=0,"",INDEX(_xlpm.validSheets,MATCH(_xlpm.mx,_xlpm.validNums,0))&amp;" (+"&amp;$R102&amp;")")))</f>
        <v/>
      </c>
      <c r="F102" s="11" t="str">
        <f t="shared" si="7"/>
        <v/>
      </c>
      <c r="G102" s="12" t="str">
        <f ca="1">IF($A102="","",IFERROR(SUMIF(INDIRECT("'"&amp;'Template Setup'!$C$4&amp;"'!C:C"),$A102,INDIRECT("'"&amp;'Template Setup'!$C$4&amp;"'!A:A")),0))</f>
        <v/>
      </c>
      <c r="H102" s="12" t="str">
        <f ca="1">IF($A102="","",IFERROR(SUMIF(INDIRECT("'"&amp;'Template Setup'!$C$5&amp;"'!C:C"),$A102,INDIRECT("'"&amp;'Template Setup'!$C$5&amp;"'!A:A")),0))</f>
        <v/>
      </c>
      <c r="I102" s="12" t="str">
        <f ca="1">IF($A102="","",IFERROR(SUMIF(INDIRECT("'"&amp;'Template Setup'!$C$6&amp;"'!C:C"),$A102,INDIRECT("'"&amp;'Template Setup'!$C$6&amp;"'!A:A")),0))</f>
        <v/>
      </c>
      <c r="J102" s="12" t="str">
        <f ca="1">IF($A102="","",IFERROR(SUMIF(INDIRECT("'"&amp;'Template Setup'!$C$7&amp;"'!C:C"),$A102,INDIRECT("'"&amp;'Template Setup'!$C$7&amp;"'!A:A")),0))</f>
        <v/>
      </c>
      <c r="K102" s="12" t="str">
        <f ca="1">IF($A102="","",IFERROR(SUMIF(INDIRECT("'"&amp;'Template Setup'!$C$8&amp;"'!C:C"),$A102,INDIRECT("'"&amp;'Template Setup'!$C$8&amp;"'!A:A")),0))</f>
        <v/>
      </c>
      <c r="L102" s="11" t="str">
        <f>IF($A102="","",IFERROR(VALUE(MID(TRIM('Template Setup'!$C$4),FIND("-",TRIM('Template Setup'!$C$4))+1,10)),0))</f>
        <v/>
      </c>
      <c r="M102" s="11" t="str">
        <f>IF($A102="","",IFERROR(VALUE(MID(TRIM('Template Setup'!$C$5),FIND("-",TRIM('Template Setup'!$C$5))+1,10)),0))</f>
        <v/>
      </c>
      <c r="N102" s="11" t="str">
        <f>IF($A102="","",IFERROR(VALUE(MID(TRIM('Template Setup'!$C$6),FIND("-",TRIM('Template Setup'!$C$6))+1,10)),0))</f>
        <v/>
      </c>
      <c r="O102" s="11" t="str">
        <f>IF($A102="","",IFERROR(VALUE(MID(TRIM('Template Setup'!$C$7),FIND("-",TRIM('Template Setup'!$C$7))+1,10)),0))</f>
        <v/>
      </c>
      <c r="P102" s="11" t="str">
        <f>IF($A102="","",IFERROR(VALUE(MID(TRIM('Template Setup'!$C$8),FIND("-",TRIM('Template Setup'!$C$8))+1,10)),0))</f>
        <v/>
      </c>
      <c r="Q102" s="9" t="str">
        <f>IF($A102="","",$A102&amp;"-"&amp;'Template Setup'!$C$16)</f>
        <v/>
      </c>
      <c r="R102" s="24" t="str">
        <f t="shared" si="5"/>
        <v/>
      </c>
      <c r="S102" s="24"/>
      <c r="T102" s="24" t="str">
        <f t="shared" si="6"/>
        <v/>
      </c>
      <c r="U102" s="6" t="str">
        <f t="shared" si="8"/>
        <v/>
      </c>
    </row>
    <row r="103" spans="1:21">
      <c r="A103" s="11"/>
      <c r="B103" s="11"/>
      <c r="C103" s="11"/>
      <c r="D103" s="11" t="str">
        <f>IF($A103="","",_xlfn.TEXTJOIN(", ",TRUE,IF($G103&gt;0,'Template Setup'!$C$4,""),IF($H103&gt;0,'Template Setup'!$C$5,""),IF($I103&gt;0,'Template Setup'!$C$6,""),IF($J103&gt;0,'Template Setup'!$C$7,""),IF($K103&gt;0,'Template Setup'!$C$8,"")))</f>
        <v/>
      </c>
      <c r="E103" s="6" t="str" cm="1">
        <f t="array" ref="E103">IF($A103="","",_xlfn.LET(_xlpm.sheets,CHOOSE({1,2,3,4,5},'Template Setup'!$C$4,'Template Setup'!$C$5,'Template Setup'!$C$6,'Template Setup'!$C$7,'Template Setup'!$C$8),_xlpm.nums,CHOOSE({1,2,3,4,5},$L103,$M103,$N103,$O103,$P103),_xlpm.qtys,CHOOSE({1,2,3,4,5},$G103,$H103,$I103,$J103,$K103),_xlpm.validNums,_xlfn._xlws.FILTER(_xlpm.nums,_xlpm.qtys&gt;0),_xlpm.validSheets,_xlfn._xlws.FILTER(_xlpm.sheets,_xlpm.qtys&gt;0),_xlpm.mx,IFERROR(MAX(_xlpm.validNums),0),IF(_xlpm.mx=0,"",INDEX(_xlpm.validSheets,MATCH(_xlpm.mx,_xlpm.validNums,0))&amp;" (+"&amp;$R103&amp;")")))</f>
        <v/>
      </c>
      <c r="F103" s="11" t="str">
        <f t="shared" si="7"/>
        <v/>
      </c>
      <c r="G103" s="12" t="str">
        <f ca="1">IF($A103="","",IFERROR(SUMIF(INDIRECT("'"&amp;'Template Setup'!$C$4&amp;"'!C:C"),$A103,INDIRECT("'"&amp;'Template Setup'!$C$4&amp;"'!A:A")),0))</f>
        <v/>
      </c>
      <c r="H103" s="12" t="str">
        <f ca="1">IF($A103="","",IFERROR(SUMIF(INDIRECT("'"&amp;'Template Setup'!$C$5&amp;"'!C:C"),$A103,INDIRECT("'"&amp;'Template Setup'!$C$5&amp;"'!A:A")),0))</f>
        <v/>
      </c>
      <c r="I103" s="12" t="str">
        <f ca="1">IF($A103="","",IFERROR(SUMIF(INDIRECT("'"&amp;'Template Setup'!$C$6&amp;"'!C:C"),$A103,INDIRECT("'"&amp;'Template Setup'!$C$6&amp;"'!A:A")),0))</f>
        <v/>
      </c>
      <c r="J103" s="12" t="str">
        <f ca="1">IF($A103="","",IFERROR(SUMIF(INDIRECT("'"&amp;'Template Setup'!$C$7&amp;"'!C:C"),$A103,INDIRECT("'"&amp;'Template Setup'!$C$7&amp;"'!A:A")),0))</f>
        <v/>
      </c>
      <c r="K103" s="12" t="str">
        <f ca="1">IF($A103="","",IFERROR(SUMIF(INDIRECT("'"&amp;'Template Setup'!$C$8&amp;"'!C:C"),$A103,INDIRECT("'"&amp;'Template Setup'!$C$8&amp;"'!A:A")),0))</f>
        <v/>
      </c>
      <c r="L103" s="11" t="str">
        <f>IF($A103="","",IFERROR(VALUE(MID(TRIM('Template Setup'!$C$4),FIND("-",TRIM('Template Setup'!$C$4))+1,10)),0))</f>
        <v/>
      </c>
      <c r="M103" s="11" t="str">
        <f>IF($A103="","",IFERROR(VALUE(MID(TRIM('Template Setup'!$C$5),FIND("-",TRIM('Template Setup'!$C$5))+1,10)),0))</f>
        <v/>
      </c>
      <c r="N103" s="11" t="str">
        <f>IF($A103="","",IFERROR(VALUE(MID(TRIM('Template Setup'!$C$6),FIND("-",TRIM('Template Setup'!$C$6))+1,10)),0))</f>
        <v/>
      </c>
      <c r="O103" s="11" t="str">
        <f>IF($A103="","",IFERROR(VALUE(MID(TRIM('Template Setup'!$C$7),FIND("-",TRIM('Template Setup'!$C$7))+1,10)),0))</f>
        <v/>
      </c>
      <c r="P103" s="11" t="str">
        <f>IF($A103="","",IFERROR(VALUE(MID(TRIM('Template Setup'!$C$8),FIND("-",TRIM('Template Setup'!$C$8))+1,10)),0))</f>
        <v/>
      </c>
      <c r="Q103" s="9" t="str">
        <f>IF($A103="","",$A103&amp;"-"&amp;'Template Setup'!$C$16)</f>
        <v/>
      </c>
      <c r="R103" s="24" t="str">
        <f t="shared" si="5"/>
        <v/>
      </c>
      <c r="S103" s="24"/>
      <c r="T103" s="24" t="str">
        <f t="shared" si="6"/>
        <v/>
      </c>
      <c r="U103" s="6" t="str">
        <f t="shared" si="8"/>
        <v/>
      </c>
    </row>
    <row r="104" spans="1:21">
      <c r="A104" s="11"/>
      <c r="B104" s="11"/>
      <c r="C104" s="11"/>
      <c r="D104" s="11" t="str">
        <f>IF($A104="","",_xlfn.TEXTJOIN(", ",TRUE,IF($G104&gt;0,'Template Setup'!$C$4,""),IF($H104&gt;0,'Template Setup'!$C$5,""),IF($I104&gt;0,'Template Setup'!$C$6,""),IF($J104&gt;0,'Template Setup'!$C$7,""),IF($K104&gt;0,'Template Setup'!$C$8,"")))</f>
        <v/>
      </c>
      <c r="E104" s="6" t="str" cm="1">
        <f t="array" ref="E104">IF($A104="","",_xlfn.LET(_xlpm.sheets,CHOOSE({1,2,3,4,5},'Template Setup'!$C$4,'Template Setup'!$C$5,'Template Setup'!$C$6,'Template Setup'!$C$7,'Template Setup'!$C$8),_xlpm.nums,CHOOSE({1,2,3,4,5},$L104,$M104,$N104,$O104,$P104),_xlpm.qtys,CHOOSE({1,2,3,4,5},$G104,$H104,$I104,$J104,$K104),_xlpm.validNums,_xlfn._xlws.FILTER(_xlpm.nums,_xlpm.qtys&gt;0),_xlpm.validSheets,_xlfn._xlws.FILTER(_xlpm.sheets,_xlpm.qtys&gt;0),_xlpm.mx,IFERROR(MAX(_xlpm.validNums),0),IF(_xlpm.mx=0,"",INDEX(_xlpm.validSheets,MATCH(_xlpm.mx,_xlpm.validNums,0))&amp;" (+"&amp;$R104&amp;")")))</f>
        <v/>
      </c>
      <c r="F104" s="11" t="str">
        <f t="shared" si="7"/>
        <v/>
      </c>
      <c r="G104" s="12" t="str">
        <f ca="1">IF($A104="","",IFERROR(SUMIF(INDIRECT("'"&amp;'Template Setup'!$C$4&amp;"'!C:C"),$A104,INDIRECT("'"&amp;'Template Setup'!$C$4&amp;"'!A:A")),0))</f>
        <v/>
      </c>
      <c r="H104" s="12" t="str">
        <f ca="1">IF($A104="","",IFERROR(SUMIF(INDIRECT("'"&amp;'Template Setup'!$C$5&amp;"'!C:C"),$A104,INDIRECT("'"&amp;'Template Setup'!$C$5&amp;"'!A:A")),0))</f>
        <v/>
      </c>
      <c r="I104" s="12" t="str">
        <f ca="1">IF($A104="","",IFERROR(SUMIF(INDIRECT("'"&amp;'Template Setup'!$C$6&amp;"'!C:C"),$A104,INDIRECT("'"&amp;'Template Setup'!$C$6&amp;"'!A:A")),0))</f>
        <v/>
      </c>
      <c r="J104" s="12" t="str">
        <f ca="1">IF($A104="","",IFERROR(SUMIF(INDIRECT("'"&amp;'Template Setup'!$C$7&amp;"'!C:C"),$A104,INDIRECT("'"&amp;'Template Setup'!$C$7&amp;"'!A:A")),0))</f>
        <v/>
      </c>
      <c r="K104" s="12" t="str">
        <f ca="1">IF($A104="","",IFERROR(SUMIF(INDIRECT("'"&amp;'Template Setup'!$C$8&amp;"'!C:C"),$A104,INDIRECT("'"&amp;'Template Setup'!$C$8&amp;"'!A:A")),0))</f>
        <v/>
      </c>
      <c r="L104" s="11" t="str">
        <f>IF($A104="","",IFERROR(VALUE(MID(TRIM('Template Setup'!$C$4),FIND("-",TRIM('Template Setup'!$C$4))+1,10)),0))</f>
        <v/>
      </c>
      <c r="M104" s="11" t="str">
        <f>IF($A104="","",IFERROR(VALUE(MID(TRIM('Template Setup'!$C$5),FIND("-",TRIM('Template Setup'!$C$5))+1,10)),0))</f>
        <v/>
      </c>
      <c r="N104" s="11" t="str">
        <f>IF($A104="","",IFERROR(VALUE(MID(TRIM('Template Setup'!$C$6),FIND("-",TRIM('Template Setup'!$C$6))+1,10)),0))</f>
        <v/>
      </c>
      <c r="O104" s="11" t="str">
        <f>IF($A104="","",IFERROR(VALUE(MID(TRIM('Template Setup'!$C$7),FIND("-",TRIM('Template Setup'!$C$7))+1,10)),0))</f>
        <v/>
      </c>
      <c r="P104" s="11" t="str">
        <f>IF($A104="","",IFERROR(VALUE(MID(TRIM('Template Setup'!$C$8),FIND("-",TRIM('Template Setup'!$C$8))+1,10)),0))</f>
        <v/>
      </c>
      <c r="Q104" s="9" t="str">
        <f>IF($A104="","",$A104&amp;"-"&amp;'Template Setup'!$C$16)</f>
        <v/>
      </c>
      <c r="R104" s="24" t="str">
        <f t="shared" si="5"/>
        <v/>
      </c>
      <c r="S104" s="24"/>
      <c r="T104" s="24" t="str">
        <f t="shared" si="6"/>
        <v/>
      </c>
      <c r="U104" s="6" t="str">
        <f t="shared" si="8"/>
        <v/>
      </c>
    </row>
    <row r="105" spans="1:21">
      <c r="A105" s="11"/>
      <c r="B105" s="11"/>
      <c r="C105" s="11"/>
      <c r="D105" s="11" t="str">
        <f>IF($A105="","",_xlfn.TEXTJOIN(", ",TRUE,IF($G105&gt;0,'Template Setup'!$C$4,""),IF($H105&gt;0,'Template Setup'!$C$5,""),IF($I105&gt;0,'Template Setup'!$C$6,""),IF($J105&gt;0,'Template Setup'!$C$7,""),IF($K105&gt;0,'Template Setup'!$C$8,"")))</f>
        <v/>
      </c>
      <c r="E105" s="6" t="str" cm="1">
        <f t="array" ref="E105">IF($A105="","",_xlfn.LET(_xlpm.sheets,CHOOSE({1,2,3,4,5},'Template Setup'!$C$4,'Template Setup'!$C$5,'Template Setup'!$C$6,'Template Setup'!$C$7,'Template Setup'!$C$8),_xlpm.nums,CHOOSE({1,2,3,4,5},$L105,$M105,$N105,$O105,$P105),_xlpm.qtys,CHOOSE({1,2,3,4,5},$G105,$H105,$I105,$J105,$K105),_xlpm.validNums,_xlfn._xlws.FILTER(_xlpm.nums,_xlpm.qtys&gt;0),_xlpm.validSheets,_xlfn._xlws.FILTER(_xlpm.sheets,_xlpm.qtys&gt;0),_xlpm.mx,IFERROR(MAX(_xlpm.validNums),0),IF(_xlpm.mx=0,"",INDEX(_xlpm.validSheets,MATCH(_xlpm.mx,_xlpm.validNums,0))&amp;" (+"&amp;$R105&amp;")")))</f>
        <v/>
      </c>
      <c r="F105" s="11" t="str">
        <f t="shared" si="7"/>
        <v/>
      </c>
      <c r="G105" s="12" t="str">
        <f ca="1">IF($A105="","",IFERROR(SUMIF(INDIRECT("'"&amp;'Template Setup'!$C$4&amp;"'!C:C"),$A105,INDIRECT("'"&amp;'Template Setup'!$C$4&amp;"'!A:A")),0))</f>
        <v/>
      </c>
      <c r="H105" s="12" t="str">
        <f ca="1">IF($A105="","",IFERROR(SUMIF(INDIRECT("'"&amp;'Template Setup'!$C$5&amp;"'!C:C"),$A105,INDIRECT("'"&amp;'Template Setup'!$C$5&amp;"'!A:A")),0))</f>
        <v/>
      </c>
      <c r="I105" s="12" t="str">
        <f ca="1">IF($A105="","",IFERROR(SUMIF(INDIRECT("'"&amp;'Template Setup'!$C$6&amp;"'!C:C"),$A105,INDIRECT("'"&amp;'Template Setup'!$C$6&amp;"'!A:A")),0))</f>
        <v/>
      </c>
      <c r="J105" s="12" t="str">
        <f ca="1">IF($A105="","",IFERROR(SUMIF(INDIRECT("'"&amp;'Template Setup'!$C$7&amp;"'!C:C"),$A105,INDIRECT("'"&amp;'Template Setup'!$C$7&amp;"'!A:A")),0))</f>
        <v/>
      </c>
      <c r="K105" s="12" t="str">
        <f ca="1">IF($A105="","",IFERROR(SUMIF(INDIRECT("'"&amp;'Template Setup'!$C$8&amp;"'!C:C"),$A105,INDIRECT("'"&amp;'Template Setup'!$C$8&amp;"'!A:A")),0))</f>
        <v/>
      </c>
      <c r="L105" s="11" t="str">
        <f>IF($A105="","",IFERROR(VALUE(MID(TRIM('Template Setup'!$C$4),FIND("-",TRIM('Template Setup'!$C$4))+1,10)),0))</f>
        <v/>
      </c>
      <c r="M105" s="11" t="str">
        <f>IF($A105="","",IFERROR(VALUE(MID(TRIM('Template Setup'!$C$5),FIND("-",TRIM('Template Setup'!$C$5))+1,10)),0))</f>
        <v/>
      </c>
      <c r="N105" s="11" t="str">
        <f>IF($A105="","",IFERROR(VALUE(MID(TRIM('Template Setup'!$C$6),FIND("-",TRIM('Template Setup'!$C$6))+1,10)),0))</f>
        <v/>
      </c>
      <c r="O105" s="11" t="str">
        <f>IF($A105="","",IFERROR(VALUE(MID(TRIM('Template Setup'!$C$7),FIND("-",TRIM('Template Setup'!$C$7))+1,10)),0))</f>
        <v/>
      </c>
      <c r="P105" s="11" t="str">
        <f>IF($A105="","",IFERROR(VALUE(MID(TRIM('Template Setup'!$C$8),FIND("-",TRIM('Template Setup'!$C$8))+1,10)),0))</f>
        <v/>
      </c>
      <c r="Q105" s="9" t="str">
        <f>IF($A105="","",$A105&amp;"-"&amp;'Template Setup'!$C$16)</f>
        <v/>
      </c>
      <c r="R105" s="24" t="str">
        <f t="shared" si="5"/>
        <v/>
      </c>
      <c r="S105" s="24"/>
      <c r="T105" s="24" t="str">
        <f t="shared" si="6"/>
        <v/>
      </c>
      <c r="U105" s="6" t="str">
        <f t="shared" si="8"/>
        <v/>
      </c>
    </row>
    <row r="106" spans="1:21">
      <c r="A106" s="11"/>
      <c r="B106" s="11"/>
      <c r="C106" s="11"/>
      <c r="D106" s="11" t="str">
        <f>IF($A106="","",_xlfn.TEXTJOIN(", ",TRUE,IF($G106&gt;0,'Template Setup'!$C$4,""),IF($H106&gt;0,'Template Setup'!$C$5,""),IF($I106&gt;0,'Template Setup'!$C$6,""),IF($J106&gt;0,'Template Setup'!$C$7,""),IF($K106&gt;0,'Template Setup'!$C$8,"")))</f>
        <v/>
      </c>
      <c r="E106" s="6" t="str" cm="1">
        <f t="array" ref="E106">IF($A106="","",_xlfn.LET(_xlpm.sheets,CHOOSE({1,2,3,4,5},'Template Setup'!$C$4,'Template Setup'!$C$5,'Template Setup'!$C$6,'Template Setup'!$C$7,'Template Setup'!$C$8),_xlpm.nums,CHOOSE({1,2,3,4,5},$L106,$M106,$N106,$O106,$P106),_xlpm.qtys,CHOOSE({1,2,3,4,5},$G106,$H106,$I106,$J106,$K106),_xlpm.validNums,_xlfn._xlws.FILTER(_xlpm.nums,_xlpm.qtys&gt;0),_xlpm.validSheets,_xlfn._xlws.FILTER(_xlpm.sheets,_xlpm.qtys&gt;0),_xlpm.mx,IFERROR(MAX(_xlpm.validNums),0),IF(_xlpm.mx=0,"",INDEX(_xlpm.validSheets,MATCH(_xlpm.mx,_xlpm.validNums,0))&amp;" (+"&amp;$R106&amp;")")))</f>
        <v/>
      </c>
      <c r="F106" s="11" t="str">
        <f t="shared" si="7"/>
        <v/>
      </c>
      <c r="G106" s="12" t="str">
        <f ca="1">IF($A106="","",IFERROR(SUMIF(INDIRECT("'"&amp;'Template Setup'!$C$4&amp;"'!C:C"),$A106,INDIRECT("'"&amp;'Template Setup'!$C$4&amp;"'!A:A")),0))</f>
        <v/>
      </c>
      <c r="H106" s="12" t="str">
        <f ca="1">IF($A106="","",IFERROR(SUMIF(INDIRECT("'"&amp;'Template Setup'!$C$5&amp;"'!C:C"),$A106,INDIRECT("'"&amp;'Template Setup'!$C$5&amp;"'!A:A")),0))</f>
        <v/>
      </c>
      <c r="I106" s="12" t="str">
        <f ca="1">IF($A106="","",IFERROR(SUMIF(INDIRECT("'"&amp;'Template Setup'!$C$6&amp;"'!C:C"),$A106,INDIRECT("'"&amp;'Template Setup'!$C$6&amp;"'!A:A")),0))</f>
        <v/>
      </c>
      <c r="J106" s="12" t="str">
        <f ca="1">IF($A106="","",IFERROR(SUMIF(INDIRECT("'"&amp;'Template Setup'!$C$7&amp;"'!C:C"),$A106,INDIRECT("'"&amp;'Template Setup'!$C$7&amp;"'!A:A")),0))</f>
        <v/>
      </c>
      <c r="K106" s="12" t="str">
        <f ca="1">IF($A106="","",IFERROR(SUMIF(INDIRECT("'"&amp;'Template Setup'!$C$8&amp;"'!C:C"),$A106,INDIRECT("'"&amp;'Template Setup'!$C$8&amp;"'!A:A")),0))</f>
        <v/>
      </c>
      <c r="L106" s="11" t="str">
        <f>IF($A106="","",IFERROR(VALUE(MID(TRIM('Template Setup'!$C$4),FIND("-",TRIM('Template Setup'!$C$4))+1,10)),0))</f>
        <v/>
      </c>
      <c r="M106" s="11" t="str">
        <f>IF($A106="","",IFERROR(VALUE(MID(TRIM('Template Setup'!$C$5),FIND("-",TRIM('Template Setup'!$C$5))+1,10)),0))</f>
        <v/>
      </c>
      <c r="N106" s="11" t="str">
        <f>IF($A106="","",IFERROR(VALUE(MID(TRIM('Template Setup'!$C$6),FIND("-",TRIM('Template Setup'!$C$6))+1,10)),0))</f>
        <v/>
      </c>
      <c r="O106" s="11" t="str">
        <f>IF($A106="","",IFERROR(VALUE(MID(TRIM('Template Setup'!$C$7),FIND("-",TRIM('Template Setup'!$C$7))+1,10)),0))</f>
        <v/>
      </c>
      <c r="P106" s="11" t="str">
        <f>IF($A106="","",IFERROR(VALUE(MID(TRIM('Template Setup'!$C$8),FIND("-",TRIM('Template Setup'!$C$8))+1,10)),0))</f>
        <v/>
      </c>
      <c r="Q106" s="9" t="str">
        <f>IF($A106="","",$A106&amp;"-"&amp;'Template Setup'!$C$16)</f>
        <v/>
      </c>
      <c r="R106" s="24" t="str">
        <f t="shared" si="5"/>
        <v/>
      </c>
      <c r="S106" s="24"/>
      <c r="T106" s="24" t="str">
        <f t="shared" si="6"/>
        <v/>
      </c>
      <c r="U106" s="6" t="str">
        <f t="shared" si="8"/>
        <v/>
      </c>
    </row>
    <row r="107" spans="1:21">
      <c r="A107" s="11"/>
      <c r="B107" s="11"/>
      <c r="C107" s="11"/>
      <c r="D107" s="11" t="str">
        <f>IF($A107="","",_xlfn.TEXTJOIN(", ",TRUE,IF($G107&gt;0,'Template Setup'!$C$4,""),IF($H107&gt;0,'Template Setup'!$C$5,""),IF($I107&gt;0,'Template Setup'!$C$6,""),IF($J107&gt;0,'Template Setup'!$C$7,""),IF($K107&gt;0,'Template Setup'!$C$8,"")))</f>
        <v/>
      </c>
      <c r="E107" s="6" t="str" cm="1">
        <f t="array" ref="E107">IF($A107="","",_xlfn.LET(_xlpm.sheets,CHOOSE({1,2,3,4,5},'Template Setup'!$C$4,'Template Setup'!$C$5,'Template Setup'!$C$6,'Template Setup'!$C$7,'Template Setup'!$C$8),_xlpm.nums,CHOOSE({1,2,3,4,5},$L107,$M107,$N107,$O107,$P107),_xlpm.qtys,CHOOSE({1,2,3,4,5},$G107,$H107,$I107,$J107,$K107),_xlpm.validNums,_xlfn._xlws.FILTER(_xlpm.nums,_xlpm.qtys&gt;0),_xlpm.validSheets,_xlfn._xlws.FILTER(_xlpm.sheets,_xlpm.qtys&gt;0),_xlpm.mx,IFERROR(MAX(_xlpm.validNums),0),IF(_xlpm.mx=0,"",INDEX(_xlpm.validSheets,MATCH(_xlpm.mx,_xlpm.validNums,0))&amp;" (+"&amp;$R107&amp;")")))</f>
        <v/>
      </c>
      <c r="F107" s="11" t="str">
        <f t="shared" si="7"/>
        <v/>
      </c>
      <c r="G107" s="12" t="str">
        <f ca="1">IF($A107="","",IFERROR(SUMIF(INDIRECT("'"&amp;'Template Setup'!$C$4&amp;"'!C:C"),$A107,INDIRECT("'"&amp;'Template Setup'!$C$4&amp;"'!A:A")),0))</f>
        <v/>
      </c>
      <c r="H107" s="12" t="str">
        <f ca="1">IF($A107="","",IFERROR(SUMIF(INDIRECT("'"&amp;'Template Setup'!$C$5&amp;"'!C:C"),$A107,INDIRECT("'"&amp;'Template Setup'!$C$5&amp;"'!A:A")),0))</f>
        <v/>
      </c>
      <c r="I107" s="12" t="str">
        <f ca="1">IF($A107="","",IFERROR(SUMIF(INDIRECT("'"&amp;'Template Setup'!$C$6&amp;"'!C:C"),$A107,INDIRECT("'"&amp;'Template Setup'!$C$6&amp;"'!A:A")),0))</f>
        <v/>
      </c>
      <c r="J107" s="12" t="str">
        <f ca="1">IF($A107="","",IFERROR(SUMIF(INDIRECT("'"&amp;'Template Setup'!$C$7&amp;"'!C:C"),$A107,INDIRECT("'"&amp;'Template Setup'!$C$7&amp;"'!A:A")),0))</f>
        <v/>
      </c>
      <c r="K107" s="12" t="str">
        <f ca="1">IF($A107="","",IFERROR(SUMIF(INDIRECT("'"&amp;'Template Setup'!$C$8&amp;"'!C:C"),$A107,INDIRECT("'"&amp;'Template Setup'!$C$8&amp;"'!A:A")),0))</f>
        <v/>
      </c>
      <c r="L107" s="11" t="str">
        <f>IF($A107="","",IFERROR(VALUE(MID(TRIM('Template Setup'!$C$4),FIND("-",TRIM('Template Setup'!$C$4))+1,10)),0))</f>
        <v/>
      </c>
      <c r="M107" s="11" t="str">
        <f>IF($A107="","",IFERROR(VALUE(MID(TRIM('Template Setup'!$C$5),FIND("-",TRIM('Template Setup'!$C$5))+1,10)),0))</f>
        <v/>
      </c>
      <c r="N107" s="11" t="str">
        <f>IF($A107="","",IFERROR(VALUE(MID(TRIM('Template Setup'!$C$6),FIND("-",TRIM('Template Setup'!$C$6))+1,10)),0))</f>
        <v/>
      </c>
      <c r="O107" s="11" t="str">
        <f>IF($A107="","",IFERROR(VALUE(MID(TRIM('Template Setup'!$C$7),FIND("-",TRIM('Template Setup'!$C$7))+1,10)),0))</f>
        <v/>
      </c>
      <c r="P107" s="11" t="str">
        <f>IF($A107="","",IFERROR(VALUE(MID(TRIM('Template Setup'!$C$8),FIND("-",TRIM('Template Setup'!$C$8))+1,10)),0))</f>
        <v/>
      </c>
      <c r="Q107" s="9" t="str">
        <f>IF($A107="","",$A107&amp;"-"&amp;'Template Setup'!$C$16)</f>
        <v/>
      </c>
      <c r="R107" s="24" t="str">
        <f t="shared" si="5"/>
        <v/>
      </c>
      <c r="S107" s="24"/>
      <c r="T107" s="24" t="str">
        <f t="shared" si="6"/>
        <v/>
      </c>
      <c r="U107" s="6" t="str">
        <f t="shared" si="8"/>
        <v/>
      </c>
    </row>
    <row r="108" spans="1:21">
      <c r="A108" s="11"/>
      <c r="B108" s="11"/>
      <c r="C108" s="11"/>
      <c r="D108" s="11" t="str">
        <f>IF($A108="","",_xlfn.TEXTJOIN(", ",TRUE,IF($G108&gt;0,'Template Setup'!$C$4,""),IF($H108&gt;0,'Template Setup'!$C$5,""),IF($I108&gt;0,'Template Setup'!$C$6,""),IF($J108&gt;0,'Template Setup'!$C$7,""),IF($K108&gt;0,'Template Setup'!$C$8,"")))</f>
        <v/>
      </c>
      <c r="E108" s="6" t="str" cm="1">
        <f t="array" ref="E108">IF($A108="","",_xlfn.LET(_xlpm.sheets,CHOOSE({1,2,3,4,5},'Template Setup'!$C$4,'Template Setup'!$C$5,'Template Setup'!$C$6,'Template Setup'!$C$7,'Template Setup'!$C$8),_xlpm.nums,CHOOSE({1,2,3,4,5},$L108,$M108,$N108,$O108,$P108),_xlpm.qtys,CHOOSE({1,2,3,4,5},$G108,$H108,$I108,$J108,$K108),_xlpm.validNums,_xlfn._xlws.FILTER(_xlpm.nums,_xlpm.qtys&gt;0),_xlpm.validSheets,_xlfn._xlws.FILTER(_xlpm.sheets,_xlpm.qtys&gt;0),_xlpm.mx,IFERROR(MAX(_xlpm.validNums),0),IF(_xlpm.mx=0,"",INDEX(_xlpm.validSheets,MATCH(_xlpm.mx,_xlpm.validNums,0))&amp;" (+"&amp;$R108&amp;")")))</f>
        <v/>
      </c>
      <c r="F108" s="11" t="str">
        <f t="shared" si="7"/>
        <v/>
      </c>
      <c r="G108" s="12" t="str">
        <f ca="1">IF($A108="","",IFERROR(SUMIF(INDIRECT("'"&amp;'Template Setup'!$C$4&amp;"'!C:C"),$A108,INDIRECT("'"&amp;'Template Setup'!$C$4&amp;"'!A:A")),0))</f>
        <v/>
      </c>
      <c r="H108" s="12" t="str">
        <f ca="1">IF($A108="","",IFERROR(SUMIF(INDIRECT("'"&amp;'Template Setup'!$C$5&amp;"'!C:C"),$A108,INDIRECT("'"&amp;'Template Setup'!$C$5&amp;"'!A:A")),0))</f>
        <v/>
      </c>
      <c r="I108" s="12" t="str">
        <f ca="1">IF($A108="","",IFERROR(SUMIF(INDIRECT("'"&amp;'Template Setup'!$C$6&amp;"'!C:C"),$A108,INDIRECT("'"&amp;'Template Setup'!$C$6&amp;"'!A:A")),0))</f>
        <v/>
      </c>
      <c r="J108" s="12" t="str">
        <f ca="1">IF($A108="","",IFERROR(SUMIF(INDIRECT("'"&amp;'Template Setup'!$C$7&amp;"'!C:C"),$A108,INDIRECT("'"&amp;'Template Setup'!$C$7&amp;"'!A:A")),0))</f>
        <v/>
      </c>
      <c r="K108" s="12" t="str">
        <f ca="1">IF($A108="","",IFERROR(SUMIF(INDIRECT("'"&amp;'Template Setup'!$C$8&amp;"'!C:C"),$A108,INDIRECT("'"&amp;'Template Setup'!$C$8&amp;"'!A:A")),0))</f>
        <v/>
      </c>
      <c r="L108" s="11" t="str">
        <f>IF($A108="","",IFERROR(VALUE(MID(TRIM('Template Setup'!$C$4),FIND("-",TRIM('Template Setup'!$C$4))+1,10)),0))</f>
        <v/>
      </c>
      <c r="M108" s="11" t="str">
        <f>IF($A108="","",IFERROR(VALUE(MID(TRIM('Template Setup'!$C$5),FIND("-",TRIM('Template Setup'!$C$5))+1,10)),0))</f>
        <v/>
      </c>
      <c r="N108" s="11" t="str">
        <f>IF($A108="","",IFERROR(VALUE(MID(TRIM('Template Setup'!$C$6),FIND("-",TRIM('Template Setup'!$C$6))+1,10)),0))</f>
        <v/>
      </c>
      <c r="O108" s="11" t="str">
        <f>IF($A108="","",IFERROR(VALUE(MID(TRIM('Template Setup'!$C$7),FIND("-",TRIM('Template Setup'!$C$7))+1,10)),0))</f>
        <v/>
      </c>
      <c r="P108" s="11" t="str">
        <f>IF($A108="","",IFERROR(VALUE(MID(TRIM('Template Setup'!$C$8),FIND("-",TRIM('Template Setup'!$C$8))+1,10)),0))</f>
        <v/>
      </c>
      <c r="Q108" s="9" t="str">
        <f>IF($A108="","",$A108&amp;"-"&amp;'Template Setup'!$C$16)</f>
        <v/>
      </c>
      <c r="R108" s="24" t="str">
        <f t="shared" si="5"/>
        <v/>
      </c>
      <c r="S108" s="24"/>
      <c r="T108" s="24" t="str">
        <f t="shared" si="6"/>
        <v/>
      </c>
      <c r="U108" s="6" t="str">
        <f t="shared" si="8"/>
        <v/>
      </c>
    </row>
    <row r="109" spans="1:21">
      <c r="A109" s="11"/>
      <c r="B109" s="11"/>
      <c r="C109" s="11"/>
      <c r="D109" s="11" t="str">
        <f>IF($A109="","",_xlfn.TEXTJOIN(", ",TRUE,IF($G109&gt;0,'Template Setup'!$C$4,""),IF($H109&gt;0,'Template Setup'!$C$5,""),IF($I109&gt;0,'Template Setup'!$C$6,""),IF($J109&gt;0,'Template Setup'!$C$7,""),IF($K109&gt;0,'Template Setup'!$C$8,"")))</f>
        <v/>
      </c>
      <c r="E109" s="6" t="str" cm="1">
        <f t="array" ref="E109">IF($A109="","",_xlfn.LET(_xlpm.sheets,CHOOSE({1,2,3,4,5},'Template Setup'!$C$4,'Template Setup'!$C$5,'Template Setup'!$C$6,'Template Setup'!$C$7,'Template Setup'!$C$8),_xlpm.nums,CHOOSE({1,2,3,4,5},$L109,$M109,$N109,$O109,$P109),_xlpm.qtys,CHOOSE({1,2,3,4,5},$G109,$H109,$I109,$J109,$K109),_xlpm.validNums,_xlfn._xlws.FILTER(_xlpm.nums,_xlpm.qtys&gt;0),_xlpm.validSheets,_xlfn._xlws.FILTER(_xlpm.sheets,_xlpm.qtys&gt;0),_xlpm.mx,IFERROR(MAX(_xlpm.validNums),0),IF(_xlpm.mx=0,"",INDEX(_xlpm.validSheets,MATCH(_xlpm.mx,_xlpm.validNums,0))&amp;" (+"&amp;$R109&amp;")")))</f>
        <v/>
      </c>
      <c r="F109" s="11" t="str">
        <f t="shared" si="7"/>
        <v/>
      </c>
      <c r="G109" s="12" t="str">
        <f ca="1">IF($A109="","",IFERROR(SUMIF(INDIRECT("'"&amp;'Template Setup'!$C$4&amp;"'!C:C"),$A109,INDIRECT("'"&amp;'Template Setup'!$C$4&amp;"'!A:A")),0))</f>
        <v/>
      </c>
      <c r="H109" s="12" t="str">
        <f ca="1">IF($A109="","",IFERROR(SUMIF(INDIRECT("'"&amp;'Template Setup'!$C$5&amp;"'!C:C"),$A109,INDIRECT("'"&amp;'Template Setup'!$C$5&amp;"'!A:A")),0))</f>
        <v/>
      </c>
      <c r="I109" s="12" t="str">
        <f ca="1">IF($A109="","",IFERROR(SUMIF(INDIRECT("'"&amp;'Template Setup'!$C$6&amp;"'!C:C"),$A109,INDIRECT("'"&amp;'Template Setup'!$C$6&amp;"'!A:A")),0))</f>
        <v/>
      </c>
      <c r="J109" s="12" t="str">
        <f ca="1">IF($A109="","",IFERROR(SUMIF(INDIRECT("'"&amp;'Template Setup'!$C$7&amp;"'!C:C"),$A109,INDIRECT("'"&amp;'Template Setup'!$C$7&amp;"'!A:A")),0))</f>
        <v/>
      </c>
      <c r="K109" s="12" t="str">
        <f ca="1">IF($A109="","",IFERROR(SUMIF(INDIRECT("'"&amp;'Template Setup'!$C$8&amp;"'!C:C"),$A109,INDIRECT("'"&amp;'Template Setup'!$C$8&amp;"'!A:A")),0))</f>
        <v/>
      </c>
      <c r="L109" s="11" t="str">
        <f>IF($A109="","",IFERROR(VALUE(MID(TRIM('Template Setup'!$C$4),FIND("-",TRIM('Template Setup'!$C$4))+1,10)),0))</f>
        <v/>
      </c>
      <c r="M109" s="11" t="str">
        <f>IF($A109="","",IFERROR(VALUE(MID(TRIM('Template Setup'!$C$5),FIND("-",TRIM('Template Setup'!$C$5))+1,10)),0))</f>
        <v/>
      </c>
      <c r="N109" s="11" t="str">
        <f>IF($A109="","",IFERROR(VALUE(MID(TRIM('Template Setup'!$C$6),FIND("-",TRIM('Template Setup'!$C$6))+1,10)),0))</f>
        <v/>
      </c>
      <c r="O109" s="11" t="str">
        <f>IF($A109="","",IFERROR(VALUE(MID(TRIM('Template Setup'!$C$7),FIND("-",TRIM('Template Setup'!$C$7))+1,10)),0))</f>
        <v/>
      </c>
      <c r="P109" s="11" t="str">
        <f>IF($A109="","",IFERROR(VALUE(MID(TRIM('Template Setup'!$C$8),FIND("-",TRIM('Template Setup'!$C$8))+1,10)),0))</f>
        <v/>
      </c>
      <c r="Q109" s="9" t="str">
        <f>IF($A109="","",$A109&amp;"-"&amp;'Template Setup'!$C$16)</f>
        <v/>
      </c>
      <c r="R109" s="24" t="str">
        <f t="shared" si="5"/>
        <v/>
      </c>
      <c r="S109" s="24"/>
      <c r="T109" s="24" t="str">
        <f t="shared" si="6"/>
        <v/>
      </c>
      <c r="U109" s="6" t="str">
        <f t="shared" si="8"/>
        <v/>
      </c>
    </row>
    <row r="110" spans="1:21">
      <c r="A110" s="11"/>
      <c r="B110" s="11"/>
      <c r="C110" s="11"/>
      <c r="D110" s="11" t="str">
        <f>IF($A110="","",_xlfn.TEXTJOIN(", ",TRUE,IF($G110&gt;0,'Template Setup'!$C$4,""),IF($H110&gt;0,'Template Setup'!$C$5,""),IF($I110&gt;0,'Template Setup'!$C$6,""),IF($J110&gt;0,'Template Setup'!$C$7,""),IF($K110&gt;0,'Template Setup'!$C$8,"")))</f>
        <v/>
      </c>
      <c r="E110" s="6" t="str" cm="1">
        <f t="array" ref="E110">IF($A110="","",_xlfn.LET(_xlpm.sheets,CHOOSE({1,2,3,4,5},'Template Setup'!$C$4,'Template Setup'!$C$5,'Template Setup'!$C$6,'Template Setup'!$C$7,'Template Setup'!$C$8),_xlpm.nums,CHOOSE({1,2,3,4,5},$L110,$M110,$N110,$O110,$P110),_xlpm.qtys,CHOOSE({1,2,3,4,5},$G110,$H110,$I110,$J110,$K110),_xlpm.validNums,_xlfn._xlws.FILTER(_xlpm.nums,_xlpm.qtys&gt;0),_xlpm.validSheets,_xlfn._xlws.FILTER(_xlpm.sheets,_xlpm.qtys&gt;0),_xlpm.mx,IFERROR(MAX(_xlpm.validNums),0),IF(_xlpm.mx=0,"",INDEX(_xlpm.validSheets,MATCH(_xlpm.mx,_xlpm.validNums,0))&amp;" (+"&amp;$R110&amp;")")))</f>
        <v/>
      </c>
      <c r="F110" s="11" t="str">
        <f t="shared" si="7"/>
        <v/>
      </c>
      <c r="G110" s="12" t="str">
        <f ca="1">IF($A110="","",IFERROR(SUMIF(INDIRECT("'"&amp;'Template Setup'!$C$4&amp;"'!C:C"),$A110,INDIRECT("'"&amp;'Template Setup'!$C$4&amp;"'!A:A")),0))</f>
        <v/>
      </c>
      <c r="H110" s="12" t="str">
        <f ca="1">IF($A110="","",IFERROR(SUMIF(INDIRECT("'"&amp;'Template Setup'!$C$5&amp;"'!C:C"),$A110,INDIRECT("'"&amp;'Template Setup'!$C$5&amp;"'!A:A")),0))</f>
        <v/>
      </c>
      <c r="I110" s="12" t="str">
        <f ca="1">IF($A110="","",IFERROR(SUMIF(INDIRECT("'"&amp;'Template Setup'!$C$6&amp;"'!C:C"),$A110,INDIRECT("'"&amp;'Template Setup'!$C$6&amp;"'!A:A")),0))</f>
        <v/>
      </c>
      <c r="J110" s="12" t="str">
        <f ca="1">IF($A110="","",IFERROR(SUMIF(INDIRECT("'"&amp;'Template Setup'!$C$7&amp;"'!C:C"),$A110,INDIRECT("'"&amp;'Template Setup'!$C$7&amp;"'!A:A")),0))</f>
        <v/>
      </c>
      <c r="K110" s="12" t="str">
        <f ca="1">IF($A110="","",IFERROR(SUMIF(INDIRECT("'"&amp;'Template Setup'!$C$8&amp;"'!C:C"),$A110,INDIRECT("'"&amp;'Template Setup'!$C$8&amp;"'!A:A")),0))</f>
        <v/>
      </c>
      <c r="L110" s="11" t="str">
        <f>IF($A110="","",IFERROR(VALUE(MID(TRIM('Template Setup'!$C$4),FIND("-",TRIM('Template Setup'!$C$4))+1,10)),0))</f>
        <v/>
      </c>
      <c r="M110" s="11" t="str">
        <f>IF($A110="","",IFERROR(VALUE(MID(TRIM('Template Setup'!$C$5),FIND("-",TRIM('Template Setup'!$C$5))+1,10)),0))</f>
        <v/>
      </c>
      <c r="N110" s="11" t="str">
        <f>IF($A110="","",IFERROR(VALUE(MID(TRIM('Template Setup'!$C$6),FIND("-",TRIM('Template Setup'!$C$6))+1,10)),0))</f>
        <v/>
      </c>
      <c r="O110" s="11" t="str">
        <f>IF($A110="","",IFERROR(VALUE(MID(TRIM('Template Setup'!$C$7),FIND("-",TRIM('Template Setup'!$C$7))+1,10)),0))</f>
        <v/>
      </c>
      <c r="P110" s="11" t="str">
        <f>IF($A110="","",IFERROR(VALUE(MID(TRIM('Template Setup'!$C$8),FIND("-",TRIM('Template Setup'!$C$8))+1,10)),0))</f>
        <v/>
      </c>
      <c r="Q110" s="9" t="str">
        <f>IF($A110="","",$A110&amp;"-"&amp;'Template Setup'!$C$16)</f>
        <v/>
      </c>
      <c r="R110" s="24" t="str">
        <f t="shared" si="5"/>
        <v/>
      </c>
      <c r="S110" s="24"/>
      <c r="T110" s="24" t="str">
        <f t="shared" si="6"/>
        <v/>
      </c>
      <c r="U110" s="6" t="str">
        <f t="shared" si="8"/>
        <v/>
      </c>
    </row>
    <row r="111" spans="1:21">
      <c r="A111" s="11"/>
      <c r="B111" s="11"/>
      <c r="C111" s="11"/>
      <c r="D111" s="11" t="str">
        <f>IF($A111="","",_xlfn.TEXTJOIN(", ",TRUE,IF($G111&gt;0,'Template Setup'!$C$4,""),IF($H111&gt;0,'Template Setup'!$C$5,""),IF($I111&gt;0,'Template Setup'!$C$6,""),IF($J111&gt;0,'Template Setup'!$C$7,""),IF($K111&gt;0,'Template Setup'!$C$8,"")))</f>
        <v/>
      </c>
      <c r="E111" s="6" t="str" cm="1">
        <f t="array" ref="E111">IF($A111="","",_xlfn.LET(_xlpm.sheets,CHOOSE({1,2,3,4,5},'Template Setup'!$C$4,'Template Setup'!$C$5,'Template Setup'!$C$6,'Template Setup'!$C$7,'Template Setup'!$C$8),_xlpm.nums,CHOOSE({1,2,3,4,5},$L111,$M111,$N111,$O111,$P111),_xlpm.qtys,CHOOSE({1,2,3,4,5},$G111,$H111,$I111,$J111,$K111),_xlpm.validNums,_xlfn._xlws.FILTER(_xlpm.nums,_xlpm.qtys&gt;0),_xlpm.validSheets,_xlfn._xlws.FILTER(_xlpm.sheets,_xlpm.qtys&gt;0),_xlpm.mx,IFERROR(MAX(_xlpm.validNums),0),IF(_xlpm.mx=0,"",INDEX(_xlpm.validSheets,MATCH(_xlpm.mx,_xlpm.validNums,0))&amp;" (+"&amp;$R111&amp;")")))</f>
        <v/>
      </c>
      <c r="F111" s="11" t="str">
        <f t="shared" si="7"/>
        <v/>
      </c>
      <c r="G111" s="12" t="str">
        <f ca="1">IF($A111="","",IFERROR(SUMIF(INDIRECT("'"&amp;'Template Setup'!$C$4&amp;"'!C:C"),$A111,INDIRECT("'"&amp;'Template Setup'!$C$4&amp;"'!A:A")),0))</f>
        <v/>
      </c>
      <c r="H111" s="12" t="str">
        <f ca="1">IF($A111="","",IFERROR(SUMIF(INDIRECT("'"&amp;'Template Setup'!$C$5&amp;"'!C:C"),$A111,INDIRECT("'"&amp;'Template Setup'!$C$5&amp;"'!A:A")),0))</f>
        <v/>
      </c>
      <c r="I111" s="12" t="str">
        <f ca="1">IF($A111="","",IFERROR(SUMIF(INDIRECT("'"&amp;'Template Setup'!$C$6&amp;"'!C:C"),$A111,INDIRECT("'"&amp;'Template Setup'!$C$6&amp;"'!A:A")),0))</f>
        <v/>
      </c>
      <c r="J111" s="12" t="str">
        <f ca="1">IF($A111="","",IFERROR(SUMIF(INDIRECT("'"&amp;'Template Setup'!$C$7&amp;"'!C:C"),$A111,INDIRECT("'"&amp;'Template Setup'!$C$7&amp;"'!A:A")),0))</f>
        <v/>
      </c>
      <c r="K111" s="12" t="str">
        <f ca="1">IF($A111="","",IFERROR(SUMIF(INDIRECT("'"&amp;'Template Setup'!$C$8&amp;"'!C:C"),$A111,INDIRECT("'"&amp;'Template Setup'!$C$8&amp;"'!A:A")),0))</f>
        <v/>
      </c>
      <c r="L111" s="11" t="str">
        <f>IF($A111="","",IFERROR(VALUE(MID(TRIM('Template Setup'!$C$4),FIND("-",TRIM('Template Setup'!$C$4))+1,10)),0))</f>
        <v/>
      </c>
      <c r="M111" s="11" t="str">
        <f>IF($A111="","",IFERROR(VALUE(MID(TRIM('Template Setup'!$C$5),FIND("-",TRIM('Template Setup'!$C$5))+1,10)),0))</f>
        <v/>
      </c>
      <c r="N111" s="11" t="str">
        <f>IF($A111="","",IFERROR(VALUE(MID(TRIM('Template Setup'!$C$6),FIND("-",TRIM('Template Setup'!$C$6))+1,10)),0))</f>
        <v/>
      </c>
      <c r="O111" s="11" t="str">
        <f>IF($A111="","",IFERROR(VALUE(MID(TRIM('Template Setup'!$C$7),FIND("-",TRIM('Template Setup'!$C$7))+1,10)),0))</f>
        <v/>
      </c>
      <c r="P111" s="11" t="str">
        <f>IF($A111="","",IFERROR(VALUE(MID(TRIM('Template Setup'!$C$8),FIND("-",TRIM('Template Setup'!$C$8))+1,10)),0))</f>
        <v/>
      </c>
      <c r="Q111" s="9" t="str">
        <f>IF($A111="","",$A111&amp;"-"&amp;'Template Setup'!$C$16)</f>
        <v/>
      </c>
      <c r="R111" s="24" t="str">
        <f t="shared" si="5"/>
        <v/>
      </c>
      <c r="S111" s="24"/>
      <c r="T111" s="24" t="str">
        <f t="shared" si="6"/>
        <v/>
      </c>
      <c r="U111" s="6" t="str">
        <f t="shared" si="8"/>
        <v/>
      </c>
    </row>
    <row r="112" spans="1:21">
      <c r="A112" s="11"/>
      <c r="B112" s="11"/>
      <c r="C112" s="11"/>
      <c r="D112" s="11" t="str">
        <f>IF($A112="","",_xlfn.TEXTJOIN(", ",TRUE,IF($G112&gt;0,'Template Setup'!$C$4,""),IF($H112&gt;0,'Template Setup'!$C$5,""),IF($I112&gt;0,'Template Setup'!$C$6,""),IF($J112&gt;0,'Template Setup'!$C$7,""),IF($K112&gt;0,'Template Setup'!$C$8,"")))</f>
        <v/>
      </c>
      <c r="E112" s="6" t="str" cm="1">
        <f t="array" ref="E112">IF($A112="","",_xlfn.LET(_xlpm.sheets,CHOOSE({1,2,3,4,5},'Template Setup'!$C$4,'Template Setup'!$C$5,'Template Setup'!$C$6,'Template Setup'!$C$7,'Template Setup'!$C$8),_xlpm.nums,CHOOSE({1,2,3,4,5},$L112,$M112,$N112,$O112,$P112),_xlpm.qtys,CHOOSE({1,2,3,4,5},$G112,$H112,$I112,$J112,$K112),_xlpm.validNums,_xlfn._xlws.FILTER(_xlpm.nums,_xlpm.qtys&gt;0),_xlpm.validSheets,_xlfn._xlws.FILTER(_xlpm.sheets,_xlpm.qtys&gt;0),_xlpm.mx,IFERROR(MAX(_xlpm.validNums),0),IF(_xlpm.mx=0,"",INDEX(_xlpm.validSheets,MATCH(_xlpm.mx,_xlpm.validNums,0))&amp;" (+"&amp;$R112&amp;")")))</f>
        <v/>
      </c>
      <c r="F112" s="11" t="str">
        <f t="shared" si="7"/>
        <v/>
      </c>
      <c r="G112" s="12" t="str">
        <f ca="1">IF($A112="","",IFERROR(SUMIF(INDIRECT("'"&amp;'Template Setup'!$C$4&amp;"'!C:C"),$A112,INDIRECT("'"&amp;'Template Setup'!$C$4&amp;"'!A:A")),0))</f>
        <v/>
      </c>
      <c r="H112" s="12" t="str">
        <f ca="1">IF($A112="","",IFERROR(SUMIF(INDIRECT("'"&amp;'Template Setup'!$C$5&amp;"'!C:C"),$A112,INDIRECT("'"&amp;'Template Setup'!$C$5&amp;"'!A:A")),0))</f>
        <v/>
      </c>
      <c r="I112" s="12" t="str">
        <f ca="1">IF($A112="","",IFERROR(SUMIF(INDIRECT("'"&amp;'Template Setup'!$C$6&amp;"'!C:C"),$A112,INDIRECT("'"&amp;'Template Setup'!$C$6&amp;"'!A:A")),0))</f>
        <v/>
      </c>
      <c r="J112" s="12" t="str">
        <f ca="1">IF($A112="","",IFERROR(SUMIF(INDIRECT("'"&amp;'Template Setup'!$C$7&amp;"'!C:C"),$A112,INDIRECT("'"&amp;'Template Setup'!$C$7&amp;"'!A:A")),0))</f>
        <v/>
      </c>
      <c r="K112" s="12" t="str">
        <f ca="1">IF($A112="","",IFERROR(SUMIF(INDIRECT("'"&amp;'Template Setup'!$C$8&amp;"'!C:C"),$A112,INDIRECT("'"&amp;'Template Setup'!$C$8&amp;"'!A:A")),0))</f>
        <v/>
      </c>
      <c r="L112" s="11" t="str">
        <f>IF($A112="","",IFERROR(VALUE(MID(TRIM('Template Setup'!$C$4),FIND("-",TRIM('Template Setup'!$C$4))+1,10)),0))</f>
        <v/>
      </c>
      <c r="M112" s="11" t="str">
        <f>IF($A112="","",IFERROR(VALUE(MID(TRIM('Template Setup'!$C$5),FIND("-",TRIM('Template Setup'!$C$5))+1,10)),0))</f>
        <v/>
      </c>
      <c r="N112" s="11" t="str">
        <f>IF($A112="","",IFERROR(VALUE(MID(TRIM('Template Setup'!$C$6),FIND("-",TRIM('Template Setup'!$C$6))+1,10)),0))</f>
        <v/>
      </c>
      <c r="O112" s="11" t="str">
        <f>IF($A112="","",IFERROR(VALUE(MID(TRIM('Template Setup'!$C$7),FIND("-",TRIM('Template Setup'!$C$7))+1,10)),0))</f>
        <v/>
      </c>
      <c r="P112" s="11" t="str">
        <f>IF($A112="","",IFERROR(VALUE(MID(TRIM('Template Setup'!$C$8),FIND("-",TRIM('Template Setup'!$C$8))+1,10)),0))</f>
        <v/>
      </c>
      <c r="Q112" s="9" t="str">
        <f>IF($A112="","",$A112&amp;"-"&amp;'Template Setup'!$C$16)</f>
        <v/>
      </c>
      <c r="R112" s="24" t="str">
        <f t="shared" si="5"/>
        <v/>
      </c>
      <c r="S112" s="24"/>
      <c r="T112" s="24" t="str">
        <f t="shared" si="6"/>
        <v/>
      </c>
      <c r="U112" s="6" t="str">
        <f t="shared" si="8"/>
        <v/>
      </c>
    </row>
    <row r="113" spans="1:21">
      <c r="A113" s="11"/>
      <c r="B113" s="11"/>
      <c r="C113" s="11"/>
      <c r="D113" s="11" t="str">
        <f>IF($A113="","",_xlfn.TEXTJOIN(", ",TRUE,IF($G113&gt;0,'Template Setup'!$C$4,""),IF($H113&gt;0,'Template Setup'!$C$5,""),IF($I113&gt;0,'Template Setup'!$C$6,""),IF($J113&gt;0,'Template Setup'!$C$7,""),IF($K113&gt;0,'Template Setup'!$C$8,"")))</f>
        <v/>
      </c>
      <c r="E113" s="6" t="str" cm="1">
        <f t="array" ref="E113">IF($A113="","",_xlfn.LET(_xlpm.sheets,CHOOSE({1,2,3,4,5},'Template Setup'!$C$4,'Template Setup'!$C$5,'Template Setup'!$C$6,'Template Setup'!$C$7,'Template Setup'!$C$8),_xlpm.nums,CHOOSE({1,2,3,4,5},$L113,$M113,$N113,$O113,$P113),_xlpm.qtys,CHOOSE({1,2,3,4,5},$G113,$H113,$I113,$J113,$K113),_xlpm.validNums,_xlfn._xlws.FILTER(_xlpm.nums,_xlpm.qtys&gt;0),_xlpm.validSheets,_xlfn._xlws.FILTER(_xlpm.sheets,_xlpm.qtys&gt;0),_xlpm.mx,IFERROR(MAX(_xlpm.validNums),0),IF(_xlpm.mx=0,"",INDEX(_xlpm.validSheets,MATCH(_xlpm.mx,_xlpm.validNums,0))&amp;" (+"&amp;$R113&amp;")")))</f>
        <v/>
      </c>
      <c r="F113" s="11" t="str">
        <f t="shared" si="7"/>
        <v/>
      </c>
      <c r="G113" s="12" t="str">
        <f ca="1">IF($A113="","",IFERROR(SUMIF(INDIRECT("'"&amp;'Template Setup'!$C$4&amp;"'!C:C"),$A113,INDIRECT("'"&amp;'Template Setup'!$C$4&amp;"'!A:A")),0))</f>
        <v/>
      </c>
      <c r="H113" s="12" t="str">
        <f ca="1">IF($A113="","",IFERROR(SUMIF(INDIRECT("'"&amp;'Template Setup'!$C$5&amp;"'!C:C"),$A113,INDIRECT("'"&amp;'Template Setup'!$C$5&amp;"'!A:A")),0))</f>
        <v/>
      </c>
      <c r="I113" s="12" t="str">
        <f ca="1">IF($A113="","",IFERROR(SUMIF(INDIRECT("'"&amp;'Template Setup'!$C$6&amp;"'!C:C"),$A113,INDIRECT("'"&amp;'Template Setup'!$C$6&amp;"'!A:A")),0))</f>
        <v/>
      </c>
      <c r="J113" s="12" t="str">
        <f ca="1">IF($A113="","",IFERROR(SUMIF(INDIRECT("'"&amp;'Template Setup'!$C$7&amp;"'!C:C"),$A113,INDIRECT("'"&amp;'Template Setup'!$C$7&amp;"'!A:A")),0))</f>
        <v/>
      </c>
      <c r="K113" s="12" t="str">
        <f ca="1">IF($A113="","",IFERROR(SUMIF(INDIRECT("'"&amp;'Template Setup'!$C$8&amp;"'!C:C"),$A113,INDIRECT("'"&amp;'Template Setup'!$C$8&amp;"'!A:A")),0))</f>
        <v/>
      </c>
      <c r="L113" s="11" t="str">
        <f>IF($A113="","",IFERROR(VALUE(MID(TRIM('Template Setup'!$C$4),FIND("-",TRIM('Template Setup'!$C$4))+1,10)),0))</f>
        <v/>
      </c>
      <c r="M113" s="11" t="str">
        <f>IF($A113="","",IFERROR(VALUE(MID(TRIM('Template Setup'!$C$5),FIND("-",TRIM('Template Setup'!$C$5))+1,10)),0))</f>
        <v/>
      </c>
      <c r="N113" s="11" t="str">
        <f>IF($A113="","",IFERROR(VALUE(MID(TRIM('Template Setup'!$C$6),FIND("-",TRIM('Template Setup'!$C$6))+1,10)),0))</f>
        <v/>
      </c>
      <c r="O113" s="11" t="str">
        <f>IF($A113="","",IFERROR(VALUE(MID(TRIM('Template Setup'!$C$7),FIND("-",TRIM('Template Setup'!$C$7))+1,10)),0))</f>
        <v/>
      </c>
      <c r="P113" s="11" t="str">
        <f>IF($A113="","",IFERROR(VALUE(MID(TRIM('Template Setup'!$C$8),FIND("-",TRIM('Template Setup'!$C$8))+1,10)),0))</f>
        <v/>
      </c>
      <c r="Q113" s="9" t="str">
        <f>IF($A113="","",$A113&amp;"-"&amp;'Template Setup'!$C$16)</f>
        <v/>
      </c>
      <c r="R113" s="24" t="str">
        <f t="shared" si="5"/>
        <v/>
      </c>
      <c r="S113" s="24"/>
      <c r="T113" s="24" t="str">
        <f t="shared" si="6"/>
        <v/>
      </c>
      <c r="U113" s="6" t="str">
        <f t="shared" si="8"/>
        <v/>
      </c>
    </row>
    <row r="114" spans="1:21">
      <c r="A114" s="11"/>
      <c r="B114" s="11"/>
      <c r="C114" s="11"/>
      <c r="D114" s="11" t="str">
        <f>IF($A114="","",_xlfn.TEXTJOIN(", ",TRUE,IF($G114&gt;0,'Template Setup'!$C$4,""),IF($H114&gt;0,'Template Setup'!$C$5,""),IF($I114&gt;0,'Template Setup'!$C$6,""),IF($J114&gt;0,'Template Setup'!$C$7,""),IF($K114&gt;0,'Template Setup'!$C$8,"")))</f>
        <v/>
      </c>
      <c r="E114" s="6" t="str" cm="1">
        <f t="array" ref="E114">IF($A114="","",_xlfn.LET(_xlpm.sheets,CHOOSE({1,2,3,4,5},'Template Setup'!$C$4,'Template Setup'!$C$5,'Template Setup'!$C$6,'Template Setup'!$C$7,'Template Setup'!$C$8),_xlpm.nums,CHOOSE({1,2,3,4,5},$L114,$M114,$N114,$O114,$P114),_xlpm.qtys,CHOOSE({1,2,3,4,5},$G114,$H114,$I114,$J114,$K114),_xlpm.validNums,_xlfn._xlws.FILTER(_xlpm.nums,_xlpm.qtys&gt;0),_xlpm.validSheets,_xlfn._xlws.FILTER(_xlpm.sheets,_xlpm.qtys&gt;0),_xlpm.mx,IFERROR(MAX(_xlpm.validNums),0),IF(_xlpm.mx=0,"",INDEX(_xlpm.validSheets,MATCH(_xlpm.mx,_xlpm.validNums,0))&amp;" (+"&amp;$R114&amp;")")))</f>
        <v/>
      </c>
      <c r="F114" s="11" t="str">
        <f t="shared" si="7"/>
        <v/>
      </c>
      <c r="G114" s="12" t="str">
        <f ca="1">IF($A114="","",IFERROR(SUMIF(INDIRECT("'"&amp;'Template Setup'!$C$4&amp;"'!C:C"),$A114,INDIRECT("'"&amp;'Template Setup'!$C$4&amp;"'!A:A")),0))</f>
        <v/>
      </c>
      <c r="H114" s="12" t="str">
        <f ca="1">IF($A114="","",IFERROR(SUMIF(INDIRECT("'"&amp;'Template Setup'!$C$5&amp;"'!C:C"),$A114,INDIRECT("'"&amp;'Template Setup'!$C$5&amp;"'!A:A")),0))</f>
        <v/>
      </c>
      <c r="I114" s="12" t="str">
        <f ca="1">IF($A114="","",IFERROR(SUMIF(INDIRECT("'"&amp;'Template Setup'!$C$6&amp;"'!C:C"),$A114,INDIRECT("'"&amp;'Template Setup'!$C$6&amp;"'!A:A")),0))</f>
        <v/>
      </c>
      <c r="J114" s="12" t="str">
        <f ca="1">IF($A114="","",IFERROR(SUMIF(INDIRECT("'"&amp;'Template Setup'!$C$7&amp;"'!C:C"),$A114,INDIRECT("'"&amp;'Template Setup'!$C$7&amp;"'!A:A")),0))</f>
        <v/>
      </c>
      <c r="K114" s="12" t="str">
        <f ca="1">IF($A114="","",IFERROR(SUMIF(INDIRECT("'"&amp;'Template Setup'!$C$8&amp;"'!C:C"),$A114,INDIRECT("'"&amp;'Template Setup'!$C$8&amp;"'!A:A")),0))</f>
        <v/>
      </c>
      <c r="L114" s="11" t="str">
        <f>IF($A114="","",IFERROR(VALUE(MID(TRIM('Template Setup'!$C$4),FIND("-",TRIM('Template Setup'!$C$4))+1,10)),0))</f>
        <v/>
      </c>
      <c r="M114" s="11" t="str">
        <f>IF($A114="","",IFERROR(VALUE(MID(TRIM('Template Setup'!$C$5),FIND("-",TRIM('Template Setup'!$C$5))+1,10)),0))</f>
        <v/>
      </c>
      <c r="N114" s="11" t="str">
        <f>IF($A114="","",IFERROR(VALUE(MID(TRIM('Template Setup'!$C$6),FIND("-",TRIM('Template Setup'!$C$6))+1,10)),0))</f>
        <v/>
      </c>
      <c r="O114" s="11" t="str">
        <f>IF($A114="","",IFERROR(VALUE(MID(TRIM('Template Setup'!$C$7),FIND("-",TRIM('Template Setup'!$C$7))+1,10)),0))</f>
        <v/>
      </c>
      <c r="P114" s="11" t="str">
        <f>IF($A114="","",IFERROR(VALUE(MID(TRIM('Template Setup'!$C$8),FIND("-",TRIM('Template Setup'!$C$8))+1,10)),0))</f>
        <v/>
      </c>
      <c r="Q114" s="9" t="str">
        <f>IF($A114="","",$A114&amp;"-"&amp;'Template Setup'!$C$16)</f>
        <v/>
      </c>
      <c r="R114" s="24" t="str">
        <f t="shared" si="5"/>
        <v/>
      </c>
      <c r="S114" s="24"/>
      <c r="T114" s="24" t="str">
        <f t="shared" si="6"/>
        <v/>
      </c>
      <c r="U114" s="6" t="str">
        <f t="shared" si="8"/>
        <v/>
      </c>
    </row>
    <row r="115" spans="1:21">
      <c r="A115" s="11"/>
      <c r="B115" s="11"/>
      <c r="C115" s="11"/>
      <c r="D115" s="11" t="str">
        <f>IF($A115="","",_xlfn.TEXTJOIN(", ",TRUE,IF($G115&gt;0,'Template Setup'!$C$4,""),IF($H115&gt;0,'Template Setup'!$C$5,""),IF($I115&gt;0,'Template Setup'!$C$6,""),IF($J115&gt;0,'Template Setup'!$C$7,""),IF($K115&gt;0,'Template Setup'!$C$8,"")))</f>
        <v/>
      </c>
      <c r="E115" s="6" t="str" cm="1">
        <f t="array" ref="E115">IF($A115="","",_xlfn.LET(_xlpm.sheets,CHOOSE({1,2,3,4,5},'Template Setup'!$C$4,'Template Setup'!$C$5,'Template Setup'!$C$6,'Template Setup'!$C$7,'Template Setup'!$C$8),_xlpm.nums,CHOOSE({1,2,3,4,5},$L115,$M115,$N115,$O115,$P115),_xlpm.qtys,CHOOSE({1,2,3,4,5},$G115,$H115,$I115,$J115,$K115),_xlpm.validNums,_xlfn._xlws.FILTER(_xlpm.nums,_xlpm.qtys&gt;0),_xlpm.validSheets,_xlfn._xlws.FILTER(_xlpm.sheets,_xlpm.qtys&gt;0),_xlpm.mx,IFERROR(MAX(_xlpm.validNums),0),IF(_xlpm.mx=0,"",INDEX(_xlpm.validSheets,MATCH(_xlpm.mx,_xlpm.validNums,0))&amp;" (+"&amp;$R115&amp;")")))</f>
        <v/>
      </c>
      <c r="F115" s="11" t="str">
        <f t="shared" si="7"/>
        <v/>
      </c>
      <c r="G115" s="12" t="str">
        <f ca="1">IF($A115="","",IFERROR(SUMIF(INDIRECT("'"&amp;'Template Setup'!$C$4&amp;"'!C:C"),$A115,INDIRECT("'"&amp;'Template Setup'!$C$4&amp;"'!A:A")),0))</f>
        <v/>
      </c>
      <c r="H115" s="12" t="str">
        <f ca="1">IF($A115="","",IFERROR(SUMIF(INDIRECT("'"&amp;'Template Setup'!$C$5&amp;"'!C:C"),$A115,INDIRECT("'"&amp;'Template Setup'!$C$5&amp;"'!A:A")),0))</f>
        <v/>
      </c>
      <c r="I115" s="12" t="str">
        <f ca="1">IF($A115="","",IFERROR(SUMIF(INDIRECT("'"&amp;'Template Setup'!$C$6&amp;"'!C:C"),$A115,INDIRECT("'"&amp;'Template Setup'!$C$6&amp;"'!A:A")),0))</f>
        <v/>
      </c>
      <c r="J115" s="12" t="str">
        <f ca="1">IF($A115="","",IFERROR(SUMIF(INDIRECT("'"&amp;'Template Setup'!$C$7&amp;"'!C:C"),$A115,INDIRECT("'"&amp;'Template Setup'!$C$7&amp;"'!A:A")),0))</f>
        <v/>
      </c>
      <c r="K115" s="12" t="str">
        <f ca="1">IF($A115="","",IFERROR(SUMIF(INDIRECT("'"&amp;'Template Setup'!$C$8&amp;"'!C:C"),$A115,INDIRECT("'"&amp;'Template Setup'!$C$8&amp;"'!A:A")),0))</f>
        <v/>
      </c>
      <c r="L115" s="11" t="str">
        <f>IF($A115="","",IFERROR(VALUE(MID(TRIM('Template Setup'!$C$4),FIND("-",TRIM('Template Setup'!$C$4))+1,10)),0))</f>
        <v/>
      </c>
      <c r="M115" s="11" t="str">
        <f>IF($A115="","",IFERROR(VALUE(MID(TRIM('Template Setup'!$C$5),FIND("-",TRIM('Template Setup'!$C$5))+1,10)),0))</f>
        <v/>
      </c>
      <c r="N115" s="11" t="str">
        <f>IF($A115="","",IFERROR(VALUE(MID(TRIM('Template Setup'!$C$6),FIND("-",TRIM('Template Setup'!$C$6))+1,10)),0))</f>
        <v/>
      </c>
      <c r="O115" s="11" t="str">
        <f>IF($A115="","",IFERROR(VALUE(MID(TRIM('Template Setup'!$C$7),FIND("-",TRIM('Template Setup'!$C$7))+1,10)),0))</f>
        <v/>
      </c>
      <c r="P115" s="11" t="str">
        <f>IF($A115="","",IFERROR(VALUE(MID(TRIM('Template Setup'!$C$8),FIND("-",TRIM('Template Setup'!$C$8))+1,10)),0))</f>
        <v/>
      </c>
      <c r="Q115" s="9" t="str">
        <f>IF($A115="","",$A115&amp;"-"&amp;'Template Setup'!$C$16)</f>
        <v/>
      </c>
      <c r="R115" s="24" t="str">
        <f t="shared" si="5"/>
        <v/>
      </c>
      <c r="S115" s="24"/>
      <c r="T115" s="24" t="str">
        <f t="shared" si="6"/>
        <v/>
      </c>
      <c r="U115" s="6" t="str">
        <f t="shared" si="8"/>
        <v/>
      </c>
    </row>
    <row r="116" spans="1:21">
      <c r="A116" s="11"/>
      <c r="B116" s="11"/>
      <c r="C116" s="11"/>
      <c r="D116" s="11" t="str">
        <f>IF($A116="","",_xlfn.TEXTJOIN(", ",TRUE,IF($G116&gt;0,'Template Setup'!$C$4,""),IF($H116&gt;0,'Template Setup'!$C$5,""),IF($I116&gt;0,'Template Setup'!$C$6,""),IF($J116&gt;0,'Template Setup'!$C$7,""),IF($K116&gt;0,'Template Setup'!$C$8,"")))</f>
        <v/>
      </c>
      <c r="E116" s="6" t="str" cm="1">
        <f t="array" ref="E116">IF($A116="","",_xlfn.LET(_xlpm.sheets,CHOOSE({1,2,3,4,5},'Template Setup'!$C$4,'Template Setup'!$C$5,'Template Setup'!$C$6,'Template Setup'!$C$7,'Template Setup'!$C$8),_xlpm.nums,CHOOSE({1,2,3,4,5},$L116,$M116,$N116,$O116,$P116),_xlpm.qtys,CHOOSE({1,2,3,4,5},$G116,$H116,$I116,$J116,$K116),_xlpm.validNums,_xlfn._xlws.FILTER(_xlpm.nums,_xlpm.qtys&gt;0),_xlpm.validSheets,_xlfn._xlws.FILTER(_xlpm.sheets,_xlpm.qtys&gt;0),_xlpm.mx,IFERROR(MAX(_xlpm.validNums),0),IF(_xlpm.mx=0,"",INDEX(_xlpm.validSheets,MATCH(_xlpm.mx,_xlpm.validNums,0))&amp;" (+"&amp;$R116&amp;")")))</f>
        <v/>
      </c>
      <c r="F116" s="11" t="str">
        <f t="shared" si="7"/>
        <v/>
      </c>
      <c r="G116" s="12" t="str">
        <f ca="1">IF($A116="","",IFERROR(SUMIF(INDIRECT("'"&amp;'Template Setup'!$C$4&amp;"'!C:C"),$A116,INDIRECT("'"&amp;'Template Setup'!$C$4&amp;"'!A:A")),0))</f>
        <v/>
      </c>
      <c r="H116" s="12" t="str">
        <f ca="1">IF($A116="","",IFERROR(SUMIF(INDIRECT("'"&amp;'Template Setup'!$C$5&amp;"'!C:C"),$A116,INDIRECT("'"&amp;'Template Setup'!$C$5&amp;"'!A:A")),0))</f>
        <v/>
      </c>
      <c r="I116" s="12" t="str">
        <f ca="1">IF($A116="","",IFERROR(SUMIF(INDIRECT("'"&amp;'Template Setup'!$C$6&amp;"'!C:C"),$A116,INDIRECT("'"&amp;'Template Setup'!$C$6&amp;"'!A:A")),0))</f>
        <v/>
      </c>
      <c r="J116" s="12" t="str">
        <f ca="1">IF($A116="","",IFERROR(SUMIF(INDIRECT("'"&amp;'Template Setup'!$C$7&amp;"'!C:C"),$A116,INDIRECT("'"&amp;'Template Setup'!$C$7&amp;"'!A:A")),0))</f>
        <v/>
      </c>
      <c r="K116" s="12" t="str">
        <f ca="1">IF($A116="","",IFERROR(SUMIF(INDIRECT("'"&amp;'Template Setup'!$C$8&amp;"'!C:C"),$A116,INDIRECT("'"&amp;'Template Setup'!$C$8&amp;"'!A:A")),0))</f>
        <v/>
      </c>
      <c r="L116" s="11" t="str">
        <f>IF($A116="","",IFERROR(VALUE(MID(TRIM('Template Setup'!$C$4),FIND("-",TRIM('Template Setup'!$C$4))+1,10)),0))</f>
        <v/>
      </c>
      <c r="M116" s="11" t="str">
        <f>IF($A116="","",IFERROR(VALUE(MID(TRIM('Template Setup'!$C$5),FIND("-",TRIM('Template Setup'!$C$5))+1,10)),0))</f>
        <v/>
      </c>
      <c r="N116" s="11" t="str">
        <f>IF($A116="","",IFERROR(VALUE(MID(TRIM('Template Setup'!$C$6),FIND("-",TRIM('Template Setup'!$C$6))+1,10)),0))</f>
        <v/>
      </c>
      <c r="O116" s="11" t="str">
        <f>IF($A116="","",IFERROR(VALUE(MID(TRIM('Template Setup'!$C$7),FIND("-",TRIM('Template Setup'!$C$7))+1,10)),0))</f>
        <v/>
      </c>
      <c r="P116" s="11" t="str">
        <f>IF($A116="","",IFERROR(VALUE(MID(TRIM('Template Setup'!$C$8),FIND("-",TRIM('Template Setup'!$C$8))+1,10)),0))</f>
        <v/>
      </c>
      <c r="Q116" s="9" t="str">
        <f>IF($A116="","",$A116&amp;"-"&amp;'Template Setup'!$C$16)</f>
        <v/>
      </c>
      <c r="R116" s="24" t="str">
        <f t="shared" si="5"/>
        <v/>
      </c>
      <c r="S116" s="24"/>
      <c r="T116" s="24" t="str">
        <f t="shared" si="6"/>
        <v/>
      </c>
      <c r="U116" s="6" t="str">
        <f t="shared" si="8"/>
        <v/>
      </c>
    </row>
    <row r="117" spans="1:21">
      <c r="A117" s="11"/>
      <c r="B117" s="11"/>
      <c r="C117" s="11"/>
      <c r="D117" s="11" t="str">
        <f>IF($A117="","",_xlfn.TEXTJOIN(", ",TRUE,IF($G117&gt;0,'Template Setup'!$C$4,""),IF($H117&gt;0,'Template Setup'!$C$5,""),IF($I117&gt;0,'Template Setup'!$C$6,""),IF($J117&gt;0,'Template Setup'!$C$7,""),IF($K117&gt;0,'Template Setup'!$C$8,"")))</f>
        <v/>
      </c>
      <c r="E117" s="6" t="str" cm="1">
        <f t="array" ref="E117">IF($A117="","",_xlfn.LET(_xlpm.sheets,CHOOSE({1,2,3,4,5},'Template Setup'!$C$4,'Template Setup'!$C$5,'Template Setup'!$C$6,'Template Setup'!$C$7,'Template Setup'!$C$8),_xlpm.nums,CHOOSE({1,2,3,4,5},$L117,$M117,$N117,$O117,$P117),_xlpm.qtys,CHOOSE({1,2,3,4,5},$G117,$H117,$I117,$J117,$K117),_xlpm.validNums,_xlfn._xlws.FILTER(_xlpm.nums,_xlpm.qtys&gt;0),_xlpm.validSheets,_xlfn._xlws.FILTER(_xlpm.sheets,_xlpm.qtys&gt;0),_xlpm.mx,IFERROR(MAX(_xlpm.validNums),0),IF(_xlpm.mx=0,"",INDEX(_xlpm.validSheets,MATCH(_xlpm.mx,_xlpm.validNums,0))&amp;" (+"&amp;$R117&amp;")")))</f>
        <v/>
      </c>
      <c r="F117" s="11" t="str">
        <f t="shared" si="7"/>
        <v/>
      </c>
      <c r="G117" s="12" t="str">
        <f ca="1">IF($A117="","",IFERROR(SUMIF(INDIRECT("'"&amp;'Template Setup'!$C$4&amp;"'!C:C"),$A117,INDIRECT("'"&amp;'Template Setup'!$C$4&amp;"'!A:A")),0))</f>
        <v/>
      </c>
      <c r="H117" s="12" t="str">
        <f ca="1">IF($A117="","",IFERROR(SUMIF(INDIRECT("'"&amp;'Template Setup'!$C$5&amp;"'!C:C"),$A117,INDIRECT("'"&amp;'Template Setup'!$C$5&amp;"'!A:A")),0))</f>
        <v/>
      </c>
      <c r="I117" s="12" t="str">
        <f ca="1">IF($A117="","",IFERROR(SUMIF(INDIRECT("'"&amp;'Template Setup'!$C$6&amp;"'!C:C"),$A117,INDIRECT("'"&amp;'Template Setup'!$C$6&amp;"'!A:A")),0))</f>
        <v/>
      </c>
      <c r="J117" s="12" t="str">
        <f ca="1">IF($A117="","",IFERROR(SUMIF(INDIRECT("'"&amp;'Template Setup'!$C$7&amp;"'!C:C"),$A117,INDIRECT("'"&amp;'Template Setup'!$C$7&amp;"'!A:A")),0))</f>
        <v/>
      </c>
      <c r="K117" s="12" t="str">
        <f ca="1">IF($A117="","",IFERROR(SUMIF(INDIRECT("'"&amp;'Template Setup'!$C$8&amp;"'!C:C"),$A117,INDIRECT("'"&amp;'Template Setup'!$C$8&amp;"'!A:A")),0))</f>
        <v/>
      </c>
      <c r="L117" s="11" t="str">
        <f>IF($A117="","",IFERROR(VALUE(MID(TRIM('Template Setup'!$C$4),FIND("-",TRIM('Template Setup'!$C$4))+1,10)),0))</f>
        <v/>
      </c>
      <c r="M117" s="11" t="str">
        <f>IF($A117="","",IFERROR(VALUE(MID(TRIM('Template Setup'!$C$5),FIND("-",TRIM('Template Setup'!$C$5))+1,10)),0))</f>
        <v/>
      </c>
      <c r="N117" s="11" t="str">
        <f>IF($A117="","",IFERROR(VALUE(MID(TRIM('Template Setup'!$C$6),FIND("-",TRIM('Template Setup'!$C$6))+1,10)),0))</f>
        <v/>
      </c>
      <c r="O117" s="11" t="str">
        <f>IF($A117="","",IFERROR(VALUE(MID(TRIM('Template Setup'!$C$7),FIND("-",TRIM('Template Setup'!$C$7))+1,10)),0))</f>
        <v/>
      </c>
      <c r="P117" s="11" t="str">
        <f>IF($A117="","",IFERROR(VALUE(MID(TRIM('Template Setup'!$C$8),FIND("-",TRIM('Template Setup'!$C$8))+1,10)),0))</f>
        <v/>
      </c>
      <c r="Q117" s="9" t="str">
        <f>IF($A117="","",$A117&amp;"-"&amp;'Template Setup'!$C$16)</f>
        <v/>
      </c>
      <c r="R117" s="24" t="str">
        <f t="shared" si="5"/>
        <v/>
      </c>
      <c r="S117" s="24"/>
      <c r="T117" s="24" t="str">
        <f t="shared" si="6"/>
        <v/>
      </c>
      <c r="U117" s="6" t="str">
        <f t="shared" si="8"/>
        <v/>
      </c>
    </row>
    <row r="118" spans="1:21">
      <c r="A118" s="11"/>
      <c r="B118" s="11"/>
      <c r="C118" s="11"/>
      <c r="D118" s="11" t="str">
        <f>IF($A118="","",_xlfn.TEXTJOIN(", ",TRUE,IF($G118&gt;0,'Template Setup'!$C$4,""),IF($H118&gt;0,'Template Setup'!$C$5,""),IF($I118&gt;0,'Template Setup'!$C$6,""),IF($J118&gt;0,'Template Setup'!$C$7,""),IF($K118&gt;0,'Template Setup'!$C$8,"")))</f>
        <v/>
      </c>
      <c r="E118" s="6" t="str" cm="1">
        <f t="array" ref="E118">IF($A118="","",_xlfn.LET(_xlpm.sheets,CHOOSE({1,2,3,4,5},'Template Setup'!$C$4,'Template Setup'!$C$5,'Template Setup'!$C$6,'Template Setup'!$C$7,'Template Setup'!$C$8),_xlpm.nums,CHOOSE({1,2,3,4,5},$L118,$M118,$N118,$O118,$P118),_xlpm.qtys,CHOOSE({1,2,3,4,5},$G118,$H118,$I118,$J118,$K118),_xlpm.validNums,_xlfn._xlws.FILTER(_xlpm.nums,_xlpm.qtys&gt;0),_xlpm.validSheets,_xlfn._xlws.FILTER(_xlpm.sheets,_xlpm.qtys&gt;0),_xlpm.mx,IFERROR(MAX(_xlpm.validNums),0),IF(_xlpm.mx=0,"",INDEX(_xlpm.validSheets,MATCH(_xlpm.mx,_xlpm.validNums,0))&amp;" (+"&amp;$R118&amp;")")))</f>
        <v/>
      </c>
      <c r="F118" s="11" t="str">
        <f t="shared" si="7"/>
        <v/>
      </c>
      <c r="G118" s="12" t="str">
        <f ca="1">IF($A118="","",IFERROR(SUMIF(INDIRECT("'"&amp;'Template Setup'!$C$4&amp;"'!C:C"),$A118,INDIRECT("'"&amp;'Template Setup'!$C$4&amp;"'!A:A")),0))</f>
        <v/>
      </c>
      <c r="H118" s="12" t="str">
        <f ca="1">IF($A118="","",IFERROR(SUMIF(INDIRECT("'"&amp;'Template Setup'!$C$5&amp;"'!C:C"),$A118,INDIRECT("'"&amp;'Template Setup'!$C$5&amp;"'!A:A")),0))</f>
        <v/>
      </c>
      <c r="I118" s="12" t="str">
        <f ca="1">IF($A118="","",IFERROR(SUMIF(INDIRECT("'"&amp;'Template Setup'!$C$6&amp;"'!C:C"),$A118,INDIRECT("'"&amp;'Template Setup'!$C$6&amp;"'!A:A")),0))</f>
        <v/>
      </c>
      <c r="J118" s="12" t="str">
        <f ca="1">IF($A118="","",IFERROR(SUMIF(INDIRECT("'"&amp;'Template Setup'!$C$7&amp;"'!C:C"),$A118,INDIRECT("'"&amp;'Template Setup'!$C$7&amp;"'!A:A")),0))</f>
        <v/>
      </c>
      <c r="K118" s="12" t="str">
        <f ca="1">IF($A118="","",IFERROR(SUMIF(INDIRECT("'"&amp;'Template Setup'!$C$8&amp;"'!C:C"),$A118,INDIRECT("'"&amp;'Template Setup'!$C$8&amp;"'!A:A")),0))</f>
        <v/>
      </c>
      <c r="L118" s="11" t="str">
        <f>IF($A118="","",IFERROR(VALUE(MID(TRIM('Template Setup'!$C$4),FIND("-",TRIM('Template Setup'!$C$4))+1,10)),0))</f>
        <v/>
      </c>
      <c r="M118" s="11" t="str">
        <f>IF($A118="","",IFERROR(VALUE(MID(TRIM('Template Setup'!$C$5),FIND("-",TRIM('Template Setup'!$C$5))+1,10)),0))</f>
        <v/>
      </c>
      <c r="N118" s="11" t="str">
        <f>IF($A118="","",IFERROR(VALUE(MID(TRIM('Template Setup'!$C$6),FIND("-",TRIM('Template Setup'!$C$6))+1,10)),0))</f>
        <v/>
      </c>
      <c r="O118" s="11" t="str">
        <f>IF($A118="","",IFERROR(VALUE(MID(TRIM('Template Setup'!$C$7),FIND("-",TRIM('Template Setup'!$C$7))+1,10)),0))</f>
        <v/>
      </c>
      <c r="P118" s="11" t="str">
        <f>IF($A118="","",IFERROR(VALUE(MID(TRIM('Template Setup'!$C$8),FIND("-",TRIM('Template Setup'!$C$8))+1,10)),0))</f>
        <v/>
      </c>
      <c r="Q118" s="9" t="str">
        <f>IF($A118="","",$A118&amp;"-"&amp;'Template Setup'!$C$16)</f>
        <v/>
      </c>
      <c r="R118" s="24" t="str">
        <f t="shared" si="5"/>
        <v/>
      </c>
      <c r="S118" s="24"/>
      <c r="T118" s="24" t="str">
        <f t="shared" si="6"/>
        <v/>
      </c>
      <c r="U118" s="6" t="str">
        <f t="shared" si="8"/>
        <v/>
      </c>
    </row>
    <row r="119" spans="1:21">
      <c r="A119" s="11"/>
      <c r="B119" s="11"/>
      <c r="C119" s="11"/>
      <c r="D119" s="11" t="str">
        <f>IF($A119="","",_xlfn.TEXTJOIN(", ",TRUE,IF($G119&gt;0,'Template Setup'!$C$4,""),IF($H119&gt;0,'Template Setup'!$C$5,""),IF($I119&gt;0,'Template Setup'!$C$6,""),IF($J119&gt;0,'Template Setup'!$C$7,""),IF($K119&gt;0,'Template Setup'!$C$8,"")))</f>
        <v/>
      </c>
      <c r="E119" s="6" t="str" cm="1">
        <f t="array" ref="E119">IF($A119="","",_xlfn.LET(_xlpm.sheets,CHOOSE({1,2,3,4,5},'Template Setup'!$C$4,'Template Setup'!$C$5,'Template Setup'!$C$6,'Template Setup'!$C$7,'Template Setup'!$C$8),_xlpm.nums,CHOOSE({1,2,3,4,5},$L119,$M119,$N119,$O119,$P119),_xlpm.qtys,CHOOSE({1,2,3,4,5},$G119,$H119,$I119,$J119,$K119),_xlpm.validNums,_xlfn._xlws.FILTER(_xlpm.nums,_xlpm.qtys&gt;0),_xlpm.validSheets,_xlfn._xlws.FILTER(_xlpm.sheets,_xlpm.qtys&gt;0),_xlpm.mx,IFERROR(MAX(_xlpm.validNums),0),IF(_xlpm.mx=0,"",INDEX(_xlpm.validSheets,MATCH(_xlpm.mx,_xlpm.validNums,0))&amp;" (+"&amp;$R119&amp;")")))</f>
        <v/>
      </c>
      <c r="F119" s="11" t="str">
        <f t="shared" si="7"/>
        <v/>
      </c>
      <c r="G119" s="12" t="str">
        <f ca="1">IF($A119="","",IFERROR(SUMIF(INDIRECT("'"&amp;'Template Setup'!$C$4&amp;"'!C:C"),$A119,INDIRECT("'"&amp;'Template Setup'!$C$4&amp;"'!A:A")),0))</f>
        <v/>
      </c>
      <c r="H119" s="12" t="str">
        <f ca="1">IF($A119="","",IFERROR(SUMIF(INDIRECT("'"&amp;'Template Setup'!$C$5&amp;"'!C:C"),$A119,INDIRECT("'"&amp;'Template Setup'!$C$5&amp;"'!A:A")),0))</f>
        <v/>
      </c>
      <c r="I119" s="12" t="str">
        <f ca="1">IF($A119="","",IFERROR(SUMIF(INDIRECT("'"&amp;'Template Setup'!$C$6&amp;"'!C:C"),$A119,INDIRECT("'"&amp;'Template Setup'!$C$6&amp;"'!A:A")),0))</f>
        <v/>
      </c>
      <c r="J119" s="12" t="str">
        <f ca="1">IF($A119="","",IFERROR(SUMIF(INDIRECT("'"&amp;'Template Setup'!$C$7&amp;"'!C:C"),$A119,INDIRECT("'"&amp;'Template Setup'!$C$7&amp;"'!A:A")),0))</f>
        <v/>
      </c>
      <c r="K119" s="12" t="str">
        <f ca="1">IF($A119="","",IFERROR(SUMIF(INDIRECT("'"&amp;'Template Setup'!$C$8&amp;"'!C:C"),$A119,INDIRECT("'"&amp;'Template Setup'!$C$8&amp;"'!A:A")),0))</f>
        <v/>
      </c>
      <c r="L119" s="11" t="str">
        <f>IF($A119="","",IFERROR(VALUE(MID(TRIM('Template Setup'!$C$4),FIND("-",TRIM('Template Setup'!$C$4))+1,10)),0))</f>
        <v/>
      </c>
      <c r="M119" s="11" t="str">
        <f>IF($A119="","",IFERROR(VALUE(MID(TRIM('Template Setup'!$C$5),FIND("-",TRIM('Template Setup'!$C$5))+1,10)),0))</f>
        <v/>
      </c>
      <c r="N119" s="11" t="str">
        <f>IF($A119="","",IFERROR(VALUE(MID(TRIM('Template Setup'!$C$6),FIND("-",TRIM('Template Setup'!$C$6))+1,10)),0))</f>
        <v/>
      </c>
      <c r="O119" s="11" t="str">
        <f>IF($A119="","",IFERROR(VALUE(MID(TRIM('Template Setup'!$C$7),FIND("-",TRIM('Template Setup'!$C$7))+1,10)),0))</f>
        <v/>
      </c>
      <c r="P119" s="11" t="str">
        <f>IF($A119="","",IFERROR(VALUE(MID(TRIM('Template Setup'!$C$8),FIND("-",TRIM('Template Setup'!$C$8))+1,10)),0))</f>
        <v/>
      </c>
      <c r="Q119" s="9" t="str">
        <f>IF($A119="","",$A119&amp;"-"&amp;'Template Setup'!$C$16)</f>
        <v/>
      </c>
      <c r="R119" s="24" t="str">
        <f t="shared" si="5"/>
        <v/>
      </c>
      <c r="S119" s="24"/>
      <c r="T119" s="24" t="str">
        <f t="shared" si="6"/>
        <v/>
      </c>
      <c r="U119" s="6" t="str">
        <f t="shared" si="8"/>
        <v/>
      </c>
    </row>
    <row r="120" spans="1:21">
      <c r="A120" s="11"/>
      <c r="B120" s="11"/>
      <c r="C120" s="11"/>
      <c r="D120" s="11" t="str">
        <f>IF($A120="","",_xlfn.TEXTJOIN(", ",TRUE,IF($G120&gt;0,'Template Setup'!$C$4,""),IF($H120&gt;0,'Template Setup'!$C$5,""),IF($I120&gt;0,'Template Setup'!$C$6,""),IF($J120&gt;0,'Template Setup'!$C$7,""),IF($K120&gt;0,'Template Setup'!$C$8,"")))</f>
        <v/>
      </c>
      <c r="E120" s="6" t="str" cm="1">
        <f t="array" ref="E120">IF($A120="","",_xlfn.LET(_xlpm.sheets,CHOOSE({1,2,3,4,5},'Template Setup'!$C$4,'Template Setup'!$C$5,'Template Setup'!$C$6,'Template Setup'!$C$7,'Template Setup'!$C$8),_xlpm.nums,CHOOSE({1,2,3,4,5},$L120,$M120,$N120,$O120,$P120),_xlpm.qtys,CHOOSE({1,2,3,4,5},$G120,$H120,$I120,$J120,$K120),_xlpm.validNums,_xlfn._xlws.FILTER(_xlpm.nums,_xlpm.qtys&gt;0),_xlpm.validSheets,_xlfn._xlws.FILTER(_xlpm.sheets,_xlpm.qtys&gt;0),_xlpm.mx,IFERROR(MAX(_xlpm.validNums),0),IF(_xlpm.mx=0,"",INDEX(_xlpm.validSheets,MATCH(_xlpm.mx,_xlpm.validNums,0))&amp;" (+"&amp;$R120&amp;")")))</f>
        <v/>
      </c>
      <c r="F120" s="11" t="str">
        <f t="shared" si="7"/>
        <v/>
      </c>
      <c r="G120" s="12" t="str">
        <f ca="1">IF($A120="","",IFERROR(SUMIF(INDIRECT("'"&amp;'Template Setup'!$C$4&amp;"'!C:C"),$A120,INDIRECT("'"&amp;'Template Setup'!$C$4&amp;"'!A:A")),0))</f>
        <v/>
      </c>
      <c r="H120" s="12" t="str">
        <f ca="1">IF($A120="","",IFERROR(SUMIF(INDIRECT("'"&amp;'Template Setup'!$C$5&amp;"'!C:C"),$A120,INDIRECT("'"&amp;'Template Setup'!$C$5&amp;"'!A:A")),0))</f>
        <v/>
      </c>
      <c r="I120" s="12" t="str">
        <f ca="1">IF($A120="","",IFERROR(SUMIF(INDIRECT("'"&amp;'Template Setup'!$C$6&amp;"'!C:C"),$A120,INDIRECT("'"&amp;'Template Setup'!$C$6&amp;"'!A:A")),0))</f>
        <v/>
      </c>
      <c r="J120" s="12" t="str">
        <f ca="1">IF($A120="","",IFERROR(SUMIF(INDIRECT("'"&amp;'Template Setup'!$C$7&amp;"'!C:C"),$A120,INDIRECT("'"&amp;'Template Setup'!$C$7&amp;"'!A:A")),0))</f>
        <v/>
      </c>
      <c r="K120" s="12" t="str">
        <f ca="1">IF($A120="","",IFERROR(SUMIF(INDIRECT("'"&amp;'Template Setup'!$C$8&amp;"'!C:C"),$A120,INDIRECT("'"&amp;'Template Setup'!$C$8&amp;"'!A:A")),0))</f>
        <v/>
      </c>
      <c r="L120" s="11" t="str">
        <f>IF($A120="","",IFERROR(VALUE(MID(TRIM('Template Setup'!$C$4),FIND("-",TRIM('Template Setup'!$C$4))+1,10)),0))</f>
        <v/>
      </c>
      <c r="M120" s="11" t="str">
        <f>IF($A120="","",IFERROR(VALUE(MID(TRIM('Template Setup'!$C$5),FIND("-",TRIM('Template Setup'!$C$5))+1,10)),0))</f>
        <v/>
      </c>
      <c r="N120" s="11" t="str">
        <f>IF($A120="","",IFERROR(VALUE(MID(TRIM('Template Setup'!$C$6),FIND("-",TRIM('Template Setup'!$C$6))+1,10)),0))</f>
        <v/>
      </c>
      <c r="O120" s="11" t="str">
        <f>IF($A120="","",IFERROR(VALUE(MID(TRIM('Template Setup'!$C$7),FIND("-",TRIM('Template Setup'!$C$7))+1,10)),0))</f>
        <v/>
      </c>
      <c r="P120" s="11" t="str">
        <f>IF($A120="","",IFERROR(VALUE(MID(TRIM('Template Setup'!$C$8),FIND("-",TRIM('Template Setup'!$C$8))+1,10)),0))</f>
        <v/>
      </c>
      <c r="Q120" s="9" t="str">
        <f>IF($A120="","",$A120&amp;"-"&amp;'Template Setup'!$C$16)</f>
        <v/>
      </c>
      <c r="R120" s="24" t="str">
        <f t="shared" si="5"/>
        <v/>
      </c>
      <c r="S120" s="24"/>
      <c r="T120" s="24" t="str">
        <f t="shared" si="6"/>
        <v/>
      </c>
      <c r="U120" s="6" t="str">
        <f t="shared" si="8"/>
        <v/>
      </c>
    </row>
    <row r="121" spans="1:21">
      <c r="A121" s="11"/>
      <c r="B121" s="11"/>
      <c r="C121" s="11"/>
      <c r="D121" s="11" t="str">
        <f>IF($A121="","",_xlfn.TEXTJOIN(", ",TRUE,IF($G121&gt;0,'Template Setup'!$C$4,""),IF($H121&gt;0,'Template Setup'!$C$5,""),IF($I121&gt;0,'Template Setup'!$C$6,""),IF($J121&gt;0,'Template Setup'!$C$7,""),IF($K121&gt;0,'Template Setup'!$C$8,"")))</f>
        <v/>
      </c>
      <c r="E121" s="6" t="str" cm="1">
        <f t="array" ref="E121">IF($A121="","",_xlfn.LET(_xlpm.sheets,CHOOSE({1,2,3,4,5},'Template Setup'!$C$4,'Template Setup'!$C$5,'Template Setup'!$C$6,'Template Setup'!$C$7,'Template Setup'!$C$8),_xlpm.nums,CHOOSE({1,2,3,4,5},$L121,$M121,$N121,$O121,$P121),_xlpm.qtys,CHOOSE({1,2,3,4,5},$G121,$H121,$I121,$J121,$K121),_xlpm.validNums,_xlfn._xlws.FILTER(_xlpm.nums,_xlpm.qtys&gt;0),_xlpm.validSheets,_xlfn._xlws.FILTER(_xlpm.sheets,_xlpm.qtys&gt;0),_xlpm.mx,IFERROR(MAX(_xlpm.validNums),0),IF(_xlpm.mx=0,"",INDEX(_xlpm.validSheets,MATCH(_xlpm.mx,_xlpm.validNums,0))&amp;" (+"&amp;$R121&amp;")")))</f>
        <v/>
      </c>
      <c r="F121" s="11" t="str">
        <f t="shared" si="7"/>
        <v/>
      </c>
      <c r="G121" s="12" t="str">
        <f ca="1">IF($A121="","",IFERROR(SUMIF(INDIRECT("'"&amp;'Template Setup'!$C$4&amp;"'!C:C"),$A121,INDIRECT("'"&amp;'Template Setup'!$C$4&amp;"'!A:A")),0))</f>
        <v/>
      </c>
      <c r="H121" s="12" t="str">
        <f ca="1">IF($A121="","",IFERROR(SUMIF(INDIRECT("'"&amp;'Template Setup'!$C$5&amp;"'!C:C"),$A121,INDIRECT("'"&amp;'Template Setup'!$C$5&amp;"'!A:A")),0))</f>
        <v/>
      </c>
      <c r="I121" s="12" t="str">
        <f ca="1">IF($A121="","",IFERROR(SUMIF(INDIRECT("'"&amp;'Template Setup'!$C$6&amp;"'!C:C"),$A121,INDIRECT("'"&amp;'Template Setup'!$C$6&amp;"'!A:A")),0))</f>
        <v/>
      </c>
      <c r="J121" s="12" t="str">
        <f ca="1">IF($A121="","",IFERROR(SUMIF(INDIRECT("'"&amp;'Template Setup'!$C$7&amp;"'!C:C"),$A121,INDIRECT("'"&amp;'Template Setup'!$C$7&amp;"'!A:A")),0))</f>
        <v/>
      </c>
      <c r="K121" s="12" t="str">
        <f ca="1">IF($A121="","",IFERROR(SUMIF(INDIRECT("'"&amp;'Template Setup'!$C$8&amp;"'!C:C"),$A121,INDIRECT("'"&amp;'Template Setup'!$C$8&amp;"'!A:A")),0))</f>
        <v/>
      </c>
      <c r="L121" s="11" t="str">
        <f>IF($A121="","",IFERROR(VALUE(MID(TRIM('Template Setup'!$C$4),FIND("-",TRIM('Template Setup'!$C$4))+1,10)),0))</f>
        <v/>
      </c>
      <c r="M121" s="11" t="str">
        <f>IF($A121="","",IFERROR(VALUE(MID(TRIM('Template Setup'!$C$5),FIND("-",TRIM('Template Setup'!$C$5))+1,10)),0))</f>
        <v/>
      </c>
      <c r="N121" s="11" t="str">
        <f>IF($A121="","",IFERROR(VALUE(MID(TRIM('Template Setup'!$C$6),FIND("-",TRIM('Template Setup'!$C$6))+1,10)),0))</f>
        <v/>
      </c>
      <c r="O121" s="11" t="str">
        <f>IF($A121="","",IFERROR(VALUE(MID(TRIM('Template Setup'!$C$7),FIND("-",TRIM('Template Setup'!$C$7))+1,10)),0))</f>
        <v/>
      </c>
      <c r="P121" s="11" t="str">
        <f>IF($A121="","",IFERROR(VALUE(MID(TRIM('Template Setup'!$C$8),FIND("-",TRIM('Template Setup'!$C$8))+1,10)),0))</f>
        <v/>
      </c>
      <c r="Q121" s="9" t="str">
        <f>IF($A121="","",$A121&amp;"-"&amp;'Template Setup'!$C$16)</f>
        <v/>
      </c>
      <c r="R121" s="24" t="str">
        <f t="shared" si="5"/>
        <v/>
      </c>
      <c r="S121" s="24"/>
      <c r="T121" s="24" t="str">
        <f t="shared" si="6"/>
        <v/>
      </c>
      <c r="U121" s="6" t="str">
        <f t="shared" si="8"/>
        <v/>
      </c>
    </row>
    <row r="122" spans="1:21">
      <c r="A122" s="11"/>
      <c r="B122" s="11"/>
      <c r="C122" s="11"/>
      <c r="D122" s="11" t="str">
        <f>IF($A122="","",_xlfn.TEXTJOIN(", ",TRUE,IF($G122&gt;0,'Template Setup'!$C$4,""),IF($H122&gt;0,'Template Setup'!$C$5,""),IF($I122&gt;0,'Template Setup'!$C$6,""),IF($J122&gt;0,'Template Setup'!$C$7,""),IF($K122&gt;0,'Template Setup'!$C$8,"")))</f>
        <v/>
      </c>
      <c r="E122" s="6" t="str" cm="1">
        <f t="array" ref="E122">IF($A122="","",_xlfn.LET(_xlpm.sheets,CHOOSE({1,2,3,4,5},'Template Setup'!$C$4,'Template Setup'!$C$5,'Template Setup'!$C$6,'Template Setup'!$C$7,'Template Setup'!$C$8),_xlpm.nums,CHOOSE({1,2,3,4,5},$L122,$M122,$N122,$O122,$P122),_xlpm.qtys,CHOOSE({1,2,3,4,5},$G122,$H122,$I122,$J122,$K122),_xlpm.validNums,_xlfn._xlws.FILTER(_xlpm.nums,_xlpm.qtys&gt;0),_xlpm.validSheets,_xlfn._xlws.FILTER(_xlpm.sheets,_xlpm.qtys&gt;0),_xlpm.mx,IFERROR(MAX(_xlpm.validNums),0),IF(_xlpm.mx=0,"",INDEX(_xlpm.validSheets,MATCH(_xlpm.mx,_xlpm.validNums,0))&amp;" (+"&amp;$R122&amp;")")))</f>
        <v/>
      </c>
      <c r="F122" s="11" t="str">
        <f t="shared" si="7"/>
        <v/>
      </c>
      <c r="G122" s="12" t="str">
        <f ca="1">IF($A122="","",IFERROR(SUMIF(INDIRECT("'"&amp;'Template Setup'!$C$4&amp;"'!C:C"),$A122,INDIRECT("'"&amp;'Template Setup'!$C$4&amp;"'!A:A")),0))</f>
        <v/>
      </c>
      <c r="H122" s="12" t="str">
        <f ca="1">IF($A122="","",IFERROR(SUMIF(INDIRECT("'"&amp;'Template Setup'!$C$5&amp;"'!C:C"),$A122,INDIRECT("'"&amp;'Template Setup'!$C$5&amp;"'!A:A")),0))</f>
        <v/>
      </c>
      <c r="I122" s="12" t="str">
        <f ca="1">IF($A122="","",IFERROR(SUMIF(INDIRECT("'"&amp;'Template Setup'!$C$6&amp;"'!C:C"),$A122,INDIRECT("'"&amp;'Template Setup'!$C$6&amp;"'!A:A")),0))</f>
        <v/>
      </c>
      <c r="J122" s="12" t="str">
        <f ca="1">IF($A122="","",IFERROR(SUMIF(INDIRECT("'"&amp;'Template Setup'!$C$7&amp;"'!C:C"),$A122,INDIRECT("'"&amp;'Template Setup'!$C$7&amp;"'!A:A")),0))</f>
        <v/>
      </c>
      <c r="K122" s="12" t="str">
        <f ca="1">IF($A122="","",IFERROR(SUMIF(INDIRECT("'"&amp;'Template Setup'!$C$8&amp;"'!C:C"),$A122,INDIRECT("'"&amp;'Template Setup'!$C$8&amp;"'!A:A")),0))</f>
        <v/>
      </c>
      <c r="L122" s="11" t="str">
        <f>IF($A122="","",IFERROR(VALUE(MID(TRIM('Template Setup'!$C$4),FIND("-",TRIM('Template Setup'!$C$4))+1,10)),0))</f>
        <v/>
      </c>
      <c r="M122" s="11" t="str">
        <f>IF($A122="","",IFERROR(VALUE(MID(TRIM('Template Setup'!$C$5),FIND("-",TRIM('Template Setup'!$C$5))+1,10)),0))</f>
        <v/>
      </c>
      <c r="N122" s="11" t="str">
        <f>IF($A122="","",IFERROR(VALUE(MID(TRIM('Template Setup'!$C$6),FIND("-",TRIM('Template Setup'!$C$6))+1,10)),0))</f>
        <v/>
      </c>
      <c r="O122" s="11" t="str">
        <f>IF($A122="","",IFERROR(VALUE(MID(TRIM('Template Setup'!$C$7),FIND("-",TRIM('Template Setup'!$C$7))+1,10)),0))</f>
        <v/>
      </c>
      <c r="P122" s="11" t="str">
        <f>IF($A122="","",IFERROR(VALUE(MID(TRIM('Template Setup'!$C$8),FIND("-",TRIM('Template Setup'!$C$8))+1,10)),0))</f>
        <v/>
      </c>
      <c r="Q122" s="9" t="str">
        <f>IF($A122="","",$A122&amp;"-"&amp;'Template Setup'!$C$16)</f>
        <v/>
      </c>
      <c r="R122" s="24" t="str">
        <f t="shared" si="5"/>
        <v/>
      </c>
      <c r="S122" s="24"/>
      <c r="T122" s="24" t="str">
        <f t="shared" si="6"/>
        <v/>
      </c>
      <c r="U122" s="6" t="str">
        <f t="shared" si="8"/>
        <v/>
      </c>
    </row>
    <row r="123" spans="1:21">
      <c r="A123" s="11"/>
      <c r="B123" s="11"/>
      <c r="C123" s="11"/>
      <c r="D123" s="11" t="str">
        <f>IF($A123="","",_xlfn.TEXTJOIN(", ",TRUE,IF($G123&gt;0,'Template Setup'!$C$4,""),IF($H123&gt;0,'Template Setup'!$C$5,""),IF($I123&gt;0,'Template Setup'!$C$6,""),IF($J123&gt;0,'Template Setup'!$C$7,""),IF($K123&gt;0,'Template Setup'!$C$8,"")))</f>
        <v/>
      </c>
      <c r="E123" s="6" t="str" cm="1">
        <f t="array" ref="E123">IF($A123="","",_xlfn.LET(_xlpm.sheets,CHOOSE({1,2,3,4,5},'Template Setup'!$C$4,'Template Setup'!$C$5,'Template Setup'!$C$6,'Template Setup'!$C$7,'Template Setup'!$C$8),_xlpm.nums,CHOOSE({1,2,3,4,5},$L123,$M123,$N123,$O123,$P123),_xlpm.qtys,CHOOSE({1,2,3,4,5},$G123,$H123,$I123,$J123,$K123),_xlpm.validNums,_xlfn._xlws.FILTER(_xlpm.nums,_xlpm.qtys&gt;0),_xlpm.validSheets,_xlfn._xlws.FILTER(_xlpm.sheets,_xlpm.qtys&gt;0),_xlpm.mx,IFERROR(MAX(_xlpm.validNums),0),IF(_xlpm.mx=0,"",INDEX(_xlpm.validSheets,MATCH(_xlpm.mx,_xlpm.validNums,0))&amp;" (+"&amp;$R123&amp;")")))</f>
        <v/>
      </c>
      <c r="F123" s="11" t="str">
        <f t="shared" si="7"/>
        <v/>
      </c>
      <c r="G123" s="12" t="str">
        <f ca="1">IF($A123="","",IFERROR(SUMIF(INDIRECT("'"&amp;'Template Setup'!$C$4&amp;"'!C:C"),$A123,INDIRECT("'"&amp;'Template Setup'!$C$4&amp;"'!A:A")),0))</f>
        <v/>
      </c>
      <c r="H123" s="12" t="str">
        <f ca="1">IF($A123="","",IFERROR(SUMIF(INDIRECT("'"&amp;'Template Setup'!$C$5&amp;"'!C:C"),$A123,INDIRECT("'"&amp;'Template Setup'!$C$5&amp;"'!A:A")),0))</f>
        <v/>
      </c>
      <c r="I123" s="12" t="str">
        <f ca="1">IF($A123="","",IFERROR(SUMIF(INDIRECT("'"&amp;'Template Setup'!$C$6&amp;"'!C:C"),$A123,INDIRECT("'"&amp;'Template Setup'!$C$6&amp;"'!A:A")),0))</f>
        <v/>
      </c>
      <c r="J123" s="12" t="str">
        <f ca="1">IF($A123="","",IFERROR(SUMIF(INDIRECT("'"&amp;'Template Setup'!$C$7&amp;"'!C:C"),$A123,INDIRECT("'"&amp;'Template Setup'!$C$7&amp;"'!A:A")),0))</f>
        <v/>
      </c>
      <c r="K123" s="12" t="str">
        <f ca="1">IF($A123="","",IFERROR(SUMIF(INDIRECT("'"&amp;'Template Setup'!$C$8&amp;"'!C:C"),$A123,INDIRECT("'"&amp;'Template Setup'!$C$8&amp;"'!A:A")),0))</f>
        <v/>
      </c>
      <c r="L123" s="11" t="str">
        <f>IF($A123="","",IFERROR(VALUE(MID(TRIM('Template Setup'!$C$4),FIND("-",TRIM('Template Setup'!$C$4))+1,10)),0))</f>
        <v/>
      </c>
      <c r="M123" s="11" t="str">
        <f>IF($A123="","",IFERROR(VALUE(MID(TRIM('Template Setup'!$C$5),FIND("-",TRIM('Template Setup'!$C$5))+1,10)),0))</f>
        <v/>
      </c>
      <c r="N123" s="11" t="str">
        <f>IF($A123="","",IFERROR(VALUE(MID(TRIM('Template Setup'!$C$6),FIND("-",TRIM('Template Setup'!$C$6))+1,10)),0))</f>
        <v/>
      </c>
      <c r="O123" s="11" t="str">
        <f>IF($A123="","",IFERROR(VALUE(MID(TRIM('Template Setup'!$C$7),FIND("-",TRIM('Template Setup'!$C$7))+1,10)),0))</f>
        <v/>
      </c>
      <c r="P123" s="11" t="str">
        <f>IF($A123="","",IFERROR(VALUE(MID(TRIM('Template Setup'!$C$8),FIND("-",TRIM('Template Setup'!$C$8))+1,10)),0))</f>
        <v/>
      </c>
      <c r="Q123" s="9" t="str">
        <f>IF($A123="","",$A123&amp;"-"&amp;'Template Setup'!$C$16)</f>
        <v/>
      </c>
      <c r="R123" s="24" t="str">
        <f t="shared" si="5"/>
        <v/>
      </c>
      <c r="S123" s="24"/>
      <c r="T123" s="24" t="str">
        <f t="shared" si="6"/>
        <v/>
      </c>
      <c r="U123" s="6" t="str">
        <f t="shared" si="8"/>
        <v/>
      </c>
    </row>
    <row r="124" spans="1:21">
      <c r="A124" s="11"/>
      <c r="B124" s="11"/>
      <c r="C124" s="11"/>
      <c r="D124" s="11" t="str">
        <f>IF($A124="","",_xlfn.TEXTJOIN(", ",TRUE,IF($G124&gt;0,'Template Setup'!$C$4,""),IF($H124&gt;0,'Template Setup'!$C$5,""),IF($I124&gt;0,'Template Setup'!$C$6,""),IF($J124&gt;0,'Template Setup'!$C$7,""),IF($K124&gt;0,'Template Setup'!$C$8,"")))</f>
        <v/>
      </c>
      <c r="E124" s="6" t="str" cm="1">
        <f t="array" ref="E124">IF($A124="","",_xlfn.LET(_xlpm.sheets,CHOOSE({1,2,3,4,5},'Template Setup'!$C$4,'Template Setup'!$C$5,'Template Setup'!$C$6,'Template Setup'!$C$7,'Template Setup'!$C$8),_xlpm.nums,CHOOSE({1,2,3,4,5},$L124,$M124,$N124,$O124,$P124),_xlpm.qtys,CHOOSE({1,2,3,4,5},$G124,$H124,$I124,$J124,$K124),_xlpm.validNums,_xlfn._xlws.FILTER(_xlpm.nums,_xlpm.qtys&gt;0),_xlpm.validSheets,_xlfn._xlws.FILTER(_xlpm.sheets,_xlpm.qtys&gt;0),_xlpm.mx,IFERROR(MAX(_xlpm.validNums),0),IF(_xlpm.mx=0,"",INDEX(_xlpm.validSheets,MATCH(_xlpm.mx,_xlpm.validNums,0))&amp;" (+"&amp;$R124&amp;")")))</f>
        <v/>
      </c>
      <c r="F124" s="11" t="str">
        <f t="shared" si="7"/>
        <v/>
      </c>
      <c r="G124" s="12" t="str">
        <f ca="1">IF($A124="","",IFERROR(SUMIF(INDIRECT("'"&amp;'Template Setup'!$C$4&amp;"'!C:C"),$A124,INDIRECT("'"&amp;'Template Setup'!$C$4&amp;"'!A:A")),0))</f>
        <v/>
      </c>
      <c r="H124" s="12" t="str">
        <f ca="1">IF($A124="","",IFERROR(SUMIF(INDIRECT("'"&amp;'Template Setup'!$C$5&amp;"'!C:C"),$A124,INDIRECT("'"&amp;'Template Setup'!$C$5&amp;"'!A:A")),0))</f>
        <v/>
      </c>
      <c r="I124" s="12" t="str">
        <f ca="1">IF($A124="","",IFERROR(SUMIF(INDIRECT("'"&amp;'Template Setup'!$C$6&amp;"'!C:C"),$A124,INDIRECT("'"&amp;'Template Setup'!$C$6&amp;"'!A:A")),0))</f>
        <v/>
      </c>
      <c r="J124" s="12" t="str">
        <f ca="1">IF($A124="","",IFERROR(SUMIF(INDIRECT("'"&amp;'Template Setup'!$C$7&amp;"'!C:C"),$A124,INDIRECT("'"&amp;'Template Setup'!$C$7&amp;"'!A:A")),0))</f>
        <v/>
      </c>
      <c r="K124" s="12" t="str">
        <f ca="1">IF($A124="","",IFERROR(SUMIF(INDIRECT("'"&amp;'Template Setup'!$C$8&amp;"'!C:C"),$A124,INDIRECT("'"&amp;'Template Setup'!$C$8&amp;"'!A:A")),0))</f>
        <v/>
      </c>
      <c r="L124" s="11" t="str">
        <f>IF($A124="","",IFERROR(VALUE(MID(TRIM('Template Setup'!$C$4),FIND("-",TRIM('Template Setup'!$C$4))+1,10)),0))</f>
        <v/>
      </c>
      <c r="M124" s="11" t="str">
        <f>IF($A124="","",IFERROR(VALUE(MID(TRIM('Template Setup'!$C$5),FIND("-",TRIM('Template Setup'!$C$5))+1,10)),0))</f>
        <v/>
      </c>
      <c r="N124" s="11" t="str">
        <f>IF($A124="","",IFERROR(VALUE(MID(TRIM('Template Setup'!$C$6),FIND("-",TRIM('Template Setup'!$C$6))+1,10)),0))</f>
        <v/>
      </c>
      <c r="O124" s="11" t="str">
        <f>IF($A124="","",IFERROR(VALUE(MID(TRIM('Template Setup'!$C$7),FIND("-",TRIM('Template Setup'!$C$7))+1,10)),0))</f>
        <v/>
      </c>
      <c r="P124" s="11" t="str">
        <f>IF($A124="","",IFERROR(VALUE(MID(TRIM('Template Setup'!$C$8),FIND("-",TRIM('Template Setup'!$C$8))+1,10)),0))</f>
        <v/>
      </c>
      <c r="Q124" s="9" t="str">
        <f>IF($A124="","",$A124&amp;"-"&amp;'Template Setup'!$C$16)</f>
        <v/>
      </c>
      <c r="R124" s="24" t="str">
        <f t="shared" si="5"/>
        <v/>
      </c>
      <c r="S124" s="24"/>
      <c r="T124" s="24" t="str">
        <f t="shared" si="6"/>
        <v/>
      </c>
      <c r="U124" s="6" t="str">
        <f t="shared" si="8"/>
        <v/>
      </c>
    </row>
    <row r="125" spans="1:21">
      <c r="A125" s="11"/>
      <c r="B125" s="11"/>
      <c r="C125" s="11"/>
      <c r="D125" s="11" t="str">
        <f>IF($A125="","",_xlfn.TEXTJOIN(", ",TRUE,IF($G125&gt;0,'Template Setup'!$C$4,""),IF($H125&gt;0,'Template Setup'!$C$5,""),IF($I125&gt;0,'Template Setup'!$C$6,""),IF($J125&gt;0,'Template Setup'!$C$7,""),IF($K125&gt;0,'Template Setup'!$C$8,"")))</f>
        <v/>
      </c>
      <c r="E125" s="6" t="str" cm="1">
        <f t="array" ref="E125">IF($A125="","",_xlfn.LET(_xlpm.sheets,CHOOSE({1,2,3,4,5},'Template Setup'!$C$4,'Template Setup'!$C$5,'Template Setup'!$C$6,'Template Setup'!$C$7,'Template Setup'!$C$8),_xlpm.nums,CHOOSE({1,2,3,4,5},$L125,$M125,$N125,$O125,$P125),_xlpm.qtys,CHOOSE({1,2,3,4,5},$G125,$H125,$I125,$J125,$K125),_xlpm.validNums,_xlfn._xlws.FILTER(_xlpm.nums,_xlpm.qtys&gt;0),_xlpm.validSheets,_xlfn._xlws.FILTER(_xlpm.sheets,_xlpm.qtys&gt;0),_xlpm.mx,IFERROR(MAX(_xlpm.validNums),0),IF(_xlpm.mx=0,"",INDEX(_xlpm.validSheets,MATCH(_xlpm.mx,_xlpm.validNums,0))&amp;" (+"&amp;$R125&amp;")")))</f>
        <v/>
      </c>
      <c r="F125" s="11" t="str">
        <f t="shared" si="7"/>
        <v/>
      </c>
      <c r="G125" s="12" t="str">
        <f ca="1">IF($A125="","",IFERROR(SUMIF(INDIRECT("'"&amp;'Template Setup'!$C$4&amp;"'!C:C"),$A125,INDIRECT("'"&amp;'Template Setup'!$C$4&amp;"'!A:A")),0))</f>
        <v/>
      </c>
      <c r="H125" s="12" t="str">
        <f ca="1">IF($A125="","",IFERROR(SUMIF(INDIRECT("'"&amp;'Template Setup'!$C$5&amp;"'!C:C"),$A125,INDIRECT("'"&amp;'Template Setup'!$C$5&amp;"'!A:A")),0))</f>
        <v/>
      </c>
      <c r="I125" s="12" t="str">
        <f ca="1">IF($A125="","",IFERROR(SUMIF(INDIRECT("'"&amp;'Template Setup'!$C$6&amp;"'!C:C"),$A125,INDIRECT("'"&amp;'Template Setup'!$C$6&amp;"'!A:A")),0))</f>
        <v/>
      </c>
      <c r="J125" s="12" t="str">
        <f ca="1">IF($A125="","",IFERROR(SUMIF(INDIRECT("'"&amp;'Template Setup'!$C$7&amp;"'!C:C"),$A125,INDIRECT("'"&amp;'Template Setup'!$C$7&amp;"'!A:A")),0))</f>
        <v/>
      </c>
      <c r="K125" s="12" t="str">
        <f ca="1">IF($A125="","",IFERROR(SUMIF(INDIRECT("'"&amp;'Template Setup'!$C$8&amp;"'!C:C"),$A125,INDIRECT("'"&amp;'Template Setup'!$C$8&amp;"'!A:A")),0))</f>
        <v/>
      </c>
      <c r="L125" s="11" t="str">
        <f>IF($A125="","",IFERROR(VALUE(MID(TRIM('Template Setup'!$C$4),FIND("-",TRIM('Template Setup'!$C$4))+1,10)),0))</f>
        <v/>
      </c>
      <c r="M125" s="11" t="str">
        <f>IF($A125="","",IFERROR(VALUE(MID(TRIM('Template Setup'!$C$5),FIND("-",TRIM('Template Setup'!$C$5))+1,10)),0))</f>
        <v/>
      </c>
      <c r="N125" s="11" t="str">
        <f>IF($A125="","",IFERROR(VALUE(MID(TRIM('Template Setup'!$C$6),FIND("-",TRIM('Template Setup'!$C$6))+1,10)),0))</f>
        <v/>
      </c>
      <c r="O125" s="11" t="str">
        <f>IF($A125="","",IFERROR(VALUE(MID(TRIM('Template Setup'!$C$7),FIND("-",TRIM('Template Setup'!$C$7))+1,10)),0))</f>
        <v/>
      </c>
      <c r="P125" s="11" t="str">
        <f>IF($A125="","",IFERROR(VALUE(MID(TRIM('Template Setup'!$C$8),FIND("-",TRIM('Template Setup'!$C$8))+1,10)),0))</f>
        <v/>
      </c>
      <c r="Q125" s="9" t="str">
        <f>IF($A125="","",$A125&amp;"-"&amp;'Template Setup'!$C$16)</f>
        <v/>
      </c>
      <c r="R125" s="24" t="str">
        <f t="shared" si="5"/>
        <v/>
      </c>
      <c r="S125" s="24"/>
      <c r="T125" s="24" t="str">
        <f t="shared" si="6"/>
        <v/>
      </c>
      <c r="U125" s="6" t="str">
        <f t="shared" si="8"/>
        <v/>
      </c>
    </row>
    <row r="126" spans="1:21">
      <c r="A126" s="11"/>
      <c r="B126" s="11"/>
      <c r="C126" s="11"/>
      <c r="D126" s="11" t="str">
        <f>IF($A126="","",_xlfn.TEXTJOIN(", ",TRUE,IF($G126&gt;0,'Template Setup'!$C$4,""),IF($H126&gt;0,'Template Setup'!$C$5,""),IF($I126&gt;0,'Template Setup'!$C$6,""),IF($J126&gt;0,'Template Setup'!$C$7,""),IF($K126&gt;0,'Template Setup'!$C$8,"")))</f>
        <v/>
      </c>
      <c r="E126" s="6" t="str" cm="1">
        <f t="array" ref="E126">IF($A126="","",_xlfn.LET(_xlpm.sheets,CHOOSE({1,2,3,4,5},'Template Setup'!$C$4,'Template Setup'!$C$5,'Template Setup'!$C$6,'Template Setup'!$C$7,'Template Setup'!$C$8),_xlpm.nums,CHOOSE({1,2,3,4,5},$L126,$M126,$N126,$O126,$P126),_xlpm.qtys,CHOOSE({1,2,3,4,5},$G126,$H126,$I126,$J126,$K126),_xlpm.validNums,_xlfn._xlws.FILTER(_xlpm.nums,_xlpm.qtys&gt;0),_xlpm.validSheets,_xlfn._xlws.FILTER(_xlpm.sheets,_xlpm.qtys&gt;0),_xlpm.mx,IFERROR(MAX(_xlpm.validNums),0),IF(_xlpm.mx=0,"",INDEX(_xlpm.validSheets,MATCH(_xlpm.mx,_xlpm.validNums,0))&amp;" (+"&amp;$R126&amp;")")))</f>
        <v/>
      </c>
      <c r="F126" s="11" t="str">
        <f t="shared" si="7"/>
        <v/>
      </c>
      <c r="G126" s="12" t="str">
        <f ca="1">IF($A126="","",IFERROR(SUMIF(INDIRECT("'"&amp;'Template Setup'!$C$4&amp;"'!C:C"),$A126,INDIRECT("'"&amp;'Template Setup'!$C$4&amp;"'!A:A")),0))</f>
        <v/>
      </c>
      <c r="H126" s="12" t="str">
        <f ca="1">IF($A126="","",IFERROR(SUMIF(INDIRECT("'"&amp;'Template Setup'!$C$5&amp;"'!C:C"),$A126,INDIRECT("'"&amp;'Template Setup'!$C$5&amp;"'!A:A")),0))</f>
        <v/>
      </c>
      <c r="I126" s="12" t="str">
        <f ca="1">IF($A126="","",IFERROR(SUMIF(INDIRECT("'"&amp;'Template Setup'!$C$6&amp;"'!C:C"),$A126,INDIRECT("'"&amp;'Template Setup'!$C$6&amp;"'!A:A")),0))</f>
        <v/>
      </c>
      <c r="J126" s="12" t="str">
        <f ca="1">IF($A126="","",IFERROR(SUMIF(INDIRECT("'"&amp;'Template Setup'!$C$7&amp;"'!C:C"),$A126,INDIRECT("'"&amp;'Template Setup'!$C$7&amp;"'!A:A")),0))</f>
        <v/>
      </c>
      <c r="K126" s="12" t="str">
        <f ca="1">IF($A126="","",IFERROR(SUMIF(INDIRECT("'"&amp;'Template Setup'!$C$8&amp;"'!C:C"),$A126,INDIRECT("'"&amp;'Template Setup'!$C$8&amp;"'!A:A")),0))</f>
        <v/>
      </c>
      <c r="L126" s="11" t="str">
        <f>IF($A126="","",IFERROR(VALUE(MID(TRIM('Template Setup'!$C$4),FIND("-",TRIM('Template Setup'!$C$4))+1,10)),0))</f>
        <v/>
      </c>
      <c r="M126" s="11" t="str">
        <f>IF($A126="","",IFERROR(VALUE(MID(TRIM('Template Setup'!$C$5),FIND("-",TRIM('Template Setup'!$C$5))+1,10)),0))</f>
        <v/>
      </c>
      <c r="N126" s="11" t="str">
        <f>IF($A126="","",IFERROR(VALUE(MID(TRIM('Template Setup'!$C$6),FIND("-",TRIM('Template Setup'!$C$6))+1,10)),0))</f>
        <v/>
      </c>
      <c r="O126" s="11" t="str">
        <f>IF($A126="","",IFERROR(VALUE(MID(TRIM('Template Setup'!$C$7),FIND("-",TRIM('Template Setup'!$C$7))+1,10)),0))</f>
        <v/>
      </c>
      <c r="P126" s="11" t="str">
        <f>IF($A126="","",IFERROR(VALUE(MID(TRIM('Template Setup'!$C$8),FIND("-",TRIM('Template Setup'!$C$8))+1,10)),0))</f>
        <v/>
      </c>
      <c r="Q126" s="9" t="str">
        <f>IF($A126="","",$A126&amp;"-"&amp;'Template Setup'!$C$16)</f>
        <v/>
      </c>
      <c r="R126" s="24" t="str">
        <f t="shared" si="5"/>
        <v/>
      </c>
      <c r="S126" s="24"/>
      <c r="T126" s="24" t="str">
        <f t="shared" si="6"/>
        <v/>
      </c>
      <c r="U126" s="6" t="str">
        <f t="shared" si="8"/>
        <v/>
      </c>
    </row>
    <row r="127" spans="1:21">
      <c r="A127" s="11"/>
      <c r="B127" s="11"/>
      <c r="C127" s="11"/>
      <c r="D127" s="11" t="str">
        <f>IF($A127="","",_xlfn.TEXTJOIN(", ",TRUE,IF($G127&gt;0,'Template Setup'!$C$4,""),IF($H127&gt;0,'Template Setup'!$C$5,""),IF($I127&gt;0,'Template Setup'!$C$6,""),IF($J127&gt;0,'Template Setup'!$C$7,""),IF($K127&gt;0,'Template Setup'!$C$8,"")))</f>
        <v/>
      </c>
      <c r="E127" s="6" t="str" cm="1">
        <f t="array" ref="E127">IF($A127="","",_xlfn.LET(_xlpm.sheets,CHOOSE({1,2,3,4,5},'Template Setup'!$C$4,'Template Setup'!$C$5,'Template Setup'!$C$6,'Template Setup'!$C$7,'Template Setup'!$C$8),_xlpm.nums,CHOOSE({1,2,3,4,5},$L127,$M127,$N127,$O127,$P127),_xlpm.qtys,CHOOSE({1,2,3,4,5},$G127,$H127,$I127,$J127,$K127),_xlpm.validNums,_xlfn._xlws.FILTER(_xlpm.nums,_xlpm.qtys&gt;0),_xlpm.validSheets,_xlfn._xlws.FILTER(_xlpm.sheets,_xlpm.qtys&gt;0),_xlpm.mx,IFERROR(MAX(_xlpm.validNums),0),IF(_xlpm.mx=0,"",INDEX(_xlpm.validSheets,MATCH(_xlpm.mx,_xlpm.validNums,0))&amp;" (+"&amp;$R127&amp;")")))</f>
        <v/>
      </c>
      <c r="F127" s="11" t="str">
        <f t="shared" si="7"/>
        <v/>
      </c>
      <c r="G127" s="12" t="str">
        <f ca="1">IF($A127="","",IFERROR(SUMIF(INDIRECT("'"&amp;'Template Setup'!$C$4&amp;"'!C:C"),$A127,INDIRECT("'"&amp;'Template Setup'!$C$4&amp;"'!A:A")),0))</f>
        <v/>
      </c>
      <c r="H127" s="12" t="str">
        <f ca="1">IF($A127="","",IFERROR(SUMIF(INDIRECT("'"&amp;'Template Setup'!$C$5&amp;"'!C:C"),$A127,INDIRECT("'"&amp;'Template Setup'!$C$5&amp;"'!A:A")),0))</f>
        <v/>
      </c>
      <c r="I127" s="12" t="str">
        <f ca="1">IF($A127="","",IFERROR(SUMIF(INDIRECT("'"&amp;'Template Setup'!$C$6&amp;"'!C:C"),$A127,INDIRECT("'"&amp;'Template Setup'!$C$6&amp;"'!A:A")),0))</f>
        <v/>
      </c>
      <c r="J127" s="12" t="str">
        <f ca="1">IF($A127="","",IFERROR(SUMIF(INDIRECT("'"&amp;'Template Setup'!$C$7&amp;"'!C:C"),$A127,INDIRECT("'"&amp;'Template Setup'!$C$7&amp;"'!A:A")),0))</f>
        <v/>
      </c>
      <c r="K127" s="12" t="str">
        <f ca="1">IF($A127="","",IFERROR(SUMIF(INDIRECT("'"&amp;'Template Setup'!$C$8&amp;"'!C:C"),$A127,INDIRECT("'"&amp;'Template Setup'!$C$8&amp;"'!A:A")),0))</f>
        <v/>
      </c>
      <c r="L127" s="11" t="str">
        <f>IF($A127="","",IFERROR(VALUE(MID(TRIM('Template Setup'!$C$4),FIND("-",TRIM('Template Setup'!$C$4))+1,10)),0))</f>
        <v/>
      </c>
      <c r="M127" s="11" t="str">
        <f>IF($A127="","",IFERROR(VALUE(MID(TRIM('Template Setup'!$C$5),FIND("-",TRIM('Template Setup'!$C$5))+1,10)),0))</f>
        <v/>
      </c>
      <c r="N127" s="11" t="str">
        <f>IF($A127="","",IFERROR(VALUE(MID(TRIM('Template Setup'!$C$6),FIND("-",TRIM('Template Setup'!$C$6))+1,10)),0))</f>
        <v/>
      </c>
      <c r="O127" s="11" t="str">
        <f>IF($A127="","",IFERROR(VALUE(MID(TRIM('Template Setup'!$C$7),FIND("-",TRIM('Template Setup'!$C$7))+1,10)),0))</f>
        <v/>
      </c>
      <c r="P127" s="11" t="str">
        <f>IF($A127="","",IFERROR(VALUE(MID(TRIM('Template Setup'!$C$8),FIND("-",TRIM('Template Setup'!$C$8))+1,10)),0))</f>
        <v/>
      </c>
      <c r="Q127" s="9" t="str">
        <f>IF($A127="","",$A127&amp;"-"&amp;'Template Setup'!$C$16)</f>
        <v/>
      </c>
      <c r="R127" s="24" t="str">
        <f t="shared" si="5"/>
        <v/>
      </c>
      <c r="S127" s="24"/>
      <c r="T127" s="24" t="str">
        <f t="shared" si="6"/>
        <v/>
      </c>
      <c r="U127" s="6" t="str">
        <f t="shared" si="8"/>
        <v/>
      </c>
    </row>
    <row r="128" spans="1:21">
      <c r="A128" s="11"/>
      <c r="B128" s="11"/>
      <c r="C128" s="11"/>
      <c r="D128" s="11" t="str">
        <f>IF($A128="","",_xlfn.TEXTJOIN(", ",TRUE,IF($G128&gt;0,'Template Setup'!$C$4,""),IF($H128&gt;0,'Template Setup'!$C$5,""),IF($I128&gt;0,'Template Setup'!$C$6,""),IF($J128&gt;0,'Template Setup'!$C$7,""),IF($K128&gt;0,'Template Setup'!$C$8,"")))</f>
        <v/>
      </c>
      <c r="E128" s="6" t="str" cm="1">
        <f t="array" ref="E128">IF($A128="","",_xlfn.LET(_xlpm.sheets,CHOOSE({1,2,3,4,5},'Template Setup'!$C$4,'Template Setup'!$C$5,'Template Setup'!$C$6,'Template Setup'!$C$7,'Template Setup'!$C$8),_xlpm.nums,CHOOSE({1,2,3,4,5},$L128,$M128,$N128,$O128,$P128),_xlpm.qtys,CHOOSE({1,2,3,4,5},$G128,$H128,$I128,$J128,$K128),_xlpm.validNums,_xlfn._xlws.FILTER(_xlpm.nums,_xlpm.qtys&gt;0),_xlpm.validSheets,_xlfn._xlws.FILTER(_xlpm.sheets,_xlpm.qtys&gt;0),_xlpm.mx,IFERROR(MAX(_xlpm.validNums),0),IF(_xlpm.mx=0,"",INDEX(_xlpm.validSheets,MATCH(_xlpm.mx,_xlpm.validNums,0))&amp;" (+"&amp;$R128&amp;")")))</f>
        <v/>
      </c>
      <c r="F128" s="11" t="str">
        <f t="shared" si="7"/>
        <v/>
      </c>
      <c r="G128" s="12" t="str">
        <f ca="1">IF($A128="","",IFERROR(SUMIF(INDIRECT("'"&amp;'Template Setup'!$C$4&amp;"'!C:C"),$A128,INDIRECT("'"&amp;'Template Setup'!$C$4&amp;"'!A:A")),0))</f>
        <v/>
      </c>
      <c r="H128" s="12" t="str">
        <f ca="1">IF($A128="","",IFERROR(SUMIF(INDIRECT("'"&amp;'Template Setup'!$C$5&amp;"'!C:C"),$A128,INDIRECT("'"&amp;'Template Setup'!$C$5&amp;"'!A:A")),0))</f>
        <v/>
      </c>
      <c r="I128" s="12" t="str">
        <f ca="1">IF($A128="","",IFERROR(SUMIF(INDIRECT("'"&amp;'Template Setup'!$C$6&amp;"'!C:C"),$A128,INDIRECT("'"&amp;'Template Setup'!$C$6&amp;"'!A:A")),0))</f>
        <v/>
      </c>
      <c r="J128" s="12" t="str">
        <f ca="1">IF($A128="","",IFERROR(SUMIF(INDIRECT("'"&amp;'Template Setup'!$C$7&amp;"'!C:C"),$A128,INDIRECT("'"&amp;'Template Setup'!$C$7&amp;"'!A:A")),0))</f>
        <v/>
      </c>
      <c r="K128" s="12" t="str">
        <f ca="1">IF($A128="","",IFERROR(SUMIF(INDIRECT("'"&amp;'Template Setup'!$C$8&amp;"'!C:C"),$A128,INDIRECT("'"&amp;'Template Setup'!$C$8&amp;"'!A:A")),0))</f>
        <v/>
      </c>
      <c r="L128" s="11" t="str">
        <f>IF($A128="","",IFERROR(VALUE(MID(TRIM('Template Setup'!$C$4),FIND("-",TRIM('Template Setup'!$C$4))+1,10)),0))</f>
        <v/>
      </c>
      <c r="M128" s="11" t="str">
        <f>IF($A128="","",IFERROR(VALUE(MID(TRIM('Template Setup'!$C$5),FIND("-",TRIM('Template Setup'!$C$5))+1,10)),0))</f>
        <v/>
      </c>
      <c r="N128" s="11" t="str">
        <f>IF($A128="","",IFERROR(VALUE(MID(TRIM('Template Setup'!$C$6),FIND("-",TRIM('Template Setup'!$C$6))+1,10)),0))</f>
        <v/>
      </c>
      <c r="O128" s="11" t="str">
        <f>IF($A128="","",IFERROR(VALUE(MID(TRIM('Template Setup'!$C$7),FIND("-",TRIM('Template Setup'!$C$7))+1,10)),0))</f>
        <v/>
      </c>
      <c r="P128" s="11" t="str">
        <f>IF($A128="","",IFERROR(VALUE(MID(TRIM('Template Setup'!$C$8),FIND("-",TRIM('Template Setup'!$C$8))+1,10)),0))</f>
        <v/>
      </c>
      <c r="Q128" s="9" t="str">
        <f>IF($A128="","",$A128&amp;"-"&amp;'Template Setup'!$C$16)</f>
        <v/>
      </c>
      <c r="R128" s="24" t="str">
        <f t="shared" si="5"/>
        <v/>
      </c>
      <c r="S128" s="24"/>
      <c r="T128" s="24" t="str">
        <f t="shared" si="6"/>
        <v/>
      </c>
      <c r="U128" s="6" t="str">
        <f t="shared" si="8"/>
        <v/>
      </c>
    </row>
    <row r="129" spans="1:21">
      <c r="A129" s="11"/>
      <c r="B129" s="11"/>
      <c r="C129" s="11"/>
      <c r="D129" s="11" t="str">
        <f>IF($A129="","",_xlfn.TEXTJOIN(", ",TRUE,IF($G129&gt;0,'Template Setup'!$C$4,""),IF($H129&gt;0,'Template Setup'!$C$5,""),IF($I129&gt;0,'Template Setup'!$C$6,""),IF($J129&gt;0,'Template Setup'!$C$7,""),IF($K129&gt;0,'Template Setup'!$C$8,"")))</f>
        <v/>
      </c>
      <c r="E129" s="6" t="str" cm="1">
        <f t="array" ref="E129">IF($A129="","",_xlfn.LET(_xlpm.sheets,CHOOSE({1,2,3,4,5},'Template Setup'!$C$4,'Template Setup'!$C$5,'Template Setup'!$C$6,'Template Setup'!$C$7,'Template Setup'!$C$8),_xlpm.nums,CHOOSE({1,2,3,4,5},$L129,$M129,$N129,$O129,$P129),_xlpm.qtys,CHOOSE({1,2,3,4,5},$G129,$H129,$I129,$J129,$K129),_xlpm.validNums,_xlfn._xlws.FILTER(_xlpm.nums,_xlpm.qtys&gt;0),_xlpm.validSheets,_xlfn._xlws.FILTER(_xlpm.sheets,_xlpm.qtys&gt;0),_xlpm.mx,IFERROR(MAX(_xlpm.validNums),0),IF(_xlpm.mx=0,"",INDEX(_xlpm.validSheets,MATCH(_xlpm.mx,_xlpm.validNums,0))&amp;" (+"&amp;$R129&amp;")")))</f>
        <v/>
      </c>
      <c r="F129" s="11" t="str">
        <f t="shared" si="7"/>
        <v/>
      </c>
      <c r="G129" s="12" t="str">
        <f ca="1">IF($A129="","",IFERROR(SUMIF(INDIRECT("'"&amp;'Template Setup'!$C$4&amp;"'!C:C"),$A129,INDIRECT("'"&amp;'Template Setup'!$C$4&amp;"'!A:A")),0))</f>
        <v/>
      </c>
      <c r="H129" s="12" t="str">
        <f ca="1">IF($A129="","",IFERROR(SUMIF(INDIRECT("'"&amp;'Template Setup'!$C$5&amp;"'!C:C"),$A129,INDIRECT("'"&amp;'Template Setup'!$C$5&amp;"'!A:A")),0))</f>
        <v/>
      </c>
      <c r="I129" s="12" t="str">
        <f ca="1">IF($A129="","",IFERROR(SUMIF(INDIRECT("'"&amp;'Template Setup'!$C$6&amp;"'!C:C"),$A129,INDIRECT("'"&amp;'Template Setup'!$C$6&amp;"'!A:A")),0))</f>
        <v/>
      </c>
      <c r="J129" s="12" t="str">
        <f ca="1">IF($A129="","",IFERROR(SUMIF(INDIRECT("'"&amp;'Template Setup'!$C$7&amp;"'!C:C"),$A129,INDIRECT("'"&amp;'Template Setup'!$C$7&amp;"'!A:A")),0))</f>
        <v/>
      </c>
      <c r="K129" s="12" t="str">
        <f ca="1">IF($A129="","",IFERROR(SUMIF(INDIRECT("'"&amp;'Template Setup'!$C$8&amp;"'!C:C"),$A129,INDIRECT("'"&amp;'Template Setup'!$C$8&amp;"'!A:A")),0))</f>
        <v/>
      </c>
      <c r="L129" s="11" t="str">
        <f>IF($A129="","",IFERROR(VALUE(MID(TRIM('Template Setup'!$C$4),FIND("-",TRIM('Template Setup'!$C$4))+1,10)),0))</f>
        <v/>
      </c>
      <c r="M129" s="11" t="str">
        <f>IF($A129="","",IFERROR(VALUE(MID(TRIM('Template Setup'!$C$5),FIND("-",TRIM('Template Setup'!$C$5))+1,10)),0))</f>
        <v/>
      </c>
      <c r="N129" s="11" t="str">
        <f>IF($A129="","",IFERROR(VALUE(MID(TRIM('Template Setup'!$C$6),FIND("-",TRIM('Template Setup'!$C$6))+1,10)),0))</f>
        <v/>
      </c>
      <c r="O129" s="11" t="str">
        <f>IF($A129="","",IFERROR(VALUE(MID(TRIM('Template Setup'!$C$7),FIND("-",TRIM('Template Setup'!$C$7))+1,10)),0))</f>
        <v/>
      </c>
      <c r="P129" s="11" t="str">
        <f>IF($A129="","",IFERROR(VALUE(MID(TRIM('Template Setup'!$C$8),FIND("-",TRIM('Template Setup'!$C$8))+1,10)),0))</f>
        <v/>
      </c>
      <c r="Q129" s="9" t="str">
        <f>IF($A129="","",$A129&amp;"-"&amp;'Template Setup'!$C$16)</f>
        <v/>
      </c>
      <c r="R129" s="24" t="str">
        <f t="shared" si="5"/>
        <v/>
      </c>
      <c r="S129" s="24"/>
      <c r="T129" s="24" t="str">
        <f t="shared" si="6"/>
        <v/>
      </c>
      <c r="U129" s="6" t="str">
        <f t="shared" si="8"/>
        <v/>
      </c>
    </row>
    <row r="130" spans="1:21">
      <c r="A130" s="11"/>
      <c r="B130" s="11"/>
      <c r="C130" s="11"/>
      <c r="D130" s="11" t="str">
        <f>IF($A130="","",_xlfn.TEXTJOIN(", ",TRUE,IF($G130&gt;0,'Template Setup'!$C$4,""),IF($H130&gt;0,'Template Setup'!$C$5,""),IF($I130&gt;0,'Template Setup'!$C$6,""),IF($J130&gt;0,'Template Setup'!$C$7,""),IF($K130&gt;0,'Template Setup'!$C$8,"")))</f>
        <v/>
      </c>
      <c r="E130" s="6" t="str" cm="1">
        <f t="array" ref="E130">IF($A130="","",_xlfn.LET(_xlpm.sheets,CHOOSE({1,2,3,4,5},'Template Setup'!$C$4,'Template Setup'!$C$5,'Template Setup'!$C$6,'Template Setup'!$C$7,'Template Setup'!$C$8),_xlpm.nums,CHOOSE({1,2,3,4,5},$L130,$M130,$N130,$O130,$P130),_xlpm.qtys,CHOOSE({1,2,3,4,5},$G130,$H130,$I130,$J130,$K130),_xlpm.validNums,_xlfn._xlws.FILTER(_xlpm.nums,_xlpm.qtys&gt;0),_xlpm.validSheets,_xlfn._xlws.FILTER(_xlpm.sheets,_xlpm.qtys&gt;0),_xlpm.mx,IFERROR(MAX(_xlpm.validNums),0),IF(_xlpm.mx=0,"",INDEX(_xlpm.validSheets,MATCH(_xlpm.mx,_xlpm.validNums,0))&amp;" (+"&amp;$R130&amp;")")))</f>
        <v/>
      </c>
      <c r="F130" s="11" t="str">
        <f t="shared" si="7"/>
        <v/>
      </c>
      <c r="G130" s="12" t="str">
        <f ca="1">IF($A130="","",IFERROR(SUMIF(INDIRECT("'"&amp;'Template Setup'!$C$4&amp;"'!C:C"),$A130,INDIRECT("'"&amp;'Template Setup'!$C$4&amp;"'!A:A")),0))</f>
        <v/>
      </c>
      <c r="H130" s="12" t="str">
        <f ca="1">IF($A130="","",IFERROR(SUMIF(INDIRECT("'"&amp;'Template Setup'!$C$5&amp;"'!C:C"),$A130,INDIRECT("'"&amp;'Template Setup'!$C$5&amp;"'!A:A")),0))</f>
        <v/>
      </c>
      <c r="I130" s="12" t="str">
        <f ca="1">IF($A130="","",IFERROR(SUMIF(INDIRECT("'"&amp;'Template Setup'!$C$6&amp;"'!C:C"),$A130,INDIRECT("'"&amp;'Template Setup'!$C$6&amp;"'!A:A")),0))</f>
        <v/>
      </c>
      <c r="J130" s="12" t="str">
        <f ca="1">IF($A130="","",IFERROR(SUMIF(INDIRECT("'"&amp;'Template Setup'!$C$7&amp;"'!C:C"),$A130,INDIRECT("'"&amp;'Template Setup'!$C$7&amp;"'!A:A")),0))</f>
        <v/>
      </c>
      <c r="K130" s="12" t="str">
        <f ca="1">IF($A130="","",IFERROR(SUMIF(INDIRECT("'"&amp;'Template Setup'!$C$8&amp;"'!C:C"),$A130,INDIRECT("'"&amp;'Template Setup'!$C$8&amp;"'!A:A")),0))</f>
        <v/>
      </c>
      <c r="L130" s="11" t="str">
        <f>IF($A130="","",IFERROR(VALUE(MID(TRIM('Template Setup'!$C$4),FIND("-",TRIM('Template Setup'!$C$4))+1,10)),0))</f>
        <v/>
      </c>
      <c r="M130" s="11" t="str">
        <f>IF($A130="","",IFERROR(VALUE(MID(TRIM('Template Setup'!$C$5),FIND("-",TRIM('Template Setup'!$C$5))+1,10)),0))</f>
        <v/>
      </c>
      <c r="N130" s="11" t="str">
        <f>IF($A130="","",IFERROR(VALUE(MID(TRIM('Template Setup'!$C$6),FIND("-",TRIM('Template Setup'!$C$6))+1,10)),0))</f>
        <v/>
      </c>
      <c r="O130" s="11" t="str">
        <f>IF($A130="","",IFERROR(VALUE(MID(TRIM('Template Setup'!$C$7),FIND("-",TRIM('Template Setup'!$C$7))+1,10)),0))</f>
        <v/>
      </c>
      <c r="P130" s="11" t="str">
        <f>IF($A130="","",IFERROR(VALUE(MID(TRIM('Template Setup'!$C$8),FIND("-",TRIM('Template Setup'!$C$8))+1,10)),0))</f>
        <v/>
      </c>
      <c r="Q130" s="9" t="str">
        <f>IF($A130="","",$A130&amp;"-"&amp;'Template Setup'!$C$16)</f>
        <v/>
      </c>
      <c r="R130" s="24" t="str">
        <f t="shared" ref="R130:R193" si="9">IF($A130="","",SUM($G130:$K130))</f>
        <v/>
      </c>
      <c r="S130" s="24"/>
      <c r="T130" s="24" t="str">
        <f t="shared" ref="T130:T193" si="10">IF($A130="","",IF(ISBLANK(S130),"",N(R130)+S130))</f>
        <v/>
      </c>
      <c r="U130" s="6" t="str">
        <f t="shared" si="8"/>
        <v/>
      </c>
    </row>
    <row r="131" spans="1:21">
      <c r="A131" s="11"/>
      <c r="B131" s="11"/>
      <c r="C131" s="11"/>
      <c r="D131" s="11" t="str">
        <f>IF($A131="","",_xlfn.TEXTJOIN(", ",TRUE,IF($G131&gt;0,'Template Setup'!$C$4,""),IF($H131&gt;0,'Template Setup'!$C$5,""),IF($I131&gt;0,'Template Setup'!$C$6,""),IF($J131&gt;0,'Template Setup'!$C$7,""),IF($K131&gt;0,'Template Setup'!$C$8,"")))</f>
        <v/>
      </c>
      <c r="E131" s="6" t="str" cm="1">
        <f t="array" ref="E131">IF($A131="","",_xlfn.LET(_xlpm.sheets,CHOOSE({1,2,3,4,5},'Template Setup'!$C$4,'Template Setup'!$C$5,'Template Setup'!$C$6,'Template Setup'!$C$7,'Template Setup'!$C$8),_xlpm.nums,CHOOSE({1,2,3,4,5},$L131,$M131,$N131,$O131,$P131),_xlpm.qtys,CHOOSE({1,2,3,4,5},$G131,$H131,$I131,$J131,$K131),_xlpm.validNums,_xlfn._xlws.FILTER(_xlpm.nums,_xlpm.qtys&gt;0),_xlpm.validSheets,_xlfn._xlws.FILTER(_xlpm.sheets,_xlpm.qtys&gt;0),_xlpm.mx,IFERROR(MAX(_xlpm.validNums),0),IF(_xlpm.mx=0,"",INDEX(_xlpm.validSheets,MATCH(_xlpm.mx,_xlpm.validNums,0))&amp;" (+"&amp;$R131&amp;")")))</f>
        <v/>
      </c>
      <c r="F131" s="11" t="str">
        <f t="shared" ref="F131:F194" si="11">IF($E131="","","PACP-"&amp;LEFT($E131,FIND("-",$E131)-1)&amp;"-000"&amp;MID($E131,FIND("-",$E131)+1,3))</f>
        <v/>
      </c>
      <c r="G131" s="12" t="str">
        <f ca="1">IF($A131="","",IFERROR(SUMIF(INDIRECT("'"&amp;'Template Setup'!$C$4&amp;"'!C:C"),$A131,INDIRECT("'"&amp;'Template Setup'!$C$4&amp;"'!A:A")),0))</f>
        <v/>
      </c>
      <c r="H131" s="12" t="str">
        <f ca="1">IF($A131="","",IFERROR(SUMIF(INDIRECT("'"&amp;'Template Setup'!$C$5&amp;"'!C:C"),$A131,INDIRECT("'"&amp;'Template Setup'!$C$5&amp;"'!A:A")),0))</f>
        <v/>
      </c>
      <c r="I131" s="12" t="str">
        <f ca="1">IF($A131="","",IFERROR(SUMIF(INDIRECT("'"&amp;'Template Setup'!$C$6&amp;"'!C:C"),$A131,INDIRECT("'"&amp;'Template Setup'!$C$6&amp;"'!A:A")),0))</f>
        <v/>
      </c>
      <c r="J131" s="12" t="str">
        <f ca="1">IF($A131="","",IFERROR(SUMIF(INDIRECT("'"&amp;'Template Setup'!$C$7&amp;"'!C:C"),$A131,INDIRECT("'"&amp;'Template Setup'!$C$7&amp;"'!A:A")),0))</f>
        <v/>
      </c>
      <c r="K131" s="12" t="str">
        <f ca="1">IF($A131="","",IFERROR(SUMIF(INDIRECT("'"&amp;'Template Setup'!$C$8&amp;"'!C:C"),$A131,INDIRECT("'"&amp;'Template Setup'!$C$8&amp;"'!A:A")),0))</f>
        <v/>
      </c>
      <c r="L131" s="11" t="str">
        <f>IF($A131="","",IFERROR(VALUE(MID(TRIM('Template Setup'!$C$4),FIND("-",TRIM('Template Setup'!$C$4))+1,10)),0))</f>
        <v/>
      </c>
      <c r="M131" s="11" t="str">
        <f>IF($A131="","",IFERROR(VALUE(MID(TRIM('Template Setup'!$C$5),FIND("-",TRIM('Template Setup'!$C$5))+1,10)),0))</f>
        <v/>
      </c>
      <c r="N131" s="11" t="str">
        <f>IF($A131="","",IFERROR(VALUE(MID(TRIM('Template Setup'!$C$6),FIND("-",TRIM('Template Setup'!$C$6))+1,10)),0))</f>
        <v/>
      </c>
      <c r="O131" s="11" t="str">
        <f>IF($A131="","",IFERROR(VALUE(MID(TRIM('Template Setup'!$C$7),FIND("-",TRIM('Template Setup'!$C$7))+1,10)),0))</f>
        <v/>
      </c>
      <c r="P131" s="11" t="str">
        <f>IF($A131="","",IFERROR(VALUE(MID(TRIM('Template Setup'!$C$8),FIND("-",TRIM('Template Setup'!$C$8))+1,10)),0))</f>
        <v/>
      </c>
      <c r="Q131" s="9" t="str">
        <f>IF($A131="","",$A131&amp;"-"&amp;'Template Setup'!$C$16)</f>
        <v/>
      </c>
      <c r="R131" s="24" t="str">
        <f t="shared" si="9"/>
        <v/>
      </c>
      <c r="S131" s="24"/>
      <c r="T131" s="24" t="str">
        <f t="shared" si="10"/>
        <v/>
      </c>
      <c r="U131" s="6" t="str">
        <f t="shared" si="8"/>
        <v/>
      </c>
    </row>
    <row r="132" spans="1:21">
      <c r="A132" s="11"/>
      <c r="B132" s="11"/>
      <c r="C132" s="11"/>
      <c r="D132" s="11" t="str">
        <f>IF($A132="","",_xlfn.TEXTJOIN(", ",TRUE,IF($G132&gt;0,'Template Setup'!$C$4,""),IF($H132&gt;0,'Template Setup'!$C$5,""),IF($I132&gt;0,'Template Setup'!$C$6,""),IF($J132&gt;0,'Template Setup'!$C$7,""),IF($K132&gt;0,'Template Setup'!$C$8,"")))</f>
        <v/>
      </c>
      <c r="E132" s="6" t="str" cm="1">
        <f t="array" ref="E132">IF($A132="","",_xlfn.LET(_xlpm.sheets,CHOOSE({1,2,3,4,5},'Template Setup'!$C$4,'Template Setup'!$C$5,'Template Setup'!$C$6,'Template Setup'!$C$7,'Template Setup'!$C$8),_xlpm.nums,CHOOSE({1,2,3,4,5},$L132,$M132,$N132,$O132,$P132),_xlpm.qtys,CHOOSE({1,2,3,4,5},$G132,$H132,$I132,$J132,$K132),_xlpm.validNums,_xlfn._xlws.FILTER(_xlpm.nums,_xlpm.qtys&gt;0),_xlpm.validSheets,_xlfn._xlws.FILTER(_xlpm.sheets,_xlpm.qtys&gt;0),_xlpm.mx,IFERROR(MAX(_xlpm.validNums),0),IF(_xlpm.mx=0,"",INDEX(_xlpm.validSheets,MATCH(_xlpm.mx,_xlpm.validNums,0))&amp;" (+"&amp;$R132&amp;")")))</f>
        <v/>
      </c>
      <c r="F132" s="11" t="str">
        <f t="shared" si="11"/>
        <v/>
      </c>
      <c r="G132" s="12" t="str">
        <f ca="1">IF($A132="","",IFERROR(SUMIF(INDIRECT("'"&amp;'Template Setup'!$C$4&amp;"'!C:C"),$A132,INDIRECT("'"&amp;'Template Setup'!$C$4&amp;"'!A:A")),0))</f>
        <v/>
      </c>
      <c r="H132" s="12" t="str">
        <f ca="1">IF($A132="","",IFERROR(SUMIF(INDIRECT("'"&amp;'Template Setup'!$C$5&amp;"'!C:C"),$A132,INDIRECT("'"&amp;'Template Setup'!$C$5&amp;"'!A:A")),0))</f>
        <v/>
      </c>
      <c r="I132" s="12" t="str">
        <f ca="1">IF($A132="","",IFERROR(SUMIF(INDIRECT("'"&amp;'Template Setup'!$C$6&amp;"'!C:C"),$A132,INDIRECT("'"&amp;'Template Setup'!$C$6&amp;"'!A:A")),0))</f>
        <v/>
      </c>
      <c r="J132" s="12" t="str">
        <f ca="1">IF($A132="","",IFERROR(SUMIF(INDIRECT("'"&amp;'Template Setup'!$C$7&amp;"'!C:C"),$A132,INDIRECT("'"&amp;'Template Setup'!$C$7&amp;"'!A:A")),0))</f>
        <v/>
      </c>
      <c r="K132" s="12" t="str">
        <f ca="1">IF($A132="","",IFERROR(SUMIF(INDIRECT("'"&amp;'Template Setup'!$C$8&amp;"'!C:C"),$A132,INDIRECT("'"&amp;'Template Setup'!$C$8&amp;"'!A:A")),0))</f>
        <v/>
      </c>
      <c r="L132" s="11" t="str">
        <f>IF($A132="","",IFERROR(VALUE(MID(TRIM('Template Setup'!$C$4),FIND("-",TRIM('Template Setup'!$C$4))+1,10)),0))</f>
        <v/>
      </c>
      <c r="M132" s="11" t="str">
        <f>IF($A132="","",IFERROR(VALUE(MID(TRIM('Template Setup'!$C$5),FIND("-",TRIM('Template Setup'!$C$5))+1,10)),0))</f>
        <v/>
      </c>
      <c r="N132" s="11" t="str">
        <f>IF($A132="","",IFERROR(VALUE(MID(TRIM('Template Setup'!$C$6),FIND("-",TRIM('Template Setup'!$C$6))+1,10)),0))</f>
        <v/>
      </c>
      <c r="O132" s="11" t="str">
        <f>IF($A132="","",IFERROR(VALUE(MID(TRIM('Template Setup'!$C$7),FIND("-",TRIM('Template Setup'!$C$7))+1,10)),0))</f>
        <v/>
      </c>
      <c r="P132" s="11" t="str">
        <f>IF($A132="","",IFERROR(VALUE(MID(TRIM('Template Setup'!$C$8),FIND("-",TRIM('Template Setup'!$C$8))+1,10)),0))</f>
        <v/>
      </c>
      <c r="Q132" s="9" t="str">
        <f>IF($A132="","",$A132&amp;"-"&amp;'Template Setup'!$C$16)</f>
        <v/>
      </c>
      <c r="R132" s="24" t="str">
        <f t="shared" si="9"/>
        <v/>
      </c>
      <c r="S132" s="24"/>
      <c r="T132" s="24" t="str">
        <f t="shared" si="10"/>
        <v/>
      </c>
      <c r="U132" s="6" t="str">
        <f t="shared" si="8"/>
        <v/>
      </c>
    </row>
    <row r="133" spans="1:21">
      <c r="A133" s="11"/>
      <c r="B133" s="11"/>
      <c r="C133" s="11"/>
      <c r="D133" s="11" t="str">
        <f>IF($A133="","",_xlfn.TEXTJOIN(", ",TRUE,IF($G133&gt;0,'Template Setup'!$C$4,""),IF($H133&gt;0,'Template Setup'!$C$5,""),IF($I133&gt;0,'Template Setup'!$C$6,""),IF($J133&gt;0,'Template Setup'!$C$7,""),IF($K133&gt;0,'Template Setup'!$C$8,"")))</f>
        <v/>
      </c>
      <c r="E133" s="6" t="str" cm="1">
        <f t="array" ref="E133">IF($A133="","",_xlfn.LET(_xlpm.sheets,CHOOSE({1,2,3,4,5},'Template Setup'!$C$4,'Template Setup'!$C$5,'Template Setup'!$C$6,'Template Setup'!$C$7,'Template Setup'!$C$8),_xlpm.nums,CHOOSE({1,2,3,4,5},$L133,$M133,$N133,$O133,$P133),_xlpm.qtys,CHOOSE({1,2,3,4,5},$G133,$H133,$I133,$J133,$K133),_xlpm.validNums,_xlfn._xlws.FILTER(_xlpm.nums,_xlpm.qtys&gt;0),_xlpm.validSheets,_xlfn._xlws.FILTER(_xlpm.sheets,_xlpm.qtys&gt;0),_xlpm.mx,IFERROR(MAX(_xlpm.validNums),0),IF(_xlpm.mx=0,"",INDEX(_xlpm.validSheets,MATCH(_xlpm.mx,_xlpm.validNums,0))&amp;" (+"&amp;$R133&amp;")")))</f>
        <v/>
      </c>
      <c r="F133" s="11" t="str">
        <f t="shared" si="11"/>
        <v/>
      </c>
      <c r="G133" s="12" t="str">
        <f ca="1">IF($A133="","",IFERROR(SUMIF(INDIRECT("'"&amp;'Template Setup'!$C$4&amp;"'!C:C"),$A133,INDIRECT("'"&amp;'Template Setup'!$C$4&amp;"'!A:A")),0))</f>
        <v/>
      </c>
      <c r="H133" s="12" t="str">
        <f ca="1">IF($A133="","",IFERROR(SUMIF(INDIRECT("'"&amp;'Template Setup'!$C$5&amp;"'!C:C"),$A133,INDIRECT("'"&amp;'Template Setup'!$C$5&amp;"'!A:A")),0))</f>
        <v/>
      </c>
      <c r="I133" s="12" t="str">
        <f ca="1">IF($A133="","",IFERROR(SUMIF(INDIRECT("'"&amp;'Template Setup'!$C$6&amp;"'!C:C"),$A133,INDIRECT("'"&amp;'Template Setup'!$C$6&amp;"'!A:A")),0))</f>
        <v/>
      </c>
      <c r="J133" s="12" t="str">
        <f ca="1">IF($A133="","",IFERROR(SUMIF(INDIRECT("'"&amp;'Template Setup'!$C$7&amp;"'!C:C"),$A133,INDIRECT("'"&amp;'Template Setup'!$C$7&amp;"'!A:A")),0))</f>
        <v/>
      </c>
      <c r="K133" s="12" t="str">
        <f ca="1">IF($A133="","",IFERROR(SUMIF(INDIRECT("'"&amp;'Template Setup'!$C$8&amp;"'!C:C"),$A133,INDIRECT("'"&amp;'Template Setup'!$C$8&amp;"'!A:A")),0))</f>
        <v/>
      </c>
      <c r="L133" s="11" t="str">
        <f>IF($A133="","",IFERROR(VALUE(MID(TRIM('Template Setup'!$C$4),FIND("-",TRIM('Template Setup'!$C$4))+1,10)),0))</f>
        <v/>
      </c>
      <c r="M133" s="11" t="str">
        <f>IF($A133="","",IFERROR(VALUE(MID(TRIM('Template Setup'!$C$5),FIND("-",TRIM('Template Setup'!$C$5))+1,10)),0))</f>
        <v/>
      </c>
      <c r="N133" s="11" t="str">
        <f>IF($A133="","",IFERROR(VALUE(MID(TRIM('Template Setup'!$C$6),FIND("-",TRIM('Template Setup'!$C$6))+1,10)),0))</f>
        <v/>
      </c>
      <c r="O133" s="11" t="str">
        <f>IF($A133="","",IFERROR(VALUE(MID(TRIM('Template Setup'!$C$7),FIND("-",TRIM('Template Setup'!$C$7))+1,10)),0))</f>
        <v/>
      </c>
      <c r="P133" s="11" t="str">
        <f>IF($A133="","",IFERROR(VALUE(MID(TRIM('Template Setup'!$C$8),FIND("-",TRIM('Template Setup'!$C$8))+1,10)),0))</f>
        <v/>
      </c>
      <c r="Q133" s="9" t="str">
        <f>IF($A133="","",$A133&amp;"-"&amp;'Template Setup'!$C$16)</f>
        <v/>
      </c>
      <c r="R133" s="24" t="str">
        <f t="shared" si="9"/>
        <v/>
      </c>
      <c r="S133" s="24"/>
      <c r="T133" s="24" t="str">
        <f t="shared" si="10"/>
        <v/>
      </c>
      <c r="U133" s="6" t="str">
        <f t="shared" si="8"/>
        <v/>
      </c>
    </row>
    <row r="134" spans="1:21">
      <c r="A134" s="11"/>
      <c r="B134" s="11"/>
      <c r="C134" s="11"/>
      <c r="D134" s="11" t="str">
        <f>IF($A134="","",_xlfn.TEXTJOIN(", ",TRUE,IF($G134&gt;0,'Template Setup'!$C$4,""),IF($H134&gt;0,'Template Setup'!$C$5,""),IF($I134&gt;0,'Template Setup'!$C$6,""),IF($J134&gt;0,'Template Setup'!$C$7,""),IF($K134&gt;0,'Template Setup'!$C$8,"")))</f>
        <v/>
      </c>
      <c r="E134" s="6" t="str" cm="1">
        <f t="array" ref="E134">IF($A134="","",_xlfn.LET(_xlpm.sheets,CHOOSE({1,2,3,4,5},'Template Setup'!$C$4,'Template Setup'!$C$5,'Template Setup'!$C$6,'Template Setup'!$C$7,'Template Setup'!$C$8),_xlpm.nums,CHOOSE({1,2,3,4,5},$L134,$M134,$N134,$O134,$P134),_xlpm.qtys,CHOOSE({1,2,3,4,5},$G134,$H134,$I134,$J134,$K134),_xlpm.validNums,_xlfn._xlws.FILTER(_xlpm.nums,_xlpm.qtys&gt;0),_xlpm.validSheets,_xlfn._xlws.FILTER(_xlpm.sheets,_xlpm.qtys&gt;0),_xlpm.mx,IFERROR(MAX(_xlpm.validNums),0),IF(_xlpm.mx=0,"",INDEX(_xlpm.validSheets,MATCH(_xlpm.mx,_xlpm.validNums,0))&amp;" (+"&amp;$R134&amp;")")))</f>
        <v/>
      </c>
      <c r="F134" s="11" t="str">
        <f t="shared" si="11"/>
        <v/>
      </c>
      <c r="G134" s="12" t="str">
        <f ca="1">IF($A134="","",IFERROR(SUMIF(INDIRECT("'"&amp;'Template Setup'!$C$4&amp;"'!C:C"),$A134,INDIRECT("'"&amp;'Template Setup'!$C$4&amp;"'!A:A")),0))</f>
        <v/>
      </c>
      <c r="H134" s="12" t="str">
        <f ca="1">IF($A134="","",IFERROR(SUMIF(INDIRECT("'"&amp;'Template Setup'!$C$5&amp;"'!C:C"),$A134,INDIRECT("'"&amp;'Template Setup'!$C$5&amp;"'!A:A")),0))</f>
        <v/>
      </c>
      <c r="I134" s="12" t="str">
        <f ca="1">IF($A134="","",IFERROR(SUMIF(INDIRECT("'"&amp;'Template Setup'!$C$6&amp;"'!C:C"),$A134,INDIRECT("'"&amp;'Template Setup'!$C$6&amp;"'!A:A")),0))</f>
        <v/>
      </c>
      <c r="J134" s="12" t="str">
        <f ca="1">IF($A134="","",IFERROR(SUMIF(INDIRECT("'"&amp;'Template Setup'!$C$7&amp;"'!C:C"),$A134,INDIRECT("'"&amp;'Template Setup'!$C$7&amp;"'!A:A")),0))</f>
        <v/>
      </c>
      <c r="K134" s="12" t="str">
        <f ca="1">IF($A134="","",IFERROR(SUMIF(INDIRECT("'"&amp;'Template Setup'!$C$8&amp;"'!C:C"),$A134,INDIRECT("'"&amp;'Template Setup'!$C$8&amp;"'!A:A")),0))</f>
        <v/>
      </c>
      <c r="L134" s="11" t="str">
        <f>IF($A134="","",IFERROR(VALUE(MID(TRIM('Template Setup'!$C$4),FIND("-",TRIM('Template Setup'!$C$4))+1,10)),0))</f>
        <v/>
      </c>
      <c r="M134" s="11" t="str">
        <f>IF($A134="","",IFERROR(VALUE(MID(TRIM('Template Setup'!$C$5),FIND("-",TRIM('Template Setup'!$C$5))+1,10)),0))</f>
        <v/>
      </c>
      <c r="N134" s="11" t="str">
        <f>IF($A134="","",IFERROR(VALUE(MID(TRIM('Template Setup'!$C$6),FIND("-",TRIM('Template Setup'!$C$6))+1,10)),0))</f>
        <v/>
      </c>
      <c r="O134" s="11" t="str">
        <f>IF($A134="","",IFERROR(VALUE(MID(TRIM('Template Setup'!$C$7),FIND("-",TRIM('Template Setup'!$C$7))+1,10)),0))</f>
        <v/>
      </c>
      <c r="P134" s="11" t="str">
        <f>IF($A134="","",IFERROR(VALUE(MID(TRIM('Template Setup'!$C$8),FIND("-",TRIM('Template Setup'!$C$8))+1,10)),0))</f>
        <v/>
      </c>
      <c r="Q134" s="9" t="str">
        <f>IF($A134="","",$A134&amp;"-"&amp;'Template Setup'!$C$16)</f>
        <v/>
      </c>
      <c r="R134" s="24" t="str">
        <f t="shared" si="9"/>
        <v/>
      </c>
      <c r="S134" s="24"/>
      <c r="T134" s="24" t="str">
        <f t="shared" si="10"/>
        <v/>
      </c>
      <c r="U134" s="6" t="str">
        <f t="shared" si="8"/>
        <v/>
      </c>
    </row>
    <row r="135" spans="1:21">
      <c r="A135" s="11"/>
      <c r="B135" s="11"/>
      <c r="C135" s="11"/>
      <c r="D135" s="11" t="str">
        <f>IF($A135="","",_xlfn.TEXTJOIN(", ",TRUE,IF($G135&gt;0,'Template Setup'!$C$4,""),IF($H135&gt;0,'Template Setup'!$C$5,""),IF($I135&gt;0,'Template Setup'!$C$6,""),IF($J135&gt;0,'Template Setup'!$C$7,""),IF($K135&gt;0,'Template Setup'!$C$8,"")))</f>
        <v/>
      </c>
      <c r="E135" s="6" t="str" cm="1">
        <f t="array" ref="E135">IF($A135="","",_xlfn.LET(_xlpm.sheets,CHOOSE({1,2,3,4,5},'Template Setup'!$C$4,'Template Setup'!$C$5,'Template Setup'!$C$6,'Template Setup'!$C$7,'Template Setup'!$C$8),_xlpm.nums,CHOOSE({1,2,3,4,5},$L135,$M135,$N135,$O135,$P135),_xlpm.qtys,CHOOSE({1,2,3,4,5},$G135,$H135,$I135,$J135,$K135),_xlpm.validNums,_xlfn._xlws.FILTER(_xlpm.nums,_xlpm.qtys&gt;0),_xlpm.validSheets,_xlfn._xlws.FILTER(_xlpm.sheets,_xlpm.qtys&gt;0),_xlpm.mx,IFERROR(MAX(_xlpm.validNums),0),IF(_xlpm.mx=0,"",INDEX(_xlpm.validSheets,MATCH(_xlpm.mx,_xlpm.validNums,0))&amp;" (+"&amp;$R135&amp;")")))</f>
        <v/>
      </c>
      <c r="F135" s="11" t="str">
        <f t="shared" si="11"/>
        <v/>
      </c>
      <c r="G135" s="12" t="str">
        <f ca="1">IF($A135="","",IFERROR(SUMIF(INDIRECT("'"&amp;'Template Setup'!$C$4&amp;"'!C:C"),$A135,INDIRECT("'"&amp;'Template Setup'!$C$4&amp;"'!A:A")),0))</f>
        <v/>
      </c>
      <c r="H135" s="12" t="str">
        <f ca="1">IF($A135="","",IFERROR(SUMIF(INDIRECT("'"&amp;'Template Setup'!$C$5&amp;"'!C:C"),$A135,INDIRECT("'"&amp;'Template Setup'!$C$5&amp;"'!A:A")),0))</f>
        <v/>
      </c>
      <c r="I135" s="12" t="str">
        <f ca="1">IF($A135="","",IFERROR(SUMIF(INDIRECT("'"&amp;'Template Setup'!$C$6&amp;"'!C:C"),$A135,INDIRECT("'"&amp;'Template Setup'!$C$6&amp;"'!A:A")),0))</f>
        <v/>
      </c>
      <c r="J135" s="12" t="str">
        <f ca="1">IF($A135="","",IFERROR(SUMIF(INDIRECT("'"&amp;'Template Setup'!$C$7&amp;"'!C:C"),$A135,INDIRECT("'"&amp;'Template Setup'!$C$7&amp;"'!A:A")),0))</f>
        <v/>
      </c>
      <c r="K135" s="12" t="str">
        <f ca="1">IF($A135="","",IFERROR(SUMIF(INDIRECT("'"&amp;'Template Setup'!$C$8&amp;"'!C:C"),$A135,INDIRECT("'"&amp;'Template Setup'!$C$8&amp;"'!A:A")),0))</f>
        <v/>
      </c>
      <c r="L135" s="11" t="str">
        <f>IF($A135="","",IFERROR(VALUE(MID(TRIM('Template Setup'!$C$4),FIND("-",TRIM('Template Setup'!$C$4))+1,10)),0))</f>
        <v/>
      </c>
      <c r="M135" s="11" t="str">
        <f>IF($A135="","",IFERROR(VALUE(MID(TRIM('Template Setup'!$C$5),FIND("-",TRIM('Template Setup'!$C$5))+1,10)),0))</f>
        <v/>
      </c>
      <c r="N135" s="11" t="str">
        <f>IF($A135="","",IFERROR(VALUE(MID(TRIM('Template Setup'!$C$6),FIND("-",TRIM('Template Setup'!$C$6))+1,10)),0))</f>
        <v/>
      </c>
      <c r="O135" s="11" t="str">
        <f>IF($A135="","",IFERROR(VALUE(MID(TRIM('Template Setup'!$C$7),FIND("-",TRIM('Template Setup'!$C$7))+1,10)),0))</f>
        <v/>
      </c>
      <c r="P135" s="11" t="str">
        <f>IF($A135="","",IFERROR(VALUE(MID(TRIM('Template Setup'!$C$8),FIND("-",TRIM('Template Setup'!$C$8))+1,10)),0))</f>
        <v/>
      </c>
      <c r="Q135" s="9" t="str">
        <f>IF($A135="","",$A135&amp;"-"&amp;'Template Setup'!$C$16)</f>
        <v/>
      </c>
      <c r="R135" s="24" t="str">
        <f t="shared" si="9"/>
        <v/>
      </c>
      <c r="S135" s="24"/>
      <c r="T135" s="24" t="str">
        <f t="shared" si="10"/>
        <v/>
      </c>
      <c r="U135" s="6" t="str">
        <f t="shared" si="8"/>
        <v/>
      </c>
    </row>
    <row r="136" spans="1:21">
      <c r="A136" s="11"/>
      <c r="B136" s="11"/>
      <c r="C136" s="11"/>
      <c r="D136" s="11" t="str">
        <f>IF($A136="","",_xlfn.TEXTJOIN(", ",TRUE,IF($G136&gt;0,'Template Setup'!$C$4,""),IF($H136&gt;0,'Template Setup'!$C$5,""),IF($I136&gt;0,'Template Setup'!$C$6,""),IF($J136&gt;0,'Template Setup'!$C$7,""),IF($K136&gt;0,'Template Setup'!$C$8,"")))</f>
        <v/>
      </c>
      <c r="E136" s="6" t="str" cm="1">
        <f t="array" ref="E136">IF($A136="","",_xlfn.LET(_xlpm.sheets,CHOOSE({1,2,3,4,5},'Template Setup'!$C$4,'Template Setup'!$C$5,'Template Setup'!$C$6,'Template Setup'!$C$7,'Template Setup'!$C$8),_xlpm.nums,CHOOSE({1,2,3,4,5},$L136,$M136,$N136,$O136,$P136),_xlpm.qtys,CHOOSE({1,2,3,4,5},$G136,$H136,$I136,$J136,$K136),_xlpm.validNums,_xlfn._xlws.FILTER(_xlpm.nums,_xlpm.qtys&gt;0),_xlpm.validSheets,_xlfn._xlws.FILTER(_xlpm.sheets,_xlpm.qtys&gt;0),_xlpm.mx,IFERROR(MAX(_xlpm.validNums),0),IF(_xlpm.mx=0,"",INDEX(_xlpm.validSheets,MATCH(_xlpm.mx,_xlpm.validNums,0))&amp;" (+"&amp;$R136&amp;")")))</f>
        <v/>
      </c>
      <c r="F136" s="11" t="str">
        <f t="shared" si="11"/>
        <v/>
      </c>
      <c r="G136" s="12" t="str">
        <f ca="1">IF($A136="","",IFERROR(SUMIF(INDIRECT("'"&amp;'Template Setup'!$C$4&amp;"'!C:C"),$A136,INDIRECT("'"&amp;'Template Setup'!$C$4&amp;"'!A:A")),0))</f>
        <v/>
      </c>
      <c r="H136" s="12" t="str">
        <f ca="1">IF($A136="","",IFERROR(SUMIF(INDIRECT("'"&amp;'Template Setup'!$C$5&amp;"'!C:C"),$A136,INDIRECT("'"&amp;'Template Setup'!$C$5&amp;"'!A:A")),0))</f>
        <v/>
      </c>
      <c r="I136" s="12" t="str">
        <f ca="1">IF($A136="","",IFERROR(SUMIF(INDIRECT("'"&amp;'Template Setup'!$C$6&amp;"'!C:C"),$A136,INDIRECT("'"&amp;'Template Setup'!$C$6&amp;"'!A:A")),0))</f>
        <v/>
      </c>
      <c r="J136" s="12" t="str">
        <f ca="1">IF($A136="","",IFERROR(SUMIF(INDIRECT("'"&amp;'Template Setup'!$C$7&amp;"'!C:C"),$A136,INDIRECT("'"&amp;'Template Setup'!$C$7&amp;"'!A:A")),0))</f>
        <v/>
      </c>
      <c r="K136" s="12" t="str">
        <f ca="1">IF($A136="","",IFERROR(SUMIF(INDIRECT("'"&amp;'Template Setup'!$C$8&amp;"'!C:C"),$A136,INDIRECT("'"&amp;'Template Setup'!$C$8&amp;"'!A:A")),0))</f>
        <v/>
      </c>
      <c r="L136" s="11" t="str">
        <f>IF($A136="","",IFERROR(VALUE(MID(TRIM('Template Setup'!$C$4),FIND("-",TRIM('Template Setup'!$C$4))+1,10)),0))</f>
        <v/>
      </c>
      <c r="M136" s="11" t="str">
        <f>IF($A136="","",IFERROR(VALUE(MID(TRIM('Template Setup'!$C$5),FIND("-",TRIM('Template Setup'!$C$5))+1,10)),0))</f>
        <v/>
      </c>
      <c r="N136" s="11" t="str">
        <f>IF($A136="","",IFERROR(VALUE(MID(TRIM('Template Setup'!$C$6),FIND("-",TRIM('Template Setup'!$C$6))+1,10)),0))</f>
        <v/>
      </c>
      <c r="O136" s="11" t="str">
        <f>IF($A136="","",IFERROR(VALUE(MID(TRIM('Template Setup'!$C$7),FIND("-",TRIM('Template Setup'!$C$7))+1,10)),0))</f>
        <v/>
      </c>
      <c r="P136" s="11" t="str">
        <f>IF($A136="","",IFERROR(VALUE(MID(TRIM('Template Setup'!$C$8),FIND("-",TRIM('Template Setup'!$C$8))+1,10)),0))</f>
        <v/>
      </c>
      <c r="Q136" s="9" t="str">
        <f>IF($A136="","",$A136&amp;"-"&amp;'Template Setup'!$C$16)</f>
        <v/>
      </c>
      <c r="R136" s="24" t="str">
        <f t="shared" si="9"/>
        <v/>
      </c>
      <c r="S136" s="24"/>
      <c r="T136" s="24" t="str">
        <f t="shared" si="10"/>
        <v/>
      </c>
      <c r="U136" s="6" t="str">
        <f t="shared" si="8"/>
        <v/>
      </c>
    </row>
    <row r="137" spans="1:21">
      <c r="A137" s="11"/>
      <c r="B137" s="11"/>
      <c r="C137" s="11"/>
      <c r="D137" s="11" t="str">
        <f>IF($A137="","",_xlfn.TEXTJOIN(", ",TRUE,IF($G137&gt;0,'Template Setup'!$C$4,""),IF($H137&gt;0,'Template Setup'!$C$5,""),IF($I137&gt;0,'Template Setup'!$C$6,""),IF($J137&gt;0,'Template Setup'!$C$7,""),IF($K137&gt;0,'Template Setup'!$C$8,"")))</f>
        <v/>
      </c>
      <c r="E137" s="6" t="str" cm="1">
        <f t="array" ref="E137">IF($A137="","",_xlfn.LET(_xlpm.sheets,CHOOSE({1,2,3,4,5},'Template Setup'!$C$4,'Template Setup'!$C$5,'Template Setup'!$C$6,'Template Setup'!$C$7,'Template Setup'!$C$8),_xlpm.nums,CHOOSE({1,2,3,4,5},$L137,$M137,$N137,$O137,$P137),_xlpm.qtys,CHOOSE({1,2,3,4,5},$G137,$H137,$I137,$J137,$K137),_xlpm.validNums,_xlfn._xlws.FILTER(_xlpm.nums,_xlpm.qtys&gt;0),_xlpm.validSheets,_xlfn._xlws.FILTER(_xlpm.sheets,_xlpm.qtys&gt;0),_xlpm.mx,IFERROR(MAX(_xlpm.validNums),0),IF(_xlpm.mx=0,"",INDEX(_xlpm.validSheets,MATCH(_xlpm.mx,_xlpm.validNums,0))&amp;" (+"&amp;$R137&amp;")")))</f>
        <v/>
      </c>
      <c r="F137" s="11" t="str">
        <f t="shared" si="11"/>
        <v/>
      </c>
      <c r="G137" s="12" t="str">
        <f ca="1">IF($A137="","",IFERROR(SUMIF(INDIRECT("'"&amp;'Template Setup'!$C$4&amp;"'!C:C"),$A137,INDIRECT("'"&amp;'Template Setup'!$C$4&amp;"'!A:A")),0))</f>
        <v/>
      </c>
      <c r="H137" s="12" t="str">
        <f ca="1">IF($A137="","",IFERROR(SUMIF(INDIRECT("'"&amp;'Template Setup'!$C$5&amp;"'!C:C"),$A137,INDIRECT("'"&amp;'Template Setup'!$C$5&amp;"'!A:A")),0))</f>
        <v/>
      </c>
      <c r="I137" s="12" t="str">
        <f ca="1">IF($A137="","",IFERROR(SUMIF(INDIRECT("'"&amp;'Template Setup'!$C$6&amp;"'!C:C"),$A137,INDIRECT("'"&amp;'Template Setup'!$C$6&amp;"'!A:A")),0))</f>
        <v/>
      </c>
      <c r="J137" s="12" t="str">
        <f ca="1">IF($A137="","",IFERROR(SUMIF(INDIRECT("'"&amp;'Template Setup'!$C$7&amp;"'!C:C"),$A137,INDIRECT("'"&amp;'Template Setup'!$C$7&amp;"'!A:A")),0))</f>
        <v/>
      </c>
      <c r="K137" s="12" t="str">
        <f ca="1">IF($A137="","",IFERROR(SUMIF(INDIRECT("'"&amp;'Template Setup'!$C$8&amp;"'!C:C"),$A137,INDIRECT("'"&amp;'Template Setup'!$C$8&amp;"'!A:A")),0))</f>
        <v/>
      </c>
      <c r="L137" s="11" t="str">
        <f>IF($A137="","",IFERROR(VALUE(MID(TRIM('Template Setup'!$C$4),FIND("-",TRIM('Template Setup'!$C$4))+1,10)),0))</f>
        <v/>
      </c>
      <c r="M137" s="11" t="str">
        <f>IF($A137="","",IFERROR(VALUE(MID(TRIM('Template Setup'!$C$5),FIND("-",TRIM('Template Setup'!$C$5))+1,10)),0))</f>
        <v/>
      </c>
      <c r="N137" s="11" t="str">
        <f>IF($A137="","",IFERROR(VALUE(MID(TRIM('Template Setup'!$C$6),FIND("-",TRIM('Template Setup'!$C$6))+1,10)),0))</f>
        <v/>
      </c>
      <c r="O137" s="11" t="str">
        <f>IF($A137="","",IFERROR(VALUE(MID(TRIM('Template Setup'!$C$7),FIND("-",TRIM('Template Setup'!$C$7))+1,10)),0))</f>
        <v/>
      </c>
      <c r="P137" s="11" t="str">
        <f>IF($A137="","",IFERROR(VALUE(MID(TRIM('Template Setup'!$C$8),FIND("-",TRIM('Template Setup'!$C$8))+1,10)),0))</f>
        <v/>
      </c>
      <c r="Q137" s="9" t="str">
        <f>IF($A137="","",$A137&amp;"-"&amp;'Template Setup'!$C$16)</f>
        <v/>
      </c>
      <c r="R137" s="24" t="str">
        <f t="shared" si="9"/>
        <v/>
      </c>
      <c r="S137" s="24"/>
      <c r="T137" s="24" t="str">
        <f t="shared" si="10"/>
        <v/>
      </c>
      <c r="U137" s="6" t="str">
        <f t="shared" si="8"/>
        <v/>
      </c>
    </row>
    <row r="138" spans="1:21">
      <c r="A138" s="11"/>
      <c r="B138" s="11"/>
      <c r="C138" s="11"/>
      <c r="D138" s="11" t="str">
        <f>IF($A138="","",_xlfn.TEXTJOIN(", ",TRUE,IF($G138&gt;0,'Template Setup'!$C$4,""),IF($H138&gt;0,'Template Setup'!$C$5,""),IF($I138&gt;0,'Template Setup'!$C$6,""),IF($J138&gt;0,'Template Setup'!$C$7,""),IF($K138&gt;0,'Template Setup'!$C$8,"")))</f>
        <v/>
      </c>
      <c r="E138" s="6" t="str" cm="1">
        <f t="array" ref="E138">IF($A138="","",_xlfn.LET(_xlpm.sheets,CHOOSE({1,2,3,4,5},'Template Setup'!$C$4,'Template Setup'!$C$5,'Template Setup'!$C$6,'Template Setup'!$C$7,'Template Setup'!$C$8),_xlpm.nums,CHOOSE({1,2,3,4,5},$L138,$M138,$N138,$O138,$P138),_xlpm.qtys,CHOOSE({1,2,3,4,5},$G138,$H138,$I138,$J138,$K138),_xlpm.validNums,_xlfn._xlws.FILTER(_xlpm.nums,_xlpm.qtys&gt;0),_xlpm.validSheets,_xlfn._xlws.FILTER(_xlpm.sheets,_xlpm.qtys&gt;0),_xlpm.mx,IFERROR(MAX(_xlpm.validNums),0),IF(_xlpm.mx=0,"",INDEX(_xlpm.validSheets,MATCH(_xlpm.mx,_xlpm.validNums,0))&amp;" (+"&amp;$R138&amp;")")))</f>
        <v/>
      </c>
      <c r="F138" s="11" t="str">
        <f t="shared" si="11"/>
        <v/>
      </c>
      <c r="G138" s="12" t="str">
        <f ca="1">IF($A138="","",IFERROR(SUMIF(INDIRECT("'"&amp;'Template Setup'!$C$4&amp;"'!C:C"),$A138,INDIRECT("'"&amp;'Template Setup'!$C$4&amp;"'!A:A")),0))</f>
        <v/>
      </c>
      <c r="H138" s="12" t="str">
        <f ca="1">IF($A138="","",IFERROR(SUMIF(INDIRECT("'"&amp;'Template Setup'!$C$5&amp;"'!C:C"),$A138,INDIRECT("'"&amp;'Template Setup'!$C$5&amp;"'!A:A")),0))</f>
        <v/>
      </c>
      <c r="I138" s="12" t="str">
        <f ca="1">IF($A138="","",IFERROR(SUMIF(INDIRECT("'"&amp;'Template Setup'!$C$6&amp;"'!C:C"),$A138,INDIRECT("'"&amp;'Template Setup'!$C$6&amp;"'!A:A")),0))</f>
        <v/>
      </c>
      <c r="J138" s="12" t="str">
        <f ca="1">IF($A138="","",IFERROR(SUMIF(INDIRECT("'"&amp;'Template Setup'!$C$7&amp;"'!C:C"),$A138,INDIRECT("'"&amp;'Template Setup'!$C$7&amp;"'!A:A")),0))</f>
        <v/>
      </c>
      <c r="K138" s="12" t="str">
        <f ca="1">IF($A138="","",IFERROR(SUMIF(INDIRECT("'"&amp;'Template Setup'!$C$8&amp;"'!C:C"),$A138,INDIRECT("'"&amp;'Template Setup'!$C$8&amp;"'!A:A")),0))</f>
        <v/>
      </c>
      <c r="L138" s="11" t="str">
        <f>IF($A138="","",IFERROR(VALUE(MID(TRIM('Template Setup'!$C$4),FIND("-",TRIM('Template Setup'!$C$4))+1,10)),0))</f>
        <v/>
      </c>
      <c r="M138" s="11" t="str">
        <f>IF($A138="","",IFERROR(VALUE(MID(TRIM('Template Setup'!$C$5),FIND("-",TRIM('Template Setup'!$C$5))+1,10)),0))</f>
        <v/>
      </c>
      <c r="N138" s="11" t="str">
        <f>IF($A138="","",IFERROR(VALUE(MID(TRIM('Template Setup'!$C$6),FIND("-",TRIM('Template Setup'!$C$6))+1,10)),0))</f>
        <v/>
      </c>
      <c r="O138" s="11" t="str">
        <f>IF($A138="","",IFERROR(VALUE(MID(TRIM('Template Setup'!$C$7),FIND("-",TRIM('Template Setup'!$C$7))+1,10)),0))</f>
        <v/>
      </c>
      <c r="P138" s="11" t="str">
        <f>IF($A138="","",IFERROR(VALUE(MID(TRIM('Template Setup'!$C$8),FIND("-",TRIM('Template Setup'!$C$8))+1,10)),0))</f>
        <v/>
      </c>
      <c r="Q138" s="9" t="str">
        <f>IF($A138="","",$A138&amp;"-"&amp;'Template Setup'!$C$16)</f>
        <v/>
      </c>
      <c r="R138" s="24" t="str">
        <f t="shared" si="9"/>
        <v/>
      </c>
      <c r="S138" s="24"/>
      <c r="T138" s="24" t="str">
        <f t="shared" si="10"/>
        <v/>
      </c>
      <c r="U138" s="6" t="str">
        <f t="shared" si="8"/>
        <v/>
      </c>
    </row>
    <row r="139" spans="1:21">
      <c r="A139" s="11"/>
      <c r="B139" s="11"/>
      <c r="C139" s="11"/>
      <c r="D139" s="11" t="str">
        <f>IF($A139="","",_xlfn.TEXTJOIN(", ",TRUE,IF($G139&gt;0,'Template Setup'!$C$4,""),IF($H139&gt;0,'Template Setup'!$C$5,""),IF($I139&gt;0,'Template Setup'!$C$6,""),IF($J139&gt;0,'Template Setup'!$C$7,""),IF($K139&gt;0,'Template Setup'!$C$8,"")))</f>
        <v/>
      </c>
      <c r="E139" s="6" t="str" cm="1">
        <f t="array" ref="E139">IF($A139="","",_xlfn.LET(_xlpm.sheets,CHOOSE({1,2,3,4,5},'Template Setup'!$C$4,'Template Setup'!$C$5,'Template Setup'!$C$6,'Template Setup'!$C$7,'Template Setup'!$C$8),_xlpm.nums,CHOOSE({1,2,3,4,5},$L139,$M139,$N139,$O139,$P139),_xlpm.qtys,CHOOSE({1,2,3,4,5},$G139,$H139,$I139,$J139,$K139),_xlpm.validNums,_xlfn._xlws.FILTER(_xlpm.nums,_xlpm.qtys&gt;0),_xlpm.validSheets,_xlfn._xlws.FILTER(_xlpm.sheets,_xlpm.qtys&gt;0),_xlpm.mx,IFERROR(MAX(_xlpm.validNums),0),IF(_xlpm.mx=0,"",INDEX(_xlpm.validSheets,MATCH(_xlpm.mx,_xlpm.validNums,0))&amp;" (+"&amp;$R139&amp;")")))</f>
        <v/>
      </c>
      <c r="F139" s="11" t="str">
        <f t="shared" si="11"/>
        <v/>
      </c>
      <c r="G139" s="12" t="str">
        <f ca="1">IF($A139="","",IFERROR(SUMIF(INDIRECT("'"&amp;'Template Setup'!$C$4&amp;"'!C:C"),$A139,INDIRECT("'"&amp;'Template Setup'!$C$4&amp;"'!A:A")),0))</f>
        <v/>
      </c>
      <c r="H139" s="12" t="str">
        <f ca="1">IF($A139="","",IFERROR(SUMIF(INDIRECT("'"&amp;'Template Setup'!$C$5&amp;"'!C:C"),$A139,INDIRECT("'"&amp;'Template Setup'!$C$5&amp;"'!A:A")),0))</f>
        <v/>
      </c>
      <c r="I139" s="12" t="str">
        <f ca="1">IF($A139="","",IFERROR(SUMIF(INDIRECT("'"&amp;'Template Setup'!$C$6&amp;"'!C:C"),$A139,INDIRECT("'"&amp;'Template Setup'!$C$6&amp;"'!A:A")),0))</f>
        <v/>
      </c>
      <c r="J139" s="12" t="str">
        <f ca="1">IF($A139="","",IFERROR(SUMIF(INDIRECT("'"&amp;'Template Setup'!$C$7&amp;"'!C:C"),$A139,INDIRECT("'"&amp;'Template Setup'!$C$7&amp;"'!A:A")),0))</f>
        <v/>
      </c>
      <c r="K139" s="12" t="str">
        <f ca="1">IF($A139="","",IFERROR(SUMIF(INDIRECT("'"&amp;'Template Setup'!$C$8&amp;"'!C:C"),$A139,INDIRECT("'"&amp;'Template Setup'!$C$8&amp;"'!A:A")),0))</f>
        <v/>
      </c>
      <c r="L139" s="11" t="str">
        <f>IF($A139="","",IFERROR(VALUE(MID(TRIM('Template Setup'!$C$4),FIND("-",TRIM('Template Setup'!$C$4))+1,10)),0))</f>
        <v/>
      </c>
      <c r="M139" s="11" t="str">
        <f>IF($A139="","",IFERROR(VALUE(MID(TRIM('Template Setup'!$C$5),FIND("-",TRIM('Template Setup'!$C$5))+1,10)),0))</f>
        <v/>
      </c>
      <c r="N139" s="11" t="str">
        <f>IF($A139="","",IFERROR(VALUE(MID(TRIM('Template Setup'!$C$6),FIND("-",TRIM('Template Setup'!$C$6))+1,10)),0))</f>
        <v/>
      </c>
      <c r="O139" s="11" t="str">
        <f>IF($A139="","",IFERROR(VALUE(MID(TRIM('Template Setup'!$C$7),FIND("-",TRIM('Template Setup'!$C$7))+1,10)),0))</f>
        <v/>
      </c>
      <c r="P139" s="11" t="str">
        <f>IF($A139="","",IFERROR(VALUE(MID(TRIM('Template Setup'!$C$8),FIND("-",TRIM('Template Setup'!$C$8))+1,10)),0))</f>
        <v/>
      </c>
      <c r="Q139" s="9" t="str">
        <f>IF($A139="","",$A139&amp;"-"&amp;'Template Setup'!$C$16)</f>
        <v/>
      </c>
      <c r="R139" s="24" t="str">
        <f t="shared" si="9"/>
        <v/>
      </c>
      <c r="S139" s="24"/>
      <c r="T139" s="24" t="str">
        <f t="shared" si="10"/>
        <v/>
      </c>
      <c r="U139" s="6" t="str">
        <f t="shared" si="8"/>
        <v/>
      </c>
    </row>
    <row r="140" spans="1:21">
      <c r="A140" s="11"/>
      <c r="B140" s="11"/>
      <c r="C140" s="11"/>
      <c r="D140" s="11" t="str">
        <f>IF($A140="","",_xlfn.TEXTJOIN(", ",TRUE,IF($G140&gt;0,'Template Setup'!$C$4,""),IF($H140&gt;0,'Template Setup'!$C$5,""),IF($I140&gt;0,'Template Setup'!$C$6,""),IF($J140&gt;0,'Template Setup'!$C$7,""),IF($K140&gt;0,'Template Setup'!$C$8,"")))</f>
        <v/>
      </c>
      <c r="E140" s="6" t="str" cm="1">
        <f t="array" ref="E140">IF($A140="","",_xlfn.LET(_xlpm.sheets,CHOOSE({1,2,3,4,5},'Template Setup'!$C$4,'Template Setup'!$C$5,'Template Setup'!$C$6,'Template Setup'!$C$7,'Template Setup'!$C$8),_xlpm.nums,CHOOSE({1,2,3,4,5},$L140,$M140,$N140,$O140,$P140),_xlpm.qtys,CHOOSE({1,2,3,4,5},$G140,$H140,$I140,$J140,$K140),_xlpm.validNums,_xlfn._xlws.FILTER(_xlpm.nums,_xlpm.qtys&gt;0),_xlpm.validSheets,_xlfn._xlws.FILTER(_xlpm.sheets,_xlpm.qtys&gt;0),_xlpm.mx,IFERROR(MAX(_xlpm.validNums),0),IF(_xlpm.mx=0,"",INDEX(_xlpm.validSheets,MATCH(_xlpm.mx,_xlpm.validNums,0))&amp;" (+"&amp;$R140&amp;")")))</f>
        <v/>
      </c>
      <c r="F140" s="11" t="str">
        <f t="shared" si="11"/>
        <v/>
      </c>
      <c r="G140" s="12" t="str">
        <f ca="1">IF($A140="","",IFERROR(SUMIF(INDIRECT("'"&amp;'Template Setup'!$C$4&amp;"'!C:C"),$A140,INDIRECT("'"&amp;'Template Setup'!$C$4&amp;"'!A:A")),0))</f>
        <v/>
      </c>
      <c r="H140" s="12" t="str">
        <f ca="1">IF($A140="","",IFERROR(SUMIF(INDIRECT("'"&amp;'Template Setup'!$C$5&amp;"'!C:C"),$A140,INDIRECT("'"&amp;'Template Setup'!$C$5&amp;"'!A:A")),0))</f>
        <v/>
      </c>
      <c r="I140" s="12" t="str">
        <f ca="1">IF($A140="","",IFERROR(SUMIF(INDIRECT("'"&amp;'Template Setup'!$C$6&amp;"'!C:C"),$A140,INDIRECT("'"&amp;'Template Setup'!$C$6&amp;"'!A:A")),0))</f>
        <v/>
      </c>
      <c r="J140" s="12" t="str">
        <f ca="1">IF($A140="","",IFERROR(SUMIF(INDIRECT("'"&amp;'Template Setup'!$C$7&amp;"'!C:C"),$A140,INDIRECT("'"&amp;'Template Setup'!$C$7&amp;"'!A:A")),0))</f>
        <v/>
      </c>
      <c r="K140" s="12" t="str">
        <f ca="1">IF($A140="","",IFERROR(SUMIF(INDIRECT("'"&amp;'Template Setup'!$C$8&amp;"'!C:C"),$A140,INDIRECT("'"&amp;'Template Setup'!$C$8&amp;"'!A:A")),0))</f>
        <v/>
      </c>
      <c r="L140" s="11" t="str">
        <f>IF($A140="","",IFERROR(VALUE(MID(TRIM('Template Setup'!$C$4),FIND("-",TRIM('Template Setup'!$C$4))+1,10)),0))</f>
        <v/>
      </c>
      <c r="M140" s="11" t="str">
        <f>IF($A140="","",IFERROR(VALUE(MID(TRIM('Template Setup'!$C$5),FIND("-",TRIM('Template Setup'!$C$5))+1,10)),0))</f>
        <v/>
      </c>
      <c r="N140" s="11" t="str">
        <f>IF($A140="","",IFERROR(VALUE(MID(TRIM('Template Setup'!$C$6),FIND("-",TRIM('Template Setup'!$C$6))+1,10)),0))</f>
        <v/>
      </c>
      <c r="O140" s="11" t="str">
        <f>IF($A140="","",IFERROR(VALUE(MID(TRIM('Template Setup'!$C$7),FIND("-",TRIM('Template Setup'!$C$7))+1,10)),0))</f>
        <v/>
      </c>
      <c r="P140" s="11" t="str">
        <f>IF($A140="","",IFERROR(VALUE(MID(TRIM('Template Setup'!$C$8),FIND("-",TRIM('Template Setup'!$C$8))+1,10)),0))</f>
        <v/>
      </c>
      <c r="Q140" s="9" t="str">
        <f>IF($A140="","",$A140&amp;"-"&amp;'Template Setup'!$C$16)</f>
        <v/>
      </c>
      <c r="R140" s="24" t="str">
        <f t="shared" si="9"/>
        <v/>
      </c>
      <c r="S140" s="24"/>
      <c r="T140" s="24" t="str">
        <f t="shared" si="10"/>
        <v/>
      </c>
      <c r="U140" s="6" t="str">
        <f t="shared" si="8"/>
        <v/>
      </c>
    </row>
    <row r="141" spans="1:21">
      <c r="A141" s="11"/>
      <c r="B141" s="11"/>
      <c r="C141" s="11"/>
      <c r="D141" s="11" t="str">
        <f>IF($A141="","",_xlfn.TEXTJOIN(", ",TRUE,IF($G141&gt;0,'Template Setup'!$C$4,""),IF($H141&gt;0,'Template Setup'!$C$5,""),IF($I141&gt;0,'Template Setup'!$C$6,""),IF($J141&gt;0,'Template Setup'!$C$7,""),IF($K141&gt;0,'Template Setup'!$C$8,"")))</f>
        <v/>
      </c>
      <c r="E141" s="6" t="str" cm="1">
        <f t="array" ref="E141">IF($A141="","",_xlfn.LET(_xlpm.sheets,CHOOSE({1,2,3,4,5},'Template Setup'!$C$4,'Template Setup'!$C$5,'Template Setup'!$C$6,'Template Setup'!$C$7,'Template Setup'!$C$8),_xlpm.nums,CHOOSE({1,2,3,4,5},$L141,$M141,$N141,$O141,$P141),_xlpm.qtys,CHOOSE({1,2,3,4,5},$G141,$H141,$I141,$J141,$K141),_xlpm.validNums,_xlfn._xlws.FILTER(_xlpm.nums,_xlpm.qtys&gt;0),_xlpm.validSheets,_xlfn._xlws.FILTER(_xlpm.sheets,_xlpm.qtys&gt;0),_xlpm.mx,IFERROR(MAX(_xlpm.validNums),0),IF(_xlpm.mx=0,"",INDEX(_xlpm.validSheets,MATCH(_xlpm.mx,_xlpm.validNums,0))&amp;" (+"&amp;$R141&amp;")")))</f>
        <v/>
      </c>
      <c r="F141" s="11" t="str">
        <f t="shared" si="11"/>
        <v/>
      </c>
      <c r="G141" s="12" t="str">
        <f ca="1">IF($A141="","",IFERROR(SUMIF(INDIRECT("'"&amp;'Template Setup'!$C$4&amp;"'!C:C"),$A141,INDIRECT("'"&amp;'Template Setup'!$C$4&amp;"'!A:A")),0))</f>
        <v/>
      </c>
      <c r="H141" s="12" t="str">
        <f ca="1">IF($A141="","",IFERROR(SUMIF(INDIRECT("'"&amp;'Template Setup'!$C$5&amp;"'!C:C"),$A141,INDIRECT("'"&amp;'Template Setup'!$C$5&amp;"'!A:A")),0))</f>
        <v/>
      </c>
      <c r="I141" s="12" t="str">
        <f ca="1">IF($A141="","",IFERROR(SUMIF(INDIRECT("'"&amp;'Template Setup'!$C$6&amp;"'!C:C"),$A141,INDIRECT("'"&amp;'Template Setup'!$C$6&amp;"'!A:A")),0))</f>
        <v/>
      </c>
      <c r="J141" s="12" t="str">
        <f ca="1">IF($A141="","",IFERROR(SUMIF(INDIRECT("'"&amp;'Template Setup'!$C$7&amp;"'!C:C"),$A141,INDIRECT("'"&amp;'Template Setup'!$C$7&amp;"'!A:A")),0))</f>
        <v/>
      </c>
      <c r="K141" s="12" t="str">
        <f ca="1">IF($A141="","",IFERROR(SUMIF(INDIRECT("'"&amp;'Template Setup'!$C$8&amp;"'!C:C"),$A141,INDIRECT("'"&amp;'Template Setup'!$C$8&amp;"'!A:A")),0))</f>
        <v/>
      </c>
      <c r="L141" s="11" t="str">
        <f>IF($A141="","",IFERROR(VALUE(MID(TRIM('Template Setup'!$C$4),FIND("-",TRIM('Template Setup'!$C$4))+1,10)),0))</f>
        <v/>
      </c>
      <c r="M141" s="11" t="str">
        <f>IF($A141="","",IFERROR(VALUE(MID(TRIM('Template Setup'!$C$5),FIND("-",TRIM('Template Setup'!$C$5))+1,10)),0))</f>
        <v/>
      </c>
      <c r="N141" s="11" t="str">
        <f>IF($A141="","",IFERROR(VALUE(MID(TRIM('Template Setup'!$C$6),FIND("-",TRIM('Template Setup'!$C$6))+1,10)),0))</f>
        <v/>
      </c>
      <c r="O141" s="11" t="str">
        <f>IF($A141="","",IFERROR(VALUE(MID(TRIM('Template Setup'!$C$7),FIND("-",TRIM('Template Setup'!$C$7))+1,10)),0))</f>
        <v/>
      </c>
      <c r="P141" s="11" t="str">
        <f>IF($A141="","",IFERROR(VALUE(MID(TRIM('Template Setup'!$C$8),FIND("-",TRIM('Template Setup'!$C$8))+1,10)),0))</f>
        <v/>
      </c>
      <c r="Q141" s="9" t="str">
        <f>IF($A141="","",$A141&amp;"-"&amp;'Template Setup'!$C$16)</f>
        <v/>
      </c>
      <c r="R141" s="24" t="str">
        <f t="shared" si="9"/>
        <v/>
      </c>
      <c r="S141" s="24"/>
      <c r="T141" s="24" t="str">
        <f t="shared" si="10"/>
        <v/>
      </c>
      <c r="U141" s="6" t="str">
        <f t="shared" si="8"/>
        <v/>
      </c>
    </row>
    <row r="142" spans="1:21">
      <c r="A142" s="11"/>
      <c r="B142" s="11"/>
      <c r="C142" s="11"/>
      <c r="D142" s="11" t="str">
        <f>IF($A142="","",_xlfn.TEXTJOIN(", ",TRUE,IF($G142&gt;0,'Template Setup'!$C$4,""),IF($H142&gt;0,'Template Setup'!$C$5,""),IF($I142&gt;0,'Template Setup'!$C$6,""),IF($J142&gt;0,'Template Setup'!$C$7,""),IF($K142&gt;0,'Template Setup'!$C$8,"")))</f>
        <v/>
      </c>
      <c r="E142" s="6" t="str" cm="1">
        <f t="array" ref="E142">IF($A142="","",_xlfn.LET(_xlpm.sheets,CHOOSE({1,2,3,4,5},'Template Setup'!$C$4,'Template Setup'!$C$5,'Template Setup'!$C$6,'Template Setup'!$C$7,'Template Setup'!$C$8),_xlpm.nums,CHOOSE({1,2,3,4,5},$L142,$M142,$N142,$O142,$P142),_xlpm.qtys,CHOOSE({1,2,3,4,5},$G142,$H142,$I142,$J142,$K142),_xlpm.validNums,_xlfn._xlws.FILTER(_xlpm.nums,_xlpm.qtys&gt;0),_xlpm.validSheets,_xlfn._xlws.FILTER(_xlpm.sheets,_xlpm.qtys&gt;0),_xlpm.mx,IFERROR(MAX(_xlpm.validNums),0),IF(_xlpm.mx=0,"",INDEX(_xlpm.validSheets,MATCH(_xlpm.mx,_xlpm.validNums,0))&amp;" (+"&amp;$R142&amp;")")))</f>
        <v/>
      </c>
      <c r="F142" s="11" t="str">
        <f t="shared" si="11"/>
        <v/>
      </c>
      <c r="G142" s="12" t="str">
        <f ca="1">IF($A142="","",IFERROR(SUMIF(INDIRECT("'"&amp;'Template Setup'!$C$4&amp;"'!C:C"),$A142,INDIRECT("'"&amp;'Template Setup'!$C$4&amp;"'!A:A")),0))</f>
        <v/>
      </c>
      <c r="H142" s="12" t="str">
        <f ca="1">IF($A142="","",IFERROR(SUMIF(INDIRECT("'"&amp;'Template Setup'!$C$5&amp;"'!C:C"),$A142,INDIRECT("'"&amp;'Template Setup'!$C$5&amp;"'!A:A")),0))</f>
        <v/>
      </c>
      <c r="I142" s="12" t="str">
        <f ca="1">IF($A142="","",IFERROR(SUMIF(INDIRECT("'"&amp;'Template Setup'!$C$6&amp;"'!C:C"),$A142,INDIRECT("'"&amp;'Template Setup'!$C$6&amp;"'!A:A")),0))</f>
        <v/>
      </c>
      <c r="J142" s="12" t="str">
        <f ca="1">IF($A142="","",IFERROR(SUMIF(INDIRECT("'"&amp;'Template Setup'!$C$7&amp;"'!C:C"),$A142,INDIRECT("'"&amp;'Template Setup'!$C$7&amp;"'!A:A")),0))</f>
        <v/>
      </c>
      <c r="K142" s="12" t="str">
        <f ca="1">IF($A142="","",IFERROR(SUMIF(INDIRECT("'"&amp;'Template Setup'!$C$8&amp;"'!C:C"),$A142,INDIRECT("'"&amp;'Template Setup'!$C$8&amp;"'!A:A")),0))</f>
        <v/>
      </c>
      <c r="L142" s="11" t="str">
        <f>IF($A142="","",IFERROR(VALUE(MID(TRIM('Template Setup'!$C$4),FIND("-",TRIM('Template Setup'!$C$4))+1,10)),0))</f>
        <v/>
      </c>
      <c r="M142" s="11" t="str">
        <f>IF($A142="","",IFERROR(VALUE(MID(TRIM('Template Setup'!$C$5),FIND("-",TRIM('Template Setup'!$C$5))+1,10)),0))</f>
        <v/>
      </c>
      <c r="N142" s="11" t="str">
        <f>IF($A142="","",IFERROR(VALUE(MID(TRIM('Template Setup'!$C$6),FIND("-",TRIM('Template Setup'!$C$6))+1,10)),0))</f>
        <v/>
      </c>
      <c r="O142" s="11" t="str">
        <f>IF($A142="","",IFERROR(VALUE(MID(TRIM('Template Setup'!$C$7),FIND("-",TRIM('Template Setup'!$C$7))+1,10)),0))</f>
        <v/>
      </c>
      <c r="P142" s="11" t="str">
        <f>IF($A142="","",IFERROR(VALUE(MID(TRIM('Template Setup'!$C$8),FIND("-",TRIM('Template Setup'!$C$8))+1,10)),0))</f>
        <v/>
      </c>
      <c r="Q142" s="9" t="str">
        <f>IF($A142="","",$A142&amp;"-"&amp;'Template Setup'!$C$16)</f>
        <v/>
      </c>
      <c r="R142" s="24" t="str">
        <f t="shared" si="9"/>
        <v/>
      </c>
      <c r="S142" s="24"/>
      <c r="T142" s="24" t="str">
        <f t="shared" si="10"/>
        <v/>
      </c>
      <c r="U142" s="6" t="str">
        <f t="shared" si="8"/>
        <v/>
      </c>
    </row>
    <row r="143" spans="1:21">
      <c r="A143" s="11"/>
      <c r="B143" s="11"/>
      <c r="C143" s="11"/>
      <c r="D143" s="11" t="str">
        <f>IF($A143="","",_xlfn.TEXTJOIN(", ",TRUE,IF($G143&gt;0,'Template Setup'!$C$4,""),IF($H143&gt;0,'Template Setup'!$C$5,""),IF($I143&gt;0,'Template Setup'!$C$6,""),IF($J143&gt;0,'Template Setup'!$C$7,""),IF($K143&gt;0,'Template Setup'!$C$8,"")))</f>
        <v/>
      </c>
      <c r="E143" s="6" t="str" cm="1">
        <f t="array" ref="E143">IF($A143="","",_xlfn.LET(_xlpm.sheets,CHOOSE({1,2,3,4,5},'Template Setup'!$C$4,'Template Setup'!$C$5,'Template Setup'!$C$6,'Template Setup'!$C$7,'Template Setup'!$C$8),_xlpm.nums,CHOOSE({1,2,3,4,5},$L143,$M143,$N143,$O143,$P143),_xlpm.qtys,CHOOSE({1,2,3,4,5},$G143,$H143,$I143,$J143,$K143),_xlpm.validNums,_xlfn._xlws.FILTER(_xlpm.nums,_xlpm.qtys&gt;0),_xlpm.validSheets,_xlfn._xlws.FILTER(_xlpm.sheets,_xlpm.qtys&gt;0),_xlpm.mx,IFERROR(MAX(_xlpm.validNums),0),IF(_xlpm.mx=0,"",INDEX(_xlpm.validSheets,MATCH(_xlpm.mx,_xlpm.validNums,0))&amp;" (+"&amp;$R143&amp;")")))</f>
        <v/>
      </c>
      <c r="F143" s="11" t="str">
        <f t="shared" si="11"/>
        <v/>
      </c>
      <c r="G143" s="12" t="str">
        <f ca="1">IF($A143="","",IFERROR(SUMIF(INDIRECT("'"&amp;'Template Setup'!$C$4&amp;"'!C:C"),$A143,INDIRECT("'"&amp;'Template Setup'!$C$4&amp;"'!A:A")),0))</f>
        <v/>
      </c>
      <c r="H143" s="12" t="str">
        <f ca="1">IF($A143="","",IFERROR(SUMIF(INDIRECT("'"&amp;'Template Setup'!$C$5&amp;"'!C:C"),$A143,INDIRECT("'"&amp;'Template Setup'!$C$5&amp;"'!A:A")),0))</f>
        <v/>
      </c>
      <c r="I143" s="12" t="str">
        <f ca="1">IF($A143="","",IFERROR(SUMIF(INDIRECT("'"&amp;'Template Setup'!$C$6&amp;"'!C:C"),$A143,INDIRECT("'"&amp;'Template Setup'!$C$6&amp;"'!A:A")),0))</f>
        <v/>
      </c>
      <c r="J143" s="12" t="str">
        <f ca="1">IF($A143="","",IFERROR(SUMIF(INDIRECT("'"&amp;'Template Setup'!$C$7&amp;"'!C:C"),$A143,INDIRECT("'"&amp;'Template Setup'!$C$7&amp;"'!A:A")),0))</f>
        <v/>
      </c>
      <c r="K143" s="12" t="str">
        <f ca="1">IF($A143="","",IFERROR(SUMIF(INDIRECT("'"&amp;'Template Setup'!$C$8&amp;"'!C:C"),$A143,INDIRECT("'"&amp;'Template Setup'!$C$8&amp;"'!A:A")),0))</f>
        <v/>
      </c>
      <c r="L143" s="11" t="str">
        <f>IF($A143="","",IFERROR(VALUE(MID(TRIM('Template Setup'!$C$4),FIND("-",TRIM('Template Setup'!$C$4))+1,10)),0))</f>
        <v/>
      </c>
      <c r="M143" s="11" t="str">
        <f>IF($A143="","",IFERROR(VALUE(MID(TRIM('Template Setup'!$C$5),FIND("-",TRIM('Template Setup'!$C$5))+1,10)),0))</f>
        <v/>
      </c>
      <c r="N143" s="11" t="str">
        <f>IF($A143="","",IFERROR(VALUE(MID(TRIM('Template Setup'!$C$6),FIND("-",TRIM('Template Setup'!$C$6))+1,10)),0))</f>
        <v/>
      </c>
      <c r="O143" s="11" t="str">
        <f>IF($A143="","",IFERROR(VALUE(MID(TRIM('Template Setup'!$C$7),FIND("-",TRIM('Template Setup'!$C$7))+1,10)),0))</f>
        <v/>
      </c>
      <c r="P143" s="11" t="str">
        <f>IF($A143="","",IFERROR(VALUE(MID(TRIM('Template Setup'!$C$8),FIND("-",TRIM('Template Setup'!$C$8))+1,10)),0))</f>
        <v/>
      </c>
      <c r="Q143" s="9" t="str">
        <f>IF($A143="","",$A143&amp;"-"&amp;'Template Setup'!$C$16)</f>
        <v/>
      </c>
      <c r="R143" s="24" t="str">
        <f t="shared" si="9"/>
        <v/>
      </c>
      <c r="S143" s="24"/>
      <c r="T143" s="24" t="str">
        <f t="shared" si="10"/>
        <v/>
      </c>
      <c r="U143" s="6" t="str">
        <f t="shared" si="8"/>
        <v/>
      </c>
    </row>
    <row r="144" spans="1:21">
      <c r="A144" s="11"/>
      <c r="B144" s="11"/>
      <c r="C144" s="11"/>
      <c r="D144" s="11" t="str">
        <f>IF($A144="","",_xlfn.TEXTJOIN(", ",TRUE,IF($G144&gt;0,'Template Setup'!$C$4,""),IF($H144&gt;0,'Template Setup'!$C$5,""),IF($I144&gt;0,'Template Setup'!$C$6,""),IF($J144&gt;0,'Template Setup'!$C$7,""),IF($K144&gt;0,'Template Setup'!$C$8,"")))</f>
        <v/>
      </c>
      <c r="E144" s="6" t="str" cm="1">
        <f t="array" ref="E144">IF($A144="","",_xlfn.LET(_xlpm.sheets,CHOOSE({1,2,3,4,5},'Template Setup'!$C$4,'Template Setup'!$C$5,'Template Setup'!$C$6,'Template Setup'!$C$7,'Template Setup'!$C$8),_xlpm.nums,CHOOSE({1,2,3,4,5},$L144,$M144,$N144,$O144,$P144),_xlpm.qtys,CHOOSE({1,2,3,4,5},$G144,$H144,$I144,$J144,$K144),_xlpm.validNums,_xlfn._xlws.FILTER(_xlpm.nums,_xlpm.qtys&gt;0),_xlpm.validSheets,_xlfn._xlws.FILTER(_xlpm.sheets,_xlpm.qtys&gt;0),_xlpm.mx,IFERROR(MAX(_xlpm.validNums),0),IF(_xlpm.mx=0,"",INDEX(_xlpm.validSheets,MATCH(_xlpm.mx,_xlpm.validNums,0))&amp;" (+"&amp;$R144&amp;")")))</f>
        <v/>
      </c>
      <c r="F144" s="11" t="str">
        <f t="shared" si="11"/>
        <v/>
      </c>
      <c r="G144" s="12" t="str">
        <f ca="1">IF($A144="","",IFERROR(SUMIF(INDIRECT("'"&amp;'Template Setup'!$C$4&amp;"'!C:C"),$A144,INDIRECT("'"&amp;'Template Setup'!$C$4&amp;"'!A:A")),0))</f>
        <v/>
      </c>
      <c r="H144" s="12" t="str">
        <f ca="1">IF($A144="","",IFERROR(SUMIF(INDIRECT("'"&amp;'Template Setup'!$C$5&amp;"'!C:C"),$A144,INDIRECT("'"&amp;'Template Setup'!$C$5&amp;"'!A:A")),0))</f>
        <v/>
      </c>
      <c r="I144" s="12" t="str">
        <f ca="1">IF($A144="","",IFERROR(SUMIF(INDIRECT("'"&amp;'Template Setup'!$C$6&amp;"'!C:C"),$A144,INDIRECT("'"&amp;'Template Setup'!$C$6&amp;"'!A:A")),0))</f>
        <v/>
      </c>
      <c r="J144" s="12" t="str">
        <f ca="1">IF($A144="","",IFERROR(SUMIF(INDIRECT("'"&amp;'Template Setup'!$C$7&amp;"'!C:C"),$A144,INDIRECT("'"&amp;'Template Setup'!$C$7&amp;"'!A:A")),0))</f>
        <v/>
      </c>
      <c r="K144" s="12" t="str">
        <f ca="1">IF($A144="","",IFERROR(SUMIF(INDIRECT("'"&amp;'Template Setup'!$C$8&amp;"'!C:C"),$A144,INDIRECT("'"&amp;'Template Setup'!$C$8&amp;"'!A:A")),0))</f>
        <v/>
      </c>
      <c r="L144" s="11" t="str">
        <f>IF($A144="","",IFERROR(VALUE(MID(TRIM('Template Setup'!$C$4),FIND("-",TRIM('Template Setup'!$C$4))+1,10)),0))</f>
        <v/>
      </c>
      <c r="M144" s="11" t="str">
        <f>IF($A144="","",IFERROR(VALUE(MID(TRIM('Template Setup'!$C$5),FIND("-",TRIM('Template Setup'!$C$5))+1,10)),0))</f>
        <v/>
      </c>
      <c r="N144" s="11" t="str">
        <f>IF($A144="","",IFERROR(VALUE(MID(TRIM('Template Setup'!$C$6),FIND("-",TRIM('Template Setup'!$C$6))+1,10)),0))</f>
        <v/>
      </c>
      <c r="O144" s="11" t="str">
        <f>IF($A144="","",IFERROR(VALUE(MID(TRIM('Template Setup'!$C$7),FIND("-",TRIM('Template Setup'!$C$7))+1,10)),0))</f>
        <v/>
      </c>
      <c r="P144" s="11" t="str">
        <f>IF($A144="","",IFERROR(VALUE(MID(TRIM('Template Setup'!$C$8),FIND("-",TRIM('Template Setup'!$C$8))+1,10)),0))</f>
        <v/>
      </c>
      <c r="Q144" s="9" t="str">
        <f>IF($A144="","",$A144&amp;"-"&amp;'Template Setup'!$C$16)</f>
        <v/>
      </c>
      <c r="R144" s="24" t="str">
        <f t="shared" si="9"/>
        <v/>
      </c>
      <c r="S144" s="24"/>
      <c r="T144" s="24" t="str">
        <f t="shared" si="10"/>
        <v/>
      </c>
      <c r="U144" s="6" t="str">
        <f t="shared" si="8"/>
        <v/>
      </c>
    </row>
    <row r="145" spans="1:21">
      <c r="A145" s="11"/>
      <c r="B145" s="11"/>
      <c r="C145" s="11"/>
      <c r="D145" s="11" t="str">
        <f>IF($A145="","",_xlfn.TEXTJOIN(", ",TRUE,IF($G145&gt;0,'Template Setup'!$C$4,""),IF($H145&gt;0,'Template Setup'!$C$5,""),IF($I145&gt;0,'Template Setup'!$C$6,""),IF($J145&gt;0,'Template Setup'!$C$7,""),IF($K145&gt;0,'Template Setup'!$C$8,"")))</f>
        <v/>
      </c>
      <c r="E145" s="6" t="str" cm="1">
        <f t="array" ref="E145">IF($A145="","",_xlfn.LET(_xlpm.sheets,CHOOSE({1,2,3,4,5},'Template Setup'!$C$4,'Template Setup'!$C$5,'Template Setup'!$C$6,'Template Setup'!$C$7,'Template Setup'!$C$8),_xlpm.nums,CHOOSE({1,2,3,4,5},$L145,$M145,$N145,$O145,$P145),_xlpm.qtys,CHOOSE({1,2,3,4,5},$G145,$H145,$I145,$J145,$K145),_xlpm.validNums,_xlfn._xlws.FILTER(_xlpm.nums,_xlpm.qtys&gt;0),_xlpm.validSheets,_xlfn._xlws.FILTER(_xlpm.sheets,_xlpm.qtys&gt;0),_xlpm.mx,IFERROR(MAX(_xlpm.validNums),0),IF(_xlpm.mx=0,"",INDEX(_xlpm.validSheets,MATCH(_xlpm.mx,_xlpm.validNums,0))&amp;" (+"&amp;$R145&amp;")")))</f>
        <v/>
      </c>
      <c r="F145" s="11" t="str">
        <f t="shared" si="11"/>
        <v/>
      </c>
      <c r="G145" s="12" t="str">
        <f ca="1">IF($A145="","",IFERROR(SUMIF(INDIRECT("'"&amp;'Template Setup'!$C$4&amp;"'!C:C"),$A145,INDIRECT("'"&amp;'Template Setup'!$C$4&amp;"'!A:A")),0))</f>
        <v/>
      </c>
      <c r="H145" s="12" t="str">
        <f ca="1">IF($A145="","",IFERROR(SUMIF(INDIRECT("'"&amp;'Template Setup'!$C$5&amp;"'!C:C"),$A145,INDIRECT("'"&amp;'Template Setup'!$C$5&amp;"'!A:A")),0))</f>
        <v/>
      </c>
      <c r="I145" s="12" t="str">
        <f ca="1">IF($A145="","",IFERROR(SUMIF(INDIRECT("'"&amp;'Template Setup'!$C$6&amp;"'!C:C"),$A145,INDIRECT("'"&amp;'Template Setup'!$C$6&amp;"'!A:A")),0))</f>
        <v/>
      </c>
      <c r="J145" s="12" t="str">
        <f ca="1">IF($A145="","",IFERROR(SUMIF(INDIRECT("'"&amp;'Template Setup'!$C$7&amp;"'!C:C"),$A145,INDIRECT("'"&amp;'Template Setup'!$C$7&amp;"'!A:A")),0))</f>
        <v/>
      </c>
      <c r="K145" s="12" t="str">
        <f ca="1">IF($A145="","",IFERROR(SUMIF(INDIRECT("'"&amp;'Template Setup'!$C$8&amp;"'!C:C"),$A145,INDIRECT("'"&amp;'Template Setup'!$C$8&amp;"'!A:A")),0))</f>
        <v/>
      </c>
      <c r="L145" s="11" t="str">
        <f>IF($A145="","",IFERROR(VALUE(MID(TRIM('Template Setup'!$C$4),FIND("-",TRIM('Template Setup'!$C$4))+1,10)),0))</f>
        <v/>
      </c>
      <c r="M145" s="11" t="str">
        <f>IF($A145="","",IFERROR(VALUE(MID(TRIM('Template Setup'!$C$5),FIND("-",TRIM('Template Setup'!$C$5))+1,10)),0))</f>
        <v/>
      </c>
      <c r="N145" s="11" t="str">
        <f>IF($A145="","",IFERROR(VALUE(MID(TRIM('Template Setup'!$C$6),FIND("-",TRIM('Template Setup'!$C$6))+1,10)),0))</f>
        <v/>
      </c>
      <c r="O145" s="11" t="str">
        <f>IF($A145="","",IFERROR(VALUE(MID(TRIM('Template Setup'!$C$7),FIND("-",TRIM('Template Setup'!$C$7))+1,10)),0))</f>
        <v/>
      </c>
      <c r="P145" s="11" t="str">
        <f>IF($A145="","",IFERROR(VALUE(MID(TRIM('Template Setup'!$C$8),FIND("-",TRIM('Template Setup'!$C$8))+1,10)),0))</f>
        <v/>
      </c>
      <c r="Q145" s="9" t="str">
        <f>IF($A145="","",$A145&amp;"-"&amp;'Template Setup'!$C$16)</f>
        <v/>
      </c>
      <c r="R145" s="24" t="str">
        <f t="shared" si="9"/>
        <v/>
      </c>
      <c r="S145" s="24"/>
      <c r="T145" s="24" t="str">
        <f t="shared" si="10"/>
        <v/>
      </c>
      <c r="U145" s="6" t="str">
        <f t="shared" si="8"/>
        <v/>
      </c>
    </row>
    <row r="146" spans="1:21">
      <c r="A146" s="11"/>
      <c r="B146" s="11"/>
      <c r="C146" s="11"/>
      <c r="D146" s="11" t="str">
        <f>IF($A146="","",_xlfn.TEXTJOIN(", ",TRUE,IF($G146&gt;0,'Template Setup'!$C$4,""),IF($H146&gt;0,'Template Setup'!$C$5,""),IF($I146&gt;0,'Template Setup'!$C$6,""),IF($J146&gt;0,'Template Setup'!$C$7,""),IF($K146&gt;0,'Template Setup'!$C$8,"")))</f>
        <v/>
      </c>
      <c r="E146" s="6" t="str" cm="1">
        <f t="array" ref="E146">IF($A146="","",_xlfn.LET(_xlpm.sheets,CHOOSE({1,2,3,4,5},'Template Setup'!$C$4,'Template Setup'!$C$5,'Template Setup'!$C$6,'Template Setup'!$C$7,'Template Setup'!$C$8),_xlpm.nums,CHOOSE({1,2,3,4,5},$L146,$M146,$N146,$O146,$P146),_xlpm.qtys,CHOOSE({1,2,3,4,5},$G146,$H146,$I146,$J146,$K146),_xlpm.validNums,_xlfn._xlws.FILTER(_xlpm.nums,_xlpm.qtys&gt;0),_xlpm.validSheets,_xlfn._xlws.FILTER(_xlpm.sheets,_xlpm.qtys&gt;0),_xlpm.mx,IFERROR(MAX(_xlpm.validNums),0),IF(_xlpm.mx=0,"",INDEX(_xlpm.validSheets,MATCH(_xlpm.mx,_xlpm.validNums,0))&amp;" (+"&amp;$R146&amp;")")))</f>
        <v/>
      </c>
      <c r="F146" s="11" t="str">
        <f t="shared" si="11"/>
        <v/>
      </c>
      <c r="G146" s="12" t="str">
        <f ca="1">IF($A146="","",IFERROR(SUMIF(INDIRECT("'"&amp;'Template Setup'!$C$4&amp;"'!C:C"),$A146,INDIRECT("'"&amp;'Template Setup'!$C$4&amp;"'!A:A")),0))</f>
        <v/>
      </c>
      <c r="H146" s="12" t="str">
        <f ca="1">IF($A146="","",IFERROR(SUMIF(INDIRECT("'"&amp;'Template Setup'!$C$5&amp;"'!C:C"),$A146,INDIRECT("'"&amp;'Template Setup'!$C$5&amp;"'!A:A")),0))</f>
        <v/>
      </c>
      <c r="I146" s="12" t="str">
        <f ca="1">IF($A146="","",IFERROR(SUMIF(INDIRECT("'"&amp;'Template Setup'!$C$6&amp;"'!C:C"),$A146,INDIRECT("'"&amp;'Template Setup'!$C$6&amp;"'!A:A")),0))</f>
        <v/>
      </c>
      <c r="J146" s="12" t="str">
        <f ca="1">IF($A146="","",IFERROR(SUMIF(INDIRECT("'"&amp;'Template Setup'!$C$7&amp;"'!C:C"),$A146,INDIRECT("'"&amp;'Template Setup'!$C$7&amp;"'!A:A")),0))</f>
        <v/>
      </c>
      <c r="K146" s="12" t="str">
        <f ca="1">IF($A146="","",IFERROR(SUMIF(INDIRECT("'"&amp;'Template Setup'!$C$8&amp;"'!C:C"),$A146,INDIRECT("'"&amp;'Template Setup'!$C$8&amp;"'!A:A")),0))</f>
        <v/>
      </c>
      <c r="L146" s="11" t="str">
        <f>IF($A146="","",IFERROR(VALUE(MID(TRIM('Template Setup'!$C$4),FIND("-",TRIM('Template Setup'!$C$4))+1,10)),0))</f>
        <v/>
      </c>
      <c r="M146" s="11" t="str">
        <f>IF($A146="","",IFERROR(VALUE(MID(TRIM('Template Setup'!$C$5),FIND("-",TRIM('Template Setup'!$C$5))+1,10)),0))</f>
        <v/>
      </c>
      <c r="N146" s="11" t="str">
        <f>IF($A146="","",IFERROR(VALUE(MID(TRIM('Template Setup'!$C$6),FIND("-",TRIM('Template Setup'!$C$6))+1,10)),0))</f>
        <v/>
      </c>
      <c r="O146" s="11" t="str">
        <f>IF($A146="","",IFERROR(VALUE(MID(TRIM('Template Setup'!$C$7),FIND("-",TRIM('Template Setup'!$C$7))+1,10)),0))</f>
        <v/>
      </c>
      <c r="P146" s="11" t="str">
        <f>IF($A146="","",IFERROR(VALUE(MID(TRIM('Template Setup'!$C$8),FIND("-",TRIM('Template Setup'!$C$8))+1,10)),0))</f>
        <v/>
      </c>
      <c r="Q146" s="9" t="str">
        <f>IF($A146="","",$A146&amp;"-"&amp;'Template Setup'!$C$16)</f>
        <v/>
      </c>
      <c r="R146" s="24" t="str">
        <f t="shared" si="9"/>
        <v/>
      </c>
      <c r="S146" s="24"/>
      <c r="T146" s="24" t="str">
        <f t="shared" si="10"/>
        <v/>
      </c>
      <c r="U146" s="6" t="str">
        <f t="shared" ref="U146:U209" si="12">IF($A146="","","☐")</f>
        <v/>
      </c>
    </row>
    <row r="147" spans="1:21">
      <c r="A147" s="11"/>
      <c r="B147" s="11"/>
      <c r="C147" s="11"/>
      <c r="D147" s="11" t="str">
        <f>IF($A147="","",_xlfn.TEXTJOIN(", ",TRUE,IF($G147&gt;0,'Template Setup'!$C$4,""),IF($H147&gt;0,'Template Setup'!$C$5,""),IF($I147&gt;0,'Template Setup'!$C$6,""),IF($J147&gt;0,'Template Setup'!$C$7,""),IF($K147&gt;0,'Template Setup'!$C$8,"")))</f>
        <v/>
      </c>
      <c r="E147" s="6" t="str" cm="1">
        <f t="array" ref="E147">IF($A147="","",_xlfn.LET(_xlpm.sheets,CHOOSE({1,2,3,4,5},'Template Setup'!$C$4,'Template Setup'!$C$5,'Template Setup'!$C$6,'Template Setup'!$C$7,'Template Setup'!$C$8),_xlpm.nums,CHOOSE({1,2,3,4,5},$L147,$M147,$N147,$O147,$P147),_xlpm.qtys,CHOOSE({1,2,3,4,5},$G147,$H147,$I147,$J147,$K147),_xlpm.validNums,_xlfn._xlws.FILTER(_xlpm.nums,_xlpm.qtys&gt;0),_xlpm.validSheets,_xlfn._xlws.FILTER(_xlpm.sheets,_xlpm.qtys&gt;0),_xlpm.mx,IFERROR(MAX(_xlpm.validNums),0),IF(_xlpm.mx=0,"",INDEX(_xlpm.validSheets,MATCH(_xlpm.mx,_xlpm.validNums,0))&amp;" (+"&amp;$R147&amp;")")))</f>
        <v/>
      </c>
      <c r="F147" s="11" t="str">
        <f t="shared" si="11"/>
        <v/>
      </c>
      <c r="G147" s="12" t="str">
        <f ca="1">IF($A147="","",IFERROR(SUMIF(INDIRECT("'"&amp;'Template Setup'!$C$4&amp;"'!C:C"),$A147,INDIRECT("'"&amp;'Template Setup'!$C$4&amp;"'!A:A")),0))</f>
        <v/>
      </c>
      <c r="H147" s="12" t="str">
        <f ca="1">IF($A147="","",IFERROR(SUMIF(INDIRECT("'"&amp;'Template Setup'!$C$5&amp;"'!C:C"),$A147,INDIRECT("'"&amp;'Template Setup'!$C$5&amp;"'!A:A")),0))</f>
        <v/>
      </c>
      <c r="I147" s="12" t="str">
        <f ca="1">IF($A147="","",IFERROR(SUMIF(INDIRECT("'"&amp;'Template Setup'!$C$6&amp;"'!C:C"),$A147,INDIRECT("'"&amp;'Template Setup'!$C$6&amp;"'!A:A")),0))</f>
        <v/>
      </c>
      <c r="J147" s="12" t="str">
        <f ca="1">IF($A147="","",IFERROR(SUMIF(INDIRECT("'"&amp;'Template Setup'!$C$7&amp;"'!C:C"),$A147,INDIRECT("'"&amp;'Template Setup'!$C$7&amp;"'!A:A")),0))</f>
        <v/>
      </c>
      <c r="K147" s="12" t="str">
        <f ca="1">IF($A147="","",IFERROR(SUMIF(INDIRECT("'"&amp;'Template Setup'!$C$8&amp;"'!C:C"),$A147,INDIRECT("'"&amp;'Template Setup'!$C$8&amp;"'!A:A")),0))</f>
        <v/>
      </c>
      <c r="L147" s="11" t="str">
        <f>IF($A147="","",IFERROR(VALUE(MID(TRIM('Template Setup'!$C$4),FIND("-",TRIM('Template Setup'!$C$4))+1,10)),0))</f>
        <v/>
      </c>
      <c r="M147" s="11" t="str">
        <f>IF($A147="","",IFERROR(VALUE(MID(TRIM('Template Setup'!$C$5),FIND("-",TRIM('Template Setup'!$C$5))+1,10)),0))</f>
        <v/>
      </c>
      <c r="N147" s="11" t="str">
        <f>IF($A147="","",IFERROR(VALUE(MID(TRIM('Template Setup'!$C$6),FIND("-",TRIM('Template Setup'!$C$6))+1,10)),0))</f>
        <v/>
      </c>
      <c r="O147" s="11" t="str">
        <f>IF($A147="","",IFERROR(VALUE(MID(TRIM('Template Setup'!$C$7),FIND("-",TRIM('Template Setup'!$C$7))+1,10)),0))</f>
        <v/>
      </c>
      <c r="P147" s="11" t="str">
        <f>IF($A147="","",IFERROR(VALUE(MID(TRIM('Template Setup'!$C$8),FIND("-",TRIM('Template Setup'!$C$8))+1,10)),0))</f>
        <v/>
      </c>
      <c r="Q147" s="9" t="str">
        <f>IF($A147="","",$A147&amp;"-"&amp;'Template Setup'!$C$16)</f>
        <v/>
      </c>
      <c r="R147" s="24" t="str">
        <f t="shared" si="9"/>
        <v/>
      </c>
      <c r="S147" s="24"/>
      <c r="T147" s="24" t="str">
        <f t="shared" si="10"/>
        <v/>
      </c>
      <c r="U147" s="6" t="str">
        <f t="shared" si="12"/>
        <v/>
      </c>
    </row>
    <row r="148" spans="1:21">
      <c r="A148" s="11"/>
      <c r="B148" s="11"/>
      <c r="C148" s="11"/>
      <c r="D148" s="11" t="str">
        <f>IF($A148="","",_xlfn.TEXTJOIN(", ",TRUE,IF($G148&gt;0,'Template Setup'!$C$4,""),IF($H148&gt;0,'Template Setup'!$C$5,""),IF($I148&gt;0,'Template Setup'!$C$6,""),IF($J148&gt;0,'Template Setup'!$C$7,""),IF($K148&gt;0,'Template Setup'!$C$8,"")))</f>
        <v/>
      </c>
      <c r="E148" s="6" t="str" cm="1">
        <f t="array" ref="E148">IF($A148="","",_xlfn.LET(_xlpm.sheets,CHOOSE({1,2,3,4,5},'Template Setup'!$C$4,'Template Setup'!$C$5,'Template Setup'!$C$6,'Template Setup'!$C$7,'Template Setup'!$C$8),_xlpm.nums,CHOOSE({1,2,3,4,5},$L148,$M148,$N148,$O148,$P148),_xlpm.qtys,CHOOSE({1,2,3,4,5},$G148,$H148,$I148,$J148,$K148),_xlpm.validNums,_xlfn._xlws.FILTER(_xlpm.nums,_xlpm.qtys&gt;0),_xlpm.validSheets,_xlfn._xlws.FILTER(_xlpm.sheets,_xlpm.qtys&gt;0),_xlpm.mx,IFERROR(MAX(_xlpm.validNums),0),IF(_xlpm.mx=0,"",INDEX(_xlpm.validSheets,MATCH(_xlpm.mx,_xlpm.validNums,0))&amp;" (+"&amp;$R148&amp;")")))</f>
        <v/>
      </c>
      <c r="F148" s="11" t="str">
        <f t="shared" si="11"/>
        <v/>
      </c>
      <c r="G148" s="12" t="str">
        <f ca="1">IF($A148="","",IFERROR(SUMIF(INDIRECT("'"&amp;'Template Setup'!$C$4&amp;"'!C:C"),$A148,INDIRECT("'"&amp;'Template Setup'!$C$4&amp;"'!A:A")),0))</f>
        <v/>
      </c>
      <c r="H148" s="12" t="str">
        <f ca="1">IF($A148="","",IFERROR(SUMIF(INDIRECT("'"&amp;'Template Setup'!$C$5&amp;"'!C:C"),$A148,INDIRECT("'"&amp;'Template Setup'!$C$5&amp;"'!A:A")),0))</f>
        <v/>
      </c>
      <c r="I148" s="12" t="str">
        <f ca="1">IF($A148="","",IFERROR(SUMIF(INDIRECT("'"&amp;'Template Setup'!$C$6&amp;"'!C:C"),$A148,INDIRECT("'"&amp;'Template Setup'!$C$6&amp;"'!A:A")),0))</f>
        <v/>
      </c>
      <c r="J148" s="12" t="str">
        <f ca="1">IF($A148="","",IFERROR(SUMIF(INDIRECT("'"&amp;'Template Setup'!$C$7&amp;"'!C:C"),$A148,INDIRECT("'"&amp;'Template Setup'!$C$7&amp;"'!A:A")),0))</f>
        <v/>
      </c>
      <c r="K148" s="12" t="str">
        <f ca="1">IF($A148="","",IFERROR(SUMIF(INDIRECT("'"&amp;'Template Setup'!$C$8&amp;"'!C:C"),$A148,INDIRECT("'"&amp;'Template Setup'!$C$8&amp;"'!A:A")),0))</f>
        <v/>
      </c>
      <c r="L148" s="11" t="str">
        <f>IF($A148="","",IFERROR(VALUE(MID(TRIM('Template Setup'!$C$4),FIND("-",TRIM('Template Setup'!$C$4))+1,10)),0))</f>
        <v/>
      </c>
      <c r="M148" s="11" t="str">
        <f>IF($A148="","",IFERROR(VALUE(MID(TRIM('Template Setup'!$C$5),FIND("-",TRIM('Template Setup'!$C$5))+1,10)),0))</f>
        <v/>
      </c>
      <c r="N148" s="11" t="str">
        <f>IF($A148="","",IFERROR(VALUE(MID(TRIM('Template Setup'!$C$6),FIND("-",TRIM('Template Setup'!$C$6))+1,10)),0))</f>
        <v/>
      </c>
      <c r="O148" s="11" t="str">
        <f>IF($A148="","",IFERROR(VALUE(MID(TRIM('Template Setup'!$C$7),FIND("-",TRIM('Template Setup'!$C$7))+1,10)),0))</f>
        <v/>
      </c>
      <c r="P148" s="11" t="str">
        <f>IF($A148="","",IFERROR(VALUE(MID(TRIM('Template Setup'!$C$8),FIND("-",TRIM('Template Setup'!$C$8))+1,10)),0))</f>
        <v/>
      </c>
      <c r="Q148" s="9" t="str">
        <f>IF($A148="","",$A148&amp;"-"&amp;'Template Setup'!$C$16)</f>
        <v/>
      </c>
      <c r="R148" s="24" t="str">
        <f t="shared" si="9"/>
        <v/>
      </c>
      <c r="S148" s="24"/>
      <c r="T148" s="24" t="str">
        <f t="shared" si="10"/>
        <v/>
      </c>
      <c r="U148" s="6" t="str">
        <f t="shared" si="12"/>
        <v/>
      </c>
    </row>
    <row r="149" spans="1:21">
      <c r="A149" s="11"/>
      <c r="B149" s="11"/>
      <c r="C149" s="11"/>
      <c r="D149" s="11" t="str">
        <f>IF($A149="","",_xlfn.TEXTJOIN(", ",TRUE,IF($G149&gt;0,'Template Setup'!$C$4,""),IF($H149&gt;0,'Template Setup'!$C$5,""),IF($I149&gt;0,'Template Setup'!$C$6,""),IF($J149&gt;0,'Template Setup'!$C$7,""),IF($K149&gt;0,'Template Setup'!$C$8,"")))</f>
        <v/>
      </c>
      <c r="E149" s="6" t="str" cm="1">
        <f t="array" ref="E149">IF($A149="","",_xlfn.LET(_xlpm.sheets,CHOOSE({1,2,3,4,5},'Template Setup'!$C$4,'Template Setup'!$C$5,'Template Setup'!$C$6,'Template Setup'!$C$7,'Template Setup'!$C$8),_xlpm.nums,CHOOSE({1,2,3,4,5},$L149,$M149,$N149,$O149,$P149),_xlpm.qtys,CHOOSE({1,2,3,4,5},$G149,$H149,$I149,$J149,$K149),_xlpm.validNums,_xlfn._xlws.FILTER(_xlpm.nums,_xlpm.qtys&gt;0),_xlpm.validSheets,_xlfn._xlws.FILTER(_xlpm.sheets,_xlpm.qtys&gt;0),_xlpm.mx,IFERROR(MAX(_xlpm.validNums),0),IF(_xlpm.mx=0,"",INDEX(_xlpm.validSheets,MATCH(_xlpm.mx,_xlpm.validNums,0))&amp;" (+"&amp;$R149&amp;")")))</f>
        <v/>
      </c>
      <c r="F149" s="11" t="str">
        <f t="shared" si="11"/>
        <v/>
      </c>
      <c r="G149" s="12" t="str">
        <f ca="1">IF($A149="","",IFERROR(SUMIF(INDIRECT("'"&amp;'Template Setup'!$C$4&amp;"'!C:C"),$A149,INDIRECT("'"&amp;'Template Setup'!$C$4&amp;"'!A:A")),0))</f>
        <v/>
      </c>
      <c r="H149" s="12" t="str">
        <f ca="1">IF($A149="","",IFERROR(SUMIF(INDIRECT("'"&amp;'Template Setup'!$C$5&amp;"'!C:C"),$A149,INDIRECT("'"&amp;'Template Setup'!$C$5&amp;"'!A:A")),0))</f>
        <v/>
      </c>
      <c r="I149" s="12" t="str">
        <f ca="1">IF($A149="","",IFERROR(SUMIF(INDIRECT("'"&amp;'Template Setup'!$C$6&amp;"'!C:C"),$A149,INDIRECT("'"&amp;'Template Setup'!$C$6&amp;"'!A:A")),0))</f>
        <v/>
      </c>
      <c r="J149" s="12" t="str">
        <f ca="1">IF($A149="","",IFERROR(SUMIF(INDIRECT("'"&amp;'Template Setup'!$C$7&amp;"'!C:C"),$A149,INDIRECT("'"&amp;'Template Setup'!$C$7&amp;"'!A:A")),0))</f>
        <v/>
      </c>
      <c r="K149" s="12" t="str">
        <f ca="1">IF($A149="","",IFERROR(SUMIF(INDIRECT("'"&amp;'Template Setup'!$C$8&amp;"'!C:C"),$A149,INDIRECT("'"&amp;'Template Setup'!$C$8&amp;"'!A:A")),0))</f>
        <v/>
      </c>
      <c r="L149" s="11" t="str">
        <f>IF($A149="","",IFERROR(VALUE(MID(TRIM('Template Setup'!$C$4),FIND("-",TRIM('Template Setup'!$C$4))+1,10)),0))</f>
        <v/>
      </c>
      <c r="M149" s="11" t="str">
        <f>IF($A149="","",IFERROR(VALUE(MID(TRIM('Template Setup'!$C$5),FIND("-",TRIM('Template Setup'!$C$5))+1,10)),0))</f>
        <v/>
      </c>
      <c r="N149" s="11" t="str">
        <f>IF($A149="","",IFERROR(VALUE(MID(TRIM('Template Setup'!$C$6),FIND("-",TRIM('Template Setup'!$C$6))+1,10)),0))</f>
        <v/>
      </c>
      <c r="O149" s="11" t="str">
        <f>IF($A149="","",IFERROR(VALUE(MID(TRIM('Template Setup'!$C$7),FIND("-",TRIM('Template Setup'!$C$7))+1,10)),0))</f>
        <v/>
      </c>
      <c r="P149" s="11" t="str">
        <f>IF($A149="","",IFERROR(VALUE(MID(TRIM('Template Setup'!$C$8),FIND("-",TRIM('Template Setup'!$C$8))+1,10)),0))</f>
        <v/>
      </c>
      <c r="Q149" s="9" t="str">
        <f>IF($A149="","",$A149&amp;"-"&amp;'Template Setup'!$C$16)</f>
        <v/>
      </c>
      <c r="R149" s="24" t="str">
        <f t="shared" si="9"/>
        <v/>
      </c>
      <c r="S149" s="24"/>
      <c r="T149" s="24" t="str">
        <f t="shared" si="10"/>
        <v/>
      </c>
      <c r="U149" s="6" t="str">
        <f t="shared" si="12"/>
        <v/>
      </c>
    </row>
    <row r="150" spans="1:21">
      <c r="A150" s="11"/>
      <c r="B150" s="11"/>
      <c r="C150" s="11"/>
      <c r="D150" s="11" t="str">
        <f>IF($A150="","",_xlfn.TEXTJOIN(", ",TRUE,IF($G150&gt;0,'Template Setup'!$C$4,""),IF($H150&gt;0,'Template Setup'!$C$5,""),IF($I150&gt;0,'Template Setup'!$C$6,""),IF($J150&gt;0,'Template Setup'!$C$7,""),IF($K150&gt;0,'Template Setup'!$C$8,"")))</f>
        <v/>
      </c>
      <c r="E150" s="6" t="str" cm="1">
        <f t="array" ref="E150">IF($A150="","",_xlfn.LET(_xlpm.sheets,CHOOSE({1,2,3,4,5},'Template Setup'!$C$4,'Template Setup'!$C$5,'Template Setup'!$C$6,'Template Setup'!$C$7,'Template Setup'!$C$8),_xlpm.nums,CHOOSE({1,2,3,4,5},$L150,$M150,$N150,$O150,$P150),_xlpm.qtys,CHOOSE({1,2,3,4,5},$G150,$H150,$I150,$J150,$K150),_xlpm.validNums,_xlfn._xlws.FILTER(_xlpm.nums,_xlpm.qtys&gt;0),_xlpm.validSheets,_xlfn._xlws.FILTER(_xlpm.sheets,_xlpm.qtys&gt;0),_xlpm.mx,IFERROR(MAX(_xlpm.validNums),0),IF(_xlpm.mx=0,"",INDEX(_xlpm.validSheets,MATCH(_xlpm.mx,_xlpm.validNums,0))&amp;" (+"&amp;$R150&amp;")")))</f>
        <v/>
      </c>
      <c r="F150" s="11" t="str">
        <f t="shared" si="11"/>
        <v/>
      </c>
      <c r="G150" s="12" t="str">
        <f ca="1">IF($A150="","",IFERROR(SUMIF(INDIRECT("'"&amp;'Template Setup'!$C$4&amp;"'!C:C"),$A150,INDIRECT("'"&amp;'Template Setup'!$C$4&amp;"'!A:A")),0))</f>
        <v/>
      </c>
      <c r="H150" s="12" t="str">
        <f ca="1">IF($A150="","",IFERROR(SUMIF(INDIRECT("'"&amp;'Template Setup'!$C$5&amp;"'!C:C"),$A150,INDIRECT("'"&amp;'Template Setup'!$C$5&amp;"'!A:A")),0))</f>
        <v/>
      </c>
      <c r="I150" s="12" t="str">
        <f ca="1">IF($A150="","",IFERROR(SUMIF(INDIRECT("'"&amp;'Template Setup'!$C$6&amp;"'!C:C"),$A150,INDIRECT("'"&amp;'Template Setup'!$C$6&amp;"'!A:A")),0))</f>
        <v/>
      </c>
      <c r="J150" s="12" t="str">
        <f ca="1">IF($A150="","",IFERROR(SUMIF(INDIRECT("'"&amp;'Template Setup'!$C$7&amp;"'!C:C"),$A150,INDIRECT("'"&amp;'Template Setup'!$C$7&amp;"'!A:A")),0))</f>
        <v/>
      </c>
      <c r="K150" s="12" t="str">
        <f ca="1">IF($A150="","",IFERROR(SUMIF(INDIRECT("'"&amp;'Template Setup'!$C$8&amp;"'!C:C"),$A150,INDIRECT("'"&amp;'Template Setup'!$C$8&amp;"'!A:A")),0))</f>
        <v/>
      </c>
      <c r="L150" s="11" t="str">
        <f>IF($A150="","",IFERROR(VALUE(MID(TRIM('Template Setup'!$C$4),FIND("-",TRIM('Template Setup'!$C$4))+1,10)),0))</f>
        <v/>
      </c>
      <c r="M150" s="11" t="str">
        <f>IF($A150="","",IFERROR(VALUE(MID(TRIM('Template Setup'!$C$5),FIND("-",TRIM('Template Setup'!$C$5))+1,10)),0))</f>
        <v/>
      </c>
      <c r="N150" s="11" t="str">
        <f>IF($A150="","",IFERROR(VALUE(MID(TRIM('Template Setup'!$C$6),FIND("-",TRIM('Template Setup'!$C$6))+1,10)),0))</f>
        <v/>
      </c>
      <c r="O150" s="11" t="str">
        <f>IF($A150="","",IFERROR(VALUE(MID(TRIM('Template Setup'!$C$7),FIND("-",TRIM('Template Setup'!$C$7))+1,10)),0))</f>
        <v/>
      </c>
      <c r="P150" s="11" t="str">
        <f>IF($A150="","",IFERROR(VALUE(MID(TRIM('Template Setup'!$C$8),FIND("-",TRIM('Template Setup'!$C$8))+1,10)),0))</f>
        <v/>
      </c>
      <c r="Q150" s="9" t="str">
        <f>IF($A150="","",$A150&amp;"-"&amp;'Template Setup'!$C$16)</f>
        <v/>
      </c>
      <c r="R150" s="24" t="str">
        <f t="shared" si="9"/>
        <v/>
      </c>
      <c r="S150" s="24"/>
      <c r="T150" s="24" t="str">
        <f t="shared" si="10"/>
        <v/>
      </c>
      <c r="U150" s="6" t="str">
        <f t="shared" si="12"/>
        <v/>
      </c>
    </row>
    <row r="151" spans="1:21">
      <c r="A151" s="11"/>
      <c r="B151" s="11"/>
      <c r="C151" s="11"/>
      <c r="D151" s="11" t="str">
        <f>IF($A151="","",_xlfn.TEXTJOIN(", ",TRUE,IF($G151&gt;0,'Template Setup'!$C$4,""),IF($H151&gt;0,'Template Setup'!$C$5,""),IF($I151&gt;0,'Template Setup'!$C$6,""),IF($J151&gt;0,'Template Setup'!$C$7,""),IF($K151&gt;0,'Template Setup'!$C$8,"")))</f>
        <v/>
      </c>
      <c r="E151" s="6" t="str" cm="1">
        <f t="array" ref="E151">IF($A151="","",_xlfn.LET(_xlpm.sheets,CHOOSE({1,2,3,4,5},'Template Setup'!$C$4,'Template Setup'!$C$5,'Template Setup'!$C$6,'Template Setup'!$C$7,'Template Setup'!$C$8),_xlpm.nums,CHOOSE({1,2,3,4,5},$L151,$M151,$N151,$O151,$P151),_xlpm.qtys,CHOOSE({1,2,3,4,5},$G151,$H151,$I151,$J151,$K151),_xlpm.validNums,_xlfn._xlws.FILTER(_xlpm.nums,_xlpm.qtys&gt;0),_xlpm.validSheets,_xlfn._xlws.FILTER(_xlpm.sheets,_xlpm.qtys&gt;0),_xlpm.mx,IFERROR(MAX(_xlpm.validNums),0),IF(_xlpm.mx=0,"",INDEX(_xlpm.validSheets,MATCH(_xlpm.mx,_xlpm.validNums,0))&amp;" (+"&amp;$R151&amp;")")))</f>
        <v/>
      </c>
      <c r="F151" s="11" t="str">
        <f t="shared" si="11"/>
        <v/>
      </c>
      <c r="G151" s="12" t="str">
        <f ca="1">IF($A151="","",IFERROR(SUMIF(INDIRECT("'"&amp;'Template Setup'!$C$4&amp;"'!C:C"),$A151,INDIRECT("'"&amp;'Template Setup'!$C$4&amp;"'!A:A")),0))</f>
        <v/>
      </c>
      <c r="H151" s="12" t="str">
        <f ca="1">IF($A151="","",IFERROR(SUMIF(INDIRECT("'"&amp;'Template Setup'!$C$5&amp;"'!C:C"),$A151,INDIRECT("'"&amp;'Template Setup'!$C$5&amp;"'!A:A")),0))</f>
        <v/>
      </c>
      <c r="I151" s="12" t="str">
        <f ca="1">IF($A151="","",IFERROR(SUMIF(INDIRECT("'"&amp;'Template Setup'!$C$6&amp;"'!C:C"),$A151,INDIRECT("'"&amp;'Template Setup'!$C$6&amp;"'!A:A")),0))</f>
        <v/>
      </c>
      <c r="J151" s="12" t="str">
        <f ca="1">IF($A151="","",IFERROR(SUMIF(INDIRECT("'"&amp;'Template Setup'!$C$7&amp;"'!C:C"),$A151,INDIRECT("'"&amp;'Template Setup'!$C$7&amp;"'!A:A")),0))</f>
        <v/>
      </c>
      <c r="K151" s="12" t="str">
        <f ca="1">IF($A151="","",IFERROR(SUMIF(INDIRECT("'"&amp;'Template Setup'!$C$8&amp;"'!C:C"),$A151,INDIRECT("'"&amp;'Template Setup'!$C$8&amp;"'!A:A")),0))</f>
        <v/>
      </c>
      <c r="L151" s="11" t="str">
        <f>IF($A151="","",IFERROR(VALUE(MID(TRIM('Template Setup'!$C$4),FIND("-",TRIM('Template Setup'!$C$4))+1,10)),0))</f>
        <v/>
      </c>
      <c r="M151" s="11" t="str">
        <f>IF($A151="","",IFERROR(VALUE(MID(TRIM('Template Setup'!$C$5),FIND("-",TRIM('Template Setup'!$C$5))+1,10)),0))</f>
        <v/>
      </c>
      <c r="N151" s="11" t="str">
        <f>IF($A151="","",IFERROR(VALUE(MID(TRIM('Template Setup'!$C$6),FIND("-",TRIM('Template Setup'!$C$6))+1,10)),0))</f>
        <v/>
      </c>
      <c r="O151" s="11" t="str">
        <f>IF($A151="","",IFERROR(VALUE(MID(TRIM('Template Setup'!$C$7),FIND("-",TRIM('Template Setup'!$C$7))+1,10)),0))</f>
        <v/>
      </c>
      <c r="P151" s="11" t="str">
        <f>IF($A151="","",IFERROR(VALUE(MID(TRIM('Template Setup'!$C$8),FIND("-",TRIM('Template Setup'!$C$8))+1,10)),0))</f>
        <v/>
      </c>
      <c r="Q151" s="9" t="str">
        <f>IF($A151="","",$A151&amp;"-"&amp;'Template Setup'!$C$16)</f>
        <v/>
      </c>
      <c r="R151" s="24" t="str">
        <f t="shared" si="9"/>
        <v/>
      </c>
      <c r="S151" s="24"/>
      <c r="T151" s="24" t="str">
        <f t="shared" si="10"/>
        <v/>
      </c>
      <c r="U151" s="6" t="str">
        <f t="shared" si="12"/>
        <v/>
      </c>
    </row>
    <row r="152" spans="1:21">
      <c r="A152" s="11"/>
      <c r="B152" s="11"/>
      <c r="C152" s="11"/>
      <c r="D152" s="11" t="str">
        <f>IF($A152="","",_xlfn.TEXTJOIN(", ",TRUE,IF($G152&gt;0,'Template Setup'!$C$4,""),IF($H152&gt;0,'Template Setup'!$C$5,""),IF($I152&gt;0,'Template Setup'!$C$6,""),IF($J152&gt;0,'Template Setup'!$C$7,""),IF($K152&gt;0,'Template Setup'!$C$8,"")))</f>
        <v/>
      </c>
      <c r="E152" s="6" t="str" cm="1">
        <f t="array" ref="E152">IF($A152="","",_xlfn.LET(_xlpm.sheets,CHOOSE({1,2,3,4,5},'Template Setup'!$C$4,'Template Setup'!$C$5,'Template Setup'!$C$6,'Template Setup'!$C$7,'Template Setup'!$C$8),_xlpm.nums,CHOOSE({1,2,3,4,5},$L152,$M152,$N152,$O152,$P152),_xlpm.qtys,CHOOSE({1,2,3,4,5},$G152,$H152,$I152,$J152,$K152),_xlpm.validNums,_xlfn._xlws.FILTER(_xlpm.nums,_xlpm.qtys&gt;0),_xlpm.validSheets,_xlfn._xlws.FILTER(_xlpm.sheets,_xlpm.qtys&gt;0),_xlpm.mx,IFERROR(MAX(_xlpm.validNums),0),IF(_xlpm.mx=0,"",INDEX(_xlpm.validSheets,MATCH(_xlpm.mx,_xlpm.validNums,0))&amp;" (+"&amp;$R152&amp;")")))</f>
        <v/>
      </c>
      <c r="F152" s="11" t="str">
        <f t="shared" si="11"/>
        <v/>
      </c>
      <c r="G152" s="12" t="str">
        <f ca="1">IF($A152="","",IFERROR(SUMIF(INDIRECT("'"&amp;'Template Setup'!$C$4&amp;"'!C:C"),$A152,INDIRECT("'"&amp;'Template Setup'!$C$4&amp;"'!A:A")),0))</f>
        <v/>
      </c>
      <c r="H152" s="12" t="str">
        <f ca="1">IF($A152="","",IFERROR(SUMIF(INDIRECT("'"&amp;'Template Setup'!$C$5&amp;"'!C:C"),$A152,INDIRECT("'"&amp;'Template Setup'!$C$5&amp;"'!A:A")),0))</f>
        <v/>
      </c>
      <c r="I152" s="12" t="str">
        <f ca="1">IF($A152="","",IFERROR(SUMIF(INDIRECT("'"&amp;'Template Setup'!$C$6&amp;"'!C:C"),$A152,INDIRECT("'"&amp;'Template Setup'!$C$6&amp;"'!A:A")),0))</f>
        <v/>
      </c>
      <c r="J152" s="12" t="str">
        <f ca="1">IF($A152="","",IFERROR(SUMIF(INDIRECT("'"&amp;'Template Setup'!$C$7&amp;"'!C:C"),$A152,INDIRECT("'"&amp;'Template Setup'!$C$7&amp;"'!A:A")),0))</f>
        <v/>
      </c>
      <c r="K152" s="12" t="str">
        <f ca="1">IF($A152="","",IFERROR(SUMIF(INDIRECT("'"&amp;'Template Setup'!$C$8&amp;"'!C:C"),$A152,INDIRECT("'"&amp;'Template Setup'!$C$8&amp;"'!A:A")),0))</f>
        <v/>
      </c>
      <c r="L152" s="11" t="str">
        <f>IF($A152="","",IFERROR(VALUE(MID(TRIM('Template Setup'!$C$4),FIND("-",TRIM('Template Setup'!$C$4))+1,10)),0))</f>
        <v/>
      </c>
      <c r="M152" s="11" t="str">
        <f>IF($A152="","",IFERROR(VALUE(MID(TRIM('Template Setup'!$C$5),FIND("-",TRIM('Template Setup'!$C$5))+1,10)),0))</f>
        <v/>
      </c>
      <c r="N152" s="11" t="str">
        <f>IF($A152="","",IFERROR(VALUE(MID(TRIM('Template Setup'!$C$6),FIND("-",TRIM('Template Setup'!$C$6))+1,10)),0))</f>
        <v/>
      </c>
      <c r="O152" s="11" t="str">
        <f>IF($A152="","",IFERROR(VALUE(MID(TRIM('Template Setup'!$C$7),FIND("-",TRIM('Template Setup'!$C$7))+1,10)),0))</f>
        <v/>
      </c>
      <c r="P152" s="11" t="str">
        <f>IF($A152="","",IFERROR(VALUE(MID(TRIM('Template Setup'!$C$8),FIND("-",TRIM('Template Setup'!$C$8))+1,10)),0))</f>
        <v/>
      </c>
      <c r="Q152" s="9" t="str">
        <f>IF($A152="","",$A152&amp;"-"&amp;'Template Setup'!$C$16)</f>
        <v/>
      </c>
      <c r="R152" s="24" t="str">
        <f t="shared" si="9"/>
        <v/>
      </c>
      <c r="S152" s="24"/>
      <c r="T152" s="24" t="str">
        <f t="shared" si="10"/>
        <v/>
      </c>
      <c r="U152" s="6" t="str">
        <f t="shared" si="12"/>
        <v/>
      </c>
    </row>
    <row r="153" spans="1:21">
      <c r="A153" s="11"/>
      <c r="B153" s="11"/>
      <c r="C153" s="11"/>
      <c r="D153" s="11" t="str">
        <f>IF($A153="","",_xlfn.TEXTJOIN(", ",TRUE,IF($G153&gt;0,'Template Setup'!$C$4,""),IF($H153&gt;0,'Template Setup'!$C$5,""),IF($I153&gt;0,'Template Setup'!$C$6,""),IF($J153&gt;0,'Template Setup'!$C$7,""),IF($K153&gt;0,'Template Setup'!$C$8,"")))</f>
        <v/>
      </c>
      <c r="E153" s="6" t="str" cm="1">
        <f t="array" ref="E153">IF($A153="","",_xlfn.LET(_xlpm.sheets,CHOOSE({1,2,3,4,5},'Template Setup'!$C$4,'Template Setup'!$C$5,'Template Setup'!$C$6,'Template Setup'!$C$7,'Template Setup'!$C$8),_xlpm.nums,CHOOSE({1,2,3,4,5},$L153,$M153,$N153,$O153,$P153),_xlpm.qtys,CHOOSE({1,2,3,4,5},$G153,$H153,$I153,$J153,$K153),_xlpm.validNums,_xlfn._xlws.FILTER(_xlpm.nums,_xlpm.qtys&gt;0),_xlpm.validSheets,_xlfn._xlws.FILTER(_xlpm.sheets,_xlpm.qtys&gt;0),_xlpm.mx,IFERROR(MAX(_xlpm.validNums),0),IF(_xlpm.mx=0,"",INDEX(_xlpm.validSheets,MATCH(_xlpm.mx,_xlpm.validNums,0))&amp;" (+"&amp;$R153&amp;")")))</f>
        <v/>
      </c>
      <c r="F153" s="11" t="str">
        <f t="shared" si="11"/>
        <v/>
      </c>
      <c r="G153" s="12" t="str">
        <f ca="1">IF($A153="","",IFERROR(SUMIF(INDIRECT("'"&amp;'Template Setup'!$C$4&amp;"'!C:C"),$A153,INDIRECT("'"&amp;'Template Setup'!$C$4&amp;"'!A:A")),0))</f>
        <v/>
      </c>
      <c r="H153" s="12" t="str">
        <f ca="1">IF($A153="","",IFERROR(SUMIF(INDIRECT("'"&amp;'Template Setup'!$C$5&amp;"'!C:C"),$A153,INDIRECT("'"&amp;'Template Setup'!$C$5&amp;"'!A:A")),0))</f>
        <v/>
      </c>
      <c r="I153" s="12" t="str">
        <f ca="1">IF($A153="","",IFERROR(SUMIF(INDIRECT("'"&amp;'Template Setup'!$C$6&amp;"'!C:C"),$A153,INDIRECT("'"&amp;'Template Setup'!$C$6&amp;"'!A:A")),0))</f>
        <v/>
      </c>
      <c r="J153" s="12" t="str">
        <f ca="1">IF($A153="","",IFERROR(SUMIF(INDIRECT("'"&amp;'Template Setup'!$C$7&amp;"'!C:C"),$A153,INDIRECT("'"&amp;'Template Setup'!$C$7&amp;"'!A:A")),0))</f>
        <v/>
      </c>
      <c r="K153" s="12" t="str">
        <f ca="1">IF($A153="","",IFERROR(SUMIF(INDIRECT("'"&amp;'Template Setup'!$C$8&amp;"'!C:C"),$A153,INDIRECT("'"&amp;'Template Setup'!$C$8&amp;"'!A:A")),0))</f>
        <v/>
      </c>
      <c r="L153" s="11" t="str">
        <f>IF($A153="","",IFERROR(VALUE(MID(TRIM('Template Setup'!$C$4),FIND("-",TRIM('Template Setup'!$C$4))+1,10)),0))</f>
        <v/>
      </c>
      <c r="M153" s="11" t="str">
        <f>IF($A153="","",IFERROR(VALUE(MID(TRIM('Template Setup'!$C$5),FIND("-",TRIM('Template Setup'!$C$5))+1,10)),0))</f>
        <v/>
      </c>
      <c r="N153" s="11" t="str">
        <f>IF($A153="","",IFERROR(VALUE(MID(TRIM('Template Setup'!$C$6),FIND("-",TRIM('Template Setup'!$C$6))+1,10)),0))</f>
        <v/>
      </c>
      <c r="O153" s="11" t="str">
        <f>IF($A153="","",IFERROR(VALUE(MID(TRIM('Template Setup'!$C$7),FIND("-",TRIM('Template Setup'!$C$7))+1,10)),0))</f>
        <v/>
      </c>
      <c r="P153" s="11" t="str">
        <f>IF($A153="","",IFERROR(VALUE(MID(TRIM('Template Setup'!$C$8),FIND("-",TRIM('Template Setup'!$C$8))+1,10)),0))</f>
        <v/>
      </c>
      <c r="Q153" s="9" t="str">
        <f>IF($A153="","",$A153&amp;"-"&amp;'Template Setup'!$C$16)</f>
        <v/>
      </c>
      <c r="R153" s="24" t="str">
        <f t="shared" si="9"/>
        <v/>
      </c>
      <c r="S153" s="24"/>
      <c r="T153" s="24" t="str">
        <f t="shared" si="10"/>
        <v/>
      </c>
      <c r="U153" s="6" t="str">
        <f t="shared" si="12"/>
        <v/>
      </c>
    </row>
    <row r="154" spans="1:21">
      <c r="A154" s="11"/>
      <c r="B154" s="11"/>
      <c r="C154" s="11"/>
      <c r="D154" s="11" t="str">
        <f>IF($A154="","",_xlfn.TEXTJOIN(", ",TRUE,IF($G154&gt;0,'Template Setup'!$C$4,""),IF($H154&gt;0,'Template Setup'!$C$5,""),IF($I154&gt;0,'Template Setup'!$C$6,""),IF($J154&gt;0,'Template Setup'!$C$7,""),IF($K154&gt;0,'Template Setup'!$C$8,"")))</f>
        <v/>
      </c>
      <c r="E154" s="6" t="str" cm="1">
        <f t="array" ref="E154">IF($A154="","",_xlfn.LET(_xlpm.sheets,CHOOSE({1,2,3,4,5},'Template Setup'!$C$4,'Template Setup'!$C$5,'Template Setup'!$C$6,'Template Setup'!$C$7,'Template Setup'!$C$8),_xlpm.nums,CHOOSE({1,2,3,4,5},$L154,$M154,$N154,$O154,$P154),_xlpm.qtys,CHOOSE({1,2,3,4,5},$G154,$H154,$I154,$J154,$K154),_xlpm.validNums,_xlfn._xlws.FILTER(_xlpm.nums,_xlpm.qtys&gt;0),_xlpm.validSheets,_xlfn._xlws.FILTER(_xlpm.sheets,_xlpm.qtys&gt;0),_xlpm.mx,IFERROR(MAX(_xlpm.validNums),0),IF(_xlpm.mx=0,"",INDEX(_xlpm.validSheets,MATCH(_xlpm.mx,_xlpm.validNums,0))&amp;" (+"&amp;$R154&amp;")")))</f>
        <v/>
      </c>
      <c r="F154" s="11" t="str">
        <f t="shared" si="11"/>
        <v/>
      </c>
      <c r="G154" s="12" t="str">
        <f ca="1">IF($A154="","",IFERROR(SUMIF(INDIRECT("'"&amp;'Template Setup'!$C$4&amp;"'!C:C"),$A154,INDIRECT("'"&amp;'Template Setup'!$C$4&amp;"'!A:A")),0))</f>
        <v/>
      </c>
      <c r="H154" s="12" t="str">
        <f ca="1">IF($A154="","",IFERROR(SUMIF(INDIRECT("'"&amp;'Template Setup'!$C$5&amp;"'!C:C"),$A154,INDIRECT("'"&amp;'Template Setup'!$C$5&amp;"'!A:A")),0))</f>
        <v/>
      </c>
      <c r="I154" s="12" t="str">
        <f ca="1">IF($A154="","",IFERROR(SUMIF(INDIRECT("'"&amp;'Template Setup'!$C$6&amp;"'!C:C"),$A154,INDIRECT("'"&amp;'Template Setup'!$C$6&amp;"'!A:A")),0))</f>
        <v/>
      </c>
      <c r="J154" s="12" t="str">
        <f ca="1">IF($A154="","",IFERROR(SUMIF(INDIRECT("'"&amp;'Template Setup'!$C$7&amp;"'!C:C"),$A154,INDIRECT("'"&amp;'Template Setup'!$C$7&amp;"'!A:A")),0))</f>
        <v/>
      </c>
      <c r="K154" s="12" t="str">
        <f ca="1">IF($A154="","",IFERROR(SUMIF(INDIRECT("'"&amp;'Template Setup'!$C$8&amp;"'!C:C"),$A154,INDIRECT("'"&amp;'Template Setup'!$C$8&amp;"'!A:A")),0))</f>
        <v/>
      </c>
      <c r="L154" s="11" t="str">
        <f>IF($A154="","",IFERROR(VALUE(MID(TRIM('Template Setup'!$C$4),FIND("-",TRIM('Template Setup'!$C$4))+1,10)),0))</f>
        <v/>
      </c>
      <c r="M154" s="11" t="str">
        <f>IF($A154="","",IFERROR(VALUE(MID(TRIM('Template Setup'!$C$5),FIND("-",TRIM('Template Setup'!$C$5))+1,10)),0))</f>
        <v/>
      </c>
      <c r="N154" s="11" t="str">
        <f>IF($A154="","",IFERROR(VALUE(MID(TRIM('Template Setup'!$C$6),FIND("-",TRIM('Template Setup'!$C$6))+1,10)),0))</f>
        <v/>
      </c>
      <c r="O154" s="11" t="str">
        <f>IF($A154="","",IFERROR(VALUE(MID(TRIM('Template Setup'!$C$7),FIND("-",TRIM('Template Setup'!$C$7))+1,10)),0))</f>
        <v/>
      </c>
      <c r="P154" s="11" t="str">
        <f>IF($A154="","",IFERROR(VALUE(MID(TRIM('Template Setup'!$C$8),FIND("-",TRIM('Template Setup'!$C$8))+1,10)),0))</f>
        <v/>
      </c>
      <c r="Q154" s="9" t="str">
        <f>IF($A154="","",$A154&amp;"-"&amp;'Template Setup'!$C$16)</f>
        <v/>
      </c>
      <c r="R154" s="24" t="str">
        <f t="shared" si="9"/>
        <v/>
      </c>
      <c r="S154" s="24"/>
      <c r="T154" s="24" t="str">
        <f t="shared" si="10"/>
        <v/>
      </c>
      <c r="U154" s="6" t="str">
        <f t="shared" si="12"/>
        <v/>
      </c>
    </row>
    <row r="155" spans="1:21">
      <c r="A155" s="11"/>
      <c r="B155" s="11"/>
      <c r="C155" s="11"/>
      <c r="D155" s="11" t="str">
        <f>IF($A155="","",_xlfn.TEXTJOIN(", ",TRUE,IF($G155&gt;0,'Template Setup'!$C$4,""),IF($H155&gt;0,'Template Setup'!$C$5,""),IF($I155&gt;0,'Template Setup'!$C$6,""),IF($J155&gt;0,'Template Setup'!$C$7,""),IF($K155&gt;0,'Template Setup'!$C$8,"")))</f>
        <v/>
      </c>
      <c r="E155" s="6" t="str" cm="1">
        <f t="array" ref="E155">IF($A155="","",_xlfn.LET(_xlpm.sheets,CHOOSE({1,2,3,4,5},'Template Setup'!$C$4,'Template Setup'!$C$5,'Template Setup'!$C$6,'Template Setup'!$C$7,'Template Setup'!$C$8),_xlpm.nums,CHOOSE({1,2,3,4,5},$L155,$M155,$N155,$O155,$P155),_xlpm.qtys,CHOOSE({1,2,3,4,5},$G155,$H155,$I155,$J155,$K155),_xlpm.validNums,_xlfn._xlws.FILTER(_xlpm.nums,_xlpm.qtys&gt;0),_xlpm.validSheets,_xlfn._xlws.FILTER(_xlpm.sheets,_xlpm.qtys&gt;0),_xlpm.mx,IFERROR(MAX(_xlpm.validNums),0),IF(_xlpm.mx=0,"",INDEX(_xlpm.validSheets,MATCH(_xlpm.mx,_xlpm.validNums,0))&amp;" (+"&amp;$R155&amp;")")))</f>
        <v/>
      </c>
      <c r="F155" s="11" t="str">
        <f t="shared" si="11"/>
        <v/>
      </c>
      <c r="G155" s="12" t="str">
        <f ca="1">IF($A155="","",IFERROR(SUMIF(INDIRECT("'"&amp;'Template Setup'!$C$4&amp;"'!C:C"),$A155,INDIRECT("'"&amp;'Template Setup'!$C$4&amp;"'!A:A")),0))</f>
        <v/>
      </c>
      <c r="H155" s="12" t="str">
        <f ca="1">IF($A155="","",IFERROR(SUMIF(INDIRECT("'"&amp;'Template Setup'!$C$5&amp;"'!C:C"),$A155,INDIRECT("'"&amp;'Template Setup'!$C$5&amp;"'!A:A")),0))</f>
        <v/>
      </c>
      <c r="I155" s="12" t="str">
        <f ca="1">IF($A155="","",IFERROR(SUMIF(INDIRECT("'"&amp;'Template Setup'!$C$6&amp;"'!C:C"),$A155,INDIRECT("'"&amp;'Template Setup'!$C$6&amp;"'!A:A")),0))</f>
        <v/>
      </c>
      <c r="J155" s="12" t="str">
        <f ca="1">IF($A155="","",IFERROR(SUMIF(INDIRECT("'"&amp;'Template Setup'!$C$7&amp;"'!C:C"),$A155,INDIRECT("'"&amp;'Template Setup'!$C$7&amp;"'!A:A")),0))</f>
        <v/>
      </c>
      <c r="K155" s="12" t="str">
        <f ca="1">IF($A155="","",IFERROR(SUMIF(INDIRECT("'"&amp;'Template Setup'!$C$8&amp;"'!C:C"),$A155,INDIRECT("'"&amp;'Template Setup'!$C$8&amp;"'!A:A")),0))</f>
        <v/>
      </c>
      <c r="L155" s="11" t="str">
        <f>IF($A155="","",IFERROR(VALUE(MID(TRIM('Template Setup'!$C$4),FIND("-",TRIM('Template Setup'!$C$4))+1,10)),0))</f>
        <v/>
      </c>
      <c r="M155" s="11" t="str">
        <f>IF($A155="","",IFERROR(VALUE(MID(TRIM('Template Setup'!$C$5),FIND("-",TRIM('Template Setup'!$C$5))+1,10)),0))</f>
        <v/>
      </c>
      <c r="N155" s="11" t="str">
        <f>IF($A155="","",IFERROR(VALUE(MID(TRIM('Template Setup'!$C$6),FIND("-",TRIM('Template Setup'!$C$6))+1,10)),0))</f>
        <v/>
      </c>
      <c r="O155" s="11" t="str">
        <f>IF($A155="","",IFERROR(VALUE(MID(TRIM('Template Setup'!$C$7),FIND("-",TRIM('Template Setup'!$C$7))+1,10)),0))</f>
        <v/>
      </c>
      <c r="P155" s="11" t="str">
        <f>IF($A155="","",IFERROR(VALUE(MID(TRIM('Template Setup'!$C$8),FIND("-",TRIM('Template Setup'!$C$8))+1,10)),0))</f>
        <v/>
      </c>
      <c r="Q155" s="9" t="str">
        <f>IF($A155="","",$A155&amp;"-"&amp;'Template Setup'!$C$16)</f>
        <v/>
      </c>
      <c r="R155" s="24" t="str">
        <f t="shared" si="9"/>
        <v/>
      </c>
      <c r="S155" s="24"/>
      <c r="T155" s="24" t="str">
        <f t="shared" si="10"/>
        <v/>
      </c>
      <c r="U155" s="6" t="str">
        <f t="shared" si="12"/>
        <v/>
      </c>
    </row>
    <row r="156" spans="1:21">
      <c r="A156" s="11"/>
      <c r="B156" s="11"/>
      <c r="C156" s="11"/>
      <c r="D156" s="11" t="str">
        <f>IF($A156="","",_xlfn.TEXTJOIN(", ",TRUE,IF($G156&gt;0,'Template Setup'!$C$4,""),IF($H156&gt;0,'Template Setup'!$C$5,""),IF($I156&gt;0,'Template Setup'!$C$6,""),IF($J156&gt;0,'Template Setup'!$C$7,""),IF($K156&gt;0,'Template Setup'!$C$8,"")))</f>
        <v/>
      </c>
      <c r="E156" s="6" t="str" cm="1">
        <f t="array" ref="E156">IF($A156="","",_xlfn.LET(_xlpm.sheets,CHOOSE({1,2,3,4,5},'Template Setup'!$C$4,'Template Setup'!$C$5,'Template Setup'!$C$6,'Template Setup'!$C$7,'Template Setup'!$C$8),_xlpm.nums,CHOOSE({1,2,3,4,5},$L156,$M156,$N156,$O156,$P156),_xlpm.qtys,CHOOSE({1,2,3,4,5},$G156,$H156,$I156,$J156,$K156),_xlpm.validNums,_xlfn._xlws.FILTER(_xlpm.nums,_xlpm.qtys&gt;0),_xlpm.validSheets,_xlfn._xlws.FILTER(_xlpm.sheets,_xlpm.qtys&gt;0),_xlpm.mx,IFERROR(MAX(_xlpm.validNums),0),IF(_xlpm.mx=0,"",INDEX(_xlpm.validSheets,MATCH(_xlpm.mx,_xlpm.validNums,0))&amp;" (+"&amp;$R156&amp;")")))</f>
        <v/>
      </c>
      <c r="F156" s="11" t="str">
        <f t="shared" si="11"/>
        <v/>
      </c>
      <c r="G156" s="12" t="str">
        <f ca="1">IF($A156="","",IFERROR(SUMIF(INDIRECT("'"&amp;'Template Setup'!$C$4&amp;"'!C:C"),$A156,INDIRECT("'"&amp;'Template Setup'!$C$4&amp;"'!A:A")),0))</f>
        <v/>
      </c>
      <c r="H156" s="12" t="str">
        <f ca="1">IF($A156="","",IFERROR(SUMIF(INDIRECT("'"&amp;'Template Setup'!$C$5&amp;"'!C:C"),$A156,INDIRECT("'"&amp;'Template Setup'!$C$5&amp;"'!A:A")),0))</f>
        <v/>
      </c>
      <c r="I156" s="12" t="str">
        <f ca="1">IF($A156="","",IFERROR(SUMIF(INDIRECT("'"&amp;'Template Setup'!$C$6&amp;"'!C:C"),$A156,INDIRECT("'"&amp;'Template Setup'!$C$6&amp;"'!A:A")),0))</f>
        <v/>
      </c>
      <c r="J156" s="12" t="str">
        <f ca="1">IF($A156="","",IFERROR(SUMIF(INDIRECT("'"&amp;'Template Setup'!$C$7&amp;"'!C:C"),$A156,INDIRECT("'"&amp;'Template Setup'!$C$7&amp;"'!A:A")),0))</f>
        <v/>
      </c>
      <c r="K156" s="12" t="str">
        <f ca="1">IF($A156="","",IFERROR(SUMIF(INDIRECT("'"&amp;'Template Setup'!$C$8&amp;"'!C:C"),$A156,INDIRECT("'"&amp;'Template Setup'!$C$8&amp;"'!A:A")),0))</f>
        <v/>
      </c>
      <c r="L156" s="11" t="str">
        <f>IF($A156="","",IFERROR(VALUE(MID(TRIM('Template Setup'!$C$4),FIND("-",TRIM('Template Setup'!$C$4))+1,10)),0))</f>
        <v/>
      </c>
      <c r="M156" s="11" t="str">
        <f>IF($A156="","",IFERROR(VALUE(MID(TRIM('Template Setup'!$C$5),FIND("-",TRIM('Template Setup'!$C$5))+1,10)),0))</f>
        <v/>
      </c>
      <c r="N156" s="11" t="str">
        <f>IF($A156="","",IFERROR(VALUE(MID(TRIM('Template Setup'!$C$6),FIND("-",TRIM('Template Setup'!$C$6))+1,10)),0))</f>
        <v/>
      </c>
      <c r="O156" s="11" t="str">
        <f>IF($A156="","",IFERROR(VALUE(MID(TRIM('Template Setup'!$C$7),FIND("-",TRIM('Template Setup'!$C$7))+1,10)),0))</f>
        <v/>
      </c>
      <c r="P156" s="11" t="str">
        <f>IF($A156="","",IFERROR(VALUE(MID(TRIM('Template Setup'!$C$8),FIND("-",TRIM('Template Setup'!$C$8))+1,10)),0))</f>
        <v/>
      </c>
      <c r="Q156" s="9" t="str">
        <f>IF($A156="","",$A156&amp;"-"&amp;'Template Setup'!$C$16)</f>
        <v/>
      </c>
      <c r="R156" s="24" t="str">
        <f t="shared" si="9"/>
        <v/>
      </c>
      <c r="S156" s="24"/>
      <c r="T156" s="24" t="str">
        <f t="shared" si="10"/>
        <v/>
      </c>
      <c r="U156" s="6" t="str">
        <f t="shared" si="12"/>
        <v/>
      </c>
    </row>
    <row r="157" spans="1:21">
      <c r="A157" s="11"/>
      <c r="B157" s="11"/>
      <c r="C157" s="11"/>
      <c r="D157" s="11" t="str">
        <f>IF($A157="","",_xlfn.TEXTJOIN(", ",TRUE,IF($G157&gt;0,'Template Setup'!$C$4,""),IF($H157&gt;0,'Template Setup'!$C$5,""),IF($I157&gt;0,'Template Setup'!$C$6,""),IF($J157&gt;0,'Template Setup'!$C$7,""),IF($K157&gt;0,'Template Setup'!$C$8,"")))</f>
        <v/>
      </c>
      <c r="E157" s="6" t="str" cm="1">
        <f t="array" ref="E157">IF($A157="","",_xlfn.LET(_xlpm.sheets,CHOOSE({1,2,3,4,5},'Template Setup'!$C$4,'Template Setup'!$C$5,'Template Setup'!$C$6,'Template Setup'!$C$7,'Template Setup'!$C$8),_xlpm.nums,CHOOSE({1,2,3,4,5},$L157,$M157,$N157,$O157,$P157),_xlpm.qtys,CHOOSE({1,2,3,4,5},$G157,$H157,$I157,$J157,$K157),_xlpm.validNums,_xlfn._xlws.FILTER(_xlpm.nums,_xlpm.qtys&gt;0),_xlpm.validSheets,_xlfn._xlws.FILTER(_xlpm.sheets,_xlpm.qtys&gt;0),_xlpm.mx,IFERROR(MAX(_xlpm.validNums),0),IF(_xlpm.mx=0,"",INDEX(_xlpm.validSheets,MATCH(_xlpm.mx,_xlpm.validNums,0))&amp;" (+"&amp;$R157&amp;")")))</f>
        <v/>
      </c>
      <c r="F157" s="11" t="str">
        <f t="shared" si="11"/>
        <v/>
      </c>
      <c r="G157" s="12" t="str">
        <f ca="1">IF($A157="","",IFERROR(SUMIF(INDIRECT("'"&amp;'Template Setup'!$C$4&amp;"'!C:C"),$A157,INDIRECT("'"&amp;'Template Setup'!$C$4&amp;"'!A:A")),0))</f>
        <v/>
      </c>
      <c r="H157" s="12" t="str">
        <f ca="1">IF($A157="","",IFERROR(SUMIF(INDIRECT("'"&amp;'Template Setup'!$C$5&amp;"'!C:C"),$A157,INDIRECT("'"&amp;'Template Setup'!$C$5&amp;"'!A:A")),0))</f>
        <v/>
      </c>
      <c r="I157" s="12" t="str">
        <f ca="1">IF($A157="","",IFERROR(SUMIF(INDIRECT("'"&amp;'Template Setup'!$C$6&amp;"'!C:C"),$A157,INDIRECT("'"&amp;'Template Setup'!$C$6&amp;"'!A:A")),0))</f>
        <v/>
      </c>
      <c r="J157" s="12" t="str">
        <f ca="1">IF($A157="","",IFERROR(SUMIF(INDIRECT("'"&amp;'Template Setup'!$C$7&amp;"'!C:C"),$A157,INDIRECT("'"&amp;'Template Setup'!$C$7&amp;"'!A:A")),0))</f>
        <v/>
      </c>
      <c r="K157" s="12" t="str">
        <f ca="1">IF($A157="","",IFERROR(SUMIF(INDIRECT("'"&amp;'Template Setup'!$C$8&amp;"'!C:C"),$A157,INDIRECT("'"&amp;'Template Setup'!$C$8&amp;"'!A:A")),0))</f>
        <v/>
      </c>
      <c r="L157" s="11" t="str">
        <f>IF($A157="","",IFERROR(VALUE(MID(TRIM('Template Setup'!$C$4),FIND("-",TRIM('Template Setup'!$C$4))+1,10)),0))</f>
        <v/>
      </c>
      <c r="M157" s="11" t="str">
        <f>IF($A157="","",IFERROR(VALUE(MID(TRIM('Template Setup'!$C$5),FIND("-",TRIM('Template Setup'!$C$5))+1,10)),0))</f>
        <v/>
      </c>
      <c r="N157" s="11" t="str">
        <f>IF($A157="","",IFERROR(VALUE(MID(TRIM('Template Setup'!$C$6),FIND("-",TRIM('Template Setup'!$C$6))+1,10)),0))</f>
        <v/>
      </c>
      <c r="O157" s="11" t="str">
        <f>IF($A157="","",IFERROR(VALUE(MID(TRIM('Template Setup'!$C$7),FIND("-",TRIM('Template Setup'!$C$7))+1,10)),0))</f>
        <v/>
      </c>
      <c r="P157" s="11" t="str">
        <f>IF($A157="","",IFERROR(VALUE(MID(TRIM('Template Setup'!$C$8),FIND("-",TRIM('Template Setup'!$C$8))+1,10)),0))</f>
        <v/>
      </c>
      <c r="Q157" s="9" t="str">
        <f>IF($A157="","",$A157&amp;"-"&amp;'Template Setup'!$C$16)</f>
        <v/>
      </c>
      <c r="R157" s="24" t="str">
        <f t="shared" si="9"/>
        <v/>
      </c>
      <c r="S157" s="24"/>
      <c r="T157" s="24" t="str">
        <f t="shared" si="10"/>
        <v/>
      </c>
      <c r="U157" s="6" t="str">
        <f t="shared" si="12"/>
        <v/>
      </c>
    </row>
    <row r="158" spans="1:21">
      <c r="A158" s="11"/>
      <c r="B158" s="11"/>
      <c r="C158" s="11"/>
      <c r="D158" s="11" t="str">
        <f>IF($A158="","",_xlfn.TEXTJOIN(", ",TRUE,IF($G158&gt;0,'Template Setup'!$C$4,""),IF($H158&gt;0,'Template Setup'!$C$5,""),IF($I158&gt;0,'Template Setup'!$C$6,""),IF($J158&gt;0,'Template Setup'!$C$7,""),IF($K158&gt;0,'Template Setup'!$C$8,"")))</f>
        <v/>
      </c>
      <c r="E158" s="6" t="str" cm="1">
        <f t="array" ref="E158">IF($A158="","",_xlfn.LET(_xlpm.sheets,CHOOSE({1,2,3,4,5},'Template Setup'!$C$4,'Template Setup'!$C$5,'Template Setup'!$C$6,'Template Setup'!$C$7,'Template Setup'!$C$8),_xlpm.nums,CHOOSE({1,2,3,4,5},$L158,$M158,$N158,$O158,$P158),_xlpm.qtys,CHOOSE({1,2,3,4,5},$G158,$H158,$I158,$J158,$K158),_xlpm.validNums,_xlfn._xlws.FILTER(_xlpm.nums,_xlpm.qtys&gt;0),_xlpm.validSheets,_xlfn._xlws.FILTER(_xlpm.sheets,_xlpm.qtys&gt;0),_xlpm.mx,IFERROR(MAX(_xlpm.validNums),0),IF(_xlpm.mx=0,"",INDEX(_xlpm.validSheets,MATCH(_xlpm.mx,_xlpm.validNums,0))&amp;" (+"&amp;$R158&amp;")")))</f>
        <v/>
      </c>
      <c r="F158" s="11" t="str">
        <f t="shared" si="11"/>
        <v/>
      </c>
      <c r="G158" s="12" t="str">
        <f ca="1">IF($A158="","",IFERROR(SUMIF(INDIRECT("'"&amp;'Template Setup'!$C$4&amp;"'!C:C"),$A158,INDIRECT("'"&amp;'Template Setup'!$C$4&amp;"'!A:A")),0))</f>
        <v/>
      </c>
      <c r="H158" s="12" t="str">
        <f ca="1">IF($A158="","",IFERROR(SUMIF(INDIRECT("'"&amp;'Template Setup'!$C$5&amp;"'!C:C"),$A158,INDIRECT("'"&amp;'Template Setup'!$C$5&amp;"'!A:A")),0))</f>
        <v/>
      </c>
      <c r="I158" s="12" t="str">
        <f ca="1">IF($A158="","",IFERROR(SUMIF(INDIRECT("'"&amp;'Template Setup'!$C$6&amp;"'!C:C"),$A158,INDIRECT("'"&amp;'Template Setup'!$C$6&amp;"'!A:A")),0))</f>
        <v/>
      </c>
      <c r="J158" s="12" t="str">
        <f ca="1">IF($A158="","",IFERROR(SUMIF(INDIRECT("'"&amp;'Template Setup'!$C$7&amp;"'!C:C"),$A158,INDIRECT("'"&amp;'Template Setup'!$C$7&amp;"'!A:A")),0))</f>
        <v/>
      </c>
      <c r="K158" s="12" t="str">
        <f ca="1">IF($A158="","",IFERROR(SUMIF(INDIRECT("'"&amp;'Template Setup'!$C$8&amp;"'!C:C"),$A158,INDIRECT("'"&amp;'Template Setup'!$C$8&amp;"'!A:A")),0))</f>
        <v/>
      </c>
      <c r="L158" s="11" t="str">
        <f>IF($A158="","",IFERROR(VALUE(MID(TRIM('Template Setup'!$C$4),FIND("-",TRIM('Template Setup'!$C$4))+1,10)),0))</f>
        <v/>
      </c>
      <c r="M158" s="11" t="str">
        <f>IF($A158="","",IFERROR(VALUE(MID(TRIM('Template Setup'!$C$5),FIND("-",TRIM('Template Setup'!$C$5))+1,10)),0))</f>
        <v/>
      </c>
      <c r="N158" s="11" t="str">
        <f>IF($A158="","",IFERROR(VALUE(MID(TRIM('Template Setup'!$C$6),FIND("-",TRIM('Template Setup'!$C$6))+1,10)),0))</f>
        <v/>
      </c>
      <c r="O158" s="11" t="str">
        <f>IF($A158="","",IFERROR(VALUE(MID(TRIM('Template Setup'!$C$7),FIND("-",TRIM('Template Setup'!$C$7))+1,10)),0))</f>
        <v/>
      </c>
      <c r="P158" s="11" t="str">
        <f>IF($A158="","",IFERROR(VALUE(MID(TRIM('Template Setup'!$C$8),FIND("-",TRIM('Template Setup'!$C$8))+1,10)),0))</f>
        <v/>
      </c>
      <c r="Q158" s="9" t="str">
        <f>IF($A158="","",$A158&amp;"-"&amp;'Template Setup'!$C$16)</f>
        <v/>
      </c>
      <c r="R158" s="24" t="str">
        <f t="shared" si="9"/>
        <v/>
      </c>
      <c r="S158" s="24"/>
      <c r="T158" s="24" t="str">
        <f t="shared" si="10"/>
        <v/>
      </c>
      <c r="U158" s="6" t="str">
        <f t="shared" si="12"/>
        <v/>
      </c>
    </row>
    <row r="159" spans="1:21">
      <c r="A159" s="11"/>
      <c r="B159" s="11"/>
      <c r="C159" s="11"/>
      <c r="D159" s="11" t="str">
        <f>IF($A159="","",_xlfn.TEXTJOIN(", ",TRUE,IF($G159&gt;0,'Template Setup'!$C$4,""),IF($H159&gt;0,'Template Setup'!$C$5,""),IF($I159&gt;0,'Template Setup'!$C$6,""),IF($J159&gt;0,'Template Setup'!$C$7,""),IF($K159&gt;0,'Template Setup'!$C$8,"")))</f>
        <v/>
      </c>
      <c r="E159" s="6" t="str" cm="1">
        <f t="array" ref="E159">IF($A159="","",_xlfn.LET(_xlpm.sheets,CHOOSE({1,2,3,4,5},'Template Setup'!$C$4,'Template Setup'!$C$5,'Template Setup'!$C$6,'Template Setup'!$C$7,'Template Setup'!$C$8),_xlpm.nums,CHOOSE({1,2,3,4,5},$L159,$M159,$N159,$O159,$P159),_xlpm.qtys,CHOOSE({1,2,3,4,5},$G159,$H159,$I159,$J159,$K159),_xlpm.validNums,_xlfn._xlws.FILTER(_xlpm.nums,_xlpm.qtys&gt;0),_xlpm.validSheets,_xlfn._xlws.FILTER(_xlpm.sheets,_xlpm.qtys&gt;0),_xlpm.mx,IFERROR(MAX(_xlpm.validNums),0),IF(_xlpm.mx=0,"",INDEX(_xlpm.validSheets,MATCH(_xlpm.mx,_xlpm.validNums,0))&amp;" (+"&amp;$R159&amp;")")))</f>
        <v/>
      </c>
      <c r="F159" s="11" t="str">
        <f t="shared" si="11"/>
        <v/>
      </c>
      <c r="G159" s="12" t="str">
        <f ca="1">IF($A159="","",IFERROR(SUMIF(INDIRECT("'"&amp;'Template Setup'!$C$4&amp;"'!C:C"),$A159,INDIRECT("'"&amp;'Template Setup'!$C$4&amp;"'!A:A")),0))</f>
        <v/>
      </c>
      <c r="H159" s="12" t="str">
        <f ca="1">IF($A159="","",IFERROR(SUMIF(INDIRECT("'"&amp;'Template Setup'!$C$5&amp;"'!C:C"),$A159,INDIRECT("'"&amp;'Template Setup'!$C$5&amp;"'!A:A")),0))</f>
        <v/>
      </c>
      <c r="I159" s="12" t="str">
        <f ca="1">IF($A159="","",IFERROR(SUMIF(INDIRECT("'"&amp;'Template Setup'!$C$6&amp;"'!C:C"),$A159,INDIRECT("'"&amp;'Template Setup'!$C$6&amp;"'!A:A")),0))</f>
        <v/>
      </c>
      <c r="J159" s="12" t="str">
        <f ca="1">IF($A159="","",IFERROR(SUMIF(INDIRECT("'"&amp;'Template Setup'!$C$7&amp;"'!C:C"),$A159,INDIRECT("'"&amp;'Template Setup'!$C$7&amp;"'!A:A")),0))</f>
        <v/>
      </c>
      <c r="K159" s="12" t="str">
        <f ca="1">IF($A159="","",IFERROR(SUMIF(INDIRECT("'"&amp;'Template Setup'!$C$8&amp;"'!C:C"),$A159,INDIRECT("'"&amp;'Template Setup'!$C$8&amp;"'!A:A")),0))</f>
        <v/>
      </c>
      <c r="L159" s="11" t="str">
        <f>IF($A159="","",IFERROR(VALUE(MID(TRIM('Template Setup'!$C$4),FIND("-",TRIM('Template Setup'!$C$4))+1,10)),0))</f>
        <v/>
      </c>
      <c r="M159" s="11" t="str">
        <f>IF($A159="","",IFERROR(VALUE(MID(TRIM('Template Setup'!$C$5),FIND("-",TRIM('Template Setup'!$C$5))+1,10)),0))</f>
        <v/>
      </c>
      <c r="N159" s="11" t="str">
        <f>IF($A159="","",IFERROR(VALUE(MID(TRIM('Template Setup'!$C$6),FIND("-",TRIM('Template Setup'!$C$6))+1,10)),0))</f>
        <v/>
      </c>
      <c r="O159" s="11" t="str">
        <f>IF($A159="","",IFERROR(VALUE(MID(TRIM('Template Setup'!$C$7),FIND("-",TRIM('Template Setup'!$C$7))+1,10)),0))</f>
        <v/>
      </c>
      <c r="P159" s="11" t="str">
        <f>IF($A159="","",IFERROR(VALUE(MID(TRIM('Template Setup'!$C$8),FIND("-",TRIM('Template Setup'!$C$8))+1,10)),0))</f>
        <v/>
      </c>
      <c r="Q159" s="9" t="str">
        <f>IF($A159="","",$A159&amp;"-"&amp;'Template Setup'!$C$16)</f>
        <v/>
      </c>
      <c r="R159" s="24" t="str">
        <f t="shared" si="9"/>
        <v/>
      </c>
      <c r="S159" s="24"/>
      <c r="T159" s="24" t="str">
        <f t="shared" si="10"/>
        <v/>
      </c>
      <c r="U159" s="6" t="str">
        <f t="shared" si="12"/>
        <v/>
      </c>
    </row>
    <row r="160" spans="1:21">
      <c r="A160" s="11"/>
      <c r="B160" s="11"/>
      <c r="C160" s="11"/>
      <c r="D160" s="11" t="str">
        <f>IF($A160="","",_xlfn.TEXTJOIN(", ",TRUE,IF($G160&gt;0,'Template Setup'!$C$4,""),IF($H160&gt;0,'Template Setup'!$C$5,""),IF($I160&gt;0,'Template Setup'!$C$6,""),IF($J160&gt;0,'Template Setup'!$C$7,""),IF($K160&gt;0,'Template Setup'!$C$8,"")))</f>
        <v/>
      </c>
      <c r="E160" s="6" t="str" cm="1">
        <f t="array" ref="E160">IF($A160="","",_xlfn.LET(_xlpm.sheets,CHOOSE({1,2,3,4,5},'Template Setup'!$C$4,'Template Setup'!$C$5,'Template Setup'!$C$6,'Template Setup'!$C$7,'Template Setup'!$C$8),_xlpm.nums,CHOOSE({1,2,3,4,5},$L160,$M160,$N160,$O160,$P160),_xlpm.qtys,CHOOSE({1,2,3,4,5},$G160,$H160,$I160,$J160,$K160),_xlpm.validNums,_xlfn._xlws.FILTER(_xlpm.nums,_xlpm.qtys&gt;0),_xlpm.validSheets,_xlfn._xlws.FILTER(_xlpm.sheets,_xlpm.qtys&gt;0),_xlpm.mx,IFERROR(MAX(_xlpm.validNums),0),IF(_xlpm.mx=0,"",INDEX(_xlpm.validSheets,MATCH(_xlpm.mx,_xlpm.validNums,0))&amp;" (+"&amp;$R160&amp;")")))</f>
        <v/>
      </c>
      <c r="F160" s="11" t="str">
        <f t="shared" si="11"/>
        <v/>
      </c>
      <c r="G160" s="12" t="str">
        <f ca="1">IF($A160="","",IFERROR(SUMIF(INDIRECT("'"&amp;'Template Setup'!$C$4&amp;"'!C:C"),$A160,INDIRECT("'"&amp;'Template Setup'!$C$4&amp;"'!A:A")),0))</f>
        <v/>
      </c>
      <c r="H160" s="12" t="str">
        <f ca="1">IF($A160="","",IFERROR(SUMIF(INDIRECT("'"&amp;'Template Setup'!$C$5&amp;"'!C:C"),$A160,INDIRECT("'"&amp;'Template Setup'!$C$5&amp;"'!A:A")),0))</f>
        <v/>
      </c>
      <c r="I160" s="12" t="str">
        <f ca="1">IF($A160="","",IFERROR(SUMIF(INDIRECT("'"&amp;'Template Setup'!$C$6&amp;"'!C:C"),$A160,INDIRECT("'"&amp;'Template Setup'!$C$6&amp;"'!A:A")),0))</f>
        <v/>
      </c>
      <c r="J160" s="12" t="str">
        <f ca="1">IF($A160="","",IFERROR(SUMIF(INDIRECT("'"&amp;'Template Setup'!$C$7&amp;"'!C:C"),$A160,INDIRECT("'"&amp;'Template Setup'!$C$7&amp;"'!A:A")),0))</f>
        <v/>
      </c>
      <c r="K160" s="12" t="str">
        <f ca="1">IF($A160="","",IFERROR(SUMIF(INDIRECT("'"&amp;'Template Setup'!$C$8&amp;"'!C:C"),$A160,INDIRECT("'"&amp;'Template Setup'!$C$8&amp;"'!A:A")),0))</f>
        <v/>
      </c>
      <c r="L160" s="11" t="str">
        <f>IF($A160="","",IFERROR(VALUE(MID(TRIM('Template Setup'!$C$4),FIND("-",TRIM('Template Setup'!$C$4))+1,10)),0))</f>
        <v/>
      </c>
      <c r="M160" s="11" t="str">
        <f>IF($A160="","",IFERROR(VALUE(MID(TRIM('Template Setup'!$C$5),FIND("-",TRIM('Template Setup'!$C$5))+1,10)),0))</f>
        <v/>
      </c>
      <c r="N160" s="11" t="str">
        <f>IF($A160="","",IFERROR(VALUE(MID(TRIM('Template Setup'!$C$6),FIND("-",TRIM('Template Setup'!$C$6))+1,10)),0))</f>
        <v/>
      </c>
      <c r="O160" s="11" t="str">
        <f>IF($A160="","",IFERROR(VALUE(MID(TRIM('Template Setup'!$C$7),FIND("-",TRIM('Template Setup'!$C$7))+1,10)),0))</f>
        <v/>
      </c>
      <c r="P160" s="11" t="str">
        <f>IF($A160="","",IFERROR(VALUE(MID(TRIM('Template Setup'!$C$8),FIND("-",TRIM('Template Setup'!$C$8))+1,10)),0))</f>
        <v/>
      </c>
      <c r="Q160" s="9" t="str">
        <f>IF($A160="","",$A160&amp;"-"&amp;'Template Setup'!$C$16)</f>
        <v/>
      </c>
      <c r="R160" s="24" t="str">
        <f t="shared" si="9"/>
        <v/>
      </c>
      <c r="S160" s="24"/>
      <c r="T160" s="24" t="str">
        <f t="shared" si="10"/>
        <v/>
      </c>
      <c r="U160" s="6" t="str">
        <f t="shared" si="12"/>
        <v/>
      </c>
    </row>
    <row r="161" spans="1:21">
      <c r="A161" s="11"/>
      <c r="B161" s="11"/>
      <c r="C161" s="11"/>
      <c r="D161" s="11" t="str">
        <f>IF($A161="","",_xlfn.TEXTJOIN(", ",TRUE,IF($G161&gt;0,'Template Setup'!$C$4,""),IF($H161&gt;0,'Template Setup'!$C$5,""),IF($I161&gt;0,'Template Setup'!$C$6,""),IF($J161&gt;0,'Template Setup'!$C$7,""),IF($K161&gt;0,'Template Setup'!$C$8,"")))</f>
        <v/>
      </c>
      <c r="E161" s="6" t="str" cm="1">
        <f t="array" ref="E161">IF($A161="","",_xlfn.LET(_xlpm.sheets,CHOOSE({1,2,3,4,5},'Template Setup'!$C$4,'Template Setup'!$C$5,'Template Setup'!$C$6,'Template Setup'!$C$7,'Template Setup'!$C$8),_xlpm.nums,CHOOSE({1,2,3,4,5},$L161,$M161,$N161,$O161,$P161),_xlpm.qtys,CHOOSE({1,2,3,4,5},$G161,$H161,$I161,$J161,$K161),_xlpm.validNums,_xlfn._xlws.FILTER(_xlpm.nums,_xlpm.qtys&gt;0),_xlpm.validSheets,_xlfn._xlws.FILTER(_xlpm.sheets,_xlpm.qtys&gt;0),_xlpm.mx,IFERROR(MAX(_xlpm.validNums),0),IF(_xlpm.mx=0,"",INDEX(_xlpm.validSheets,MATCH(_xlpm.mx,_xlpm.validNums,0))&amp;" (+"&amp;$R161&amp;")")))</f>
        <v/>
      </c>
      <c r="F161" s="11" t="str">
        <f t="shared" si="11"/>
        <v/>
      </c>
      <c r="G161" s="12" t="str">
        <f ca="1">IF($A161="","",IFERROR(SUMIF(INDIRECT("'"&amp;'Template Setup'!$C$4&amp;"'!C:C"),$A161,INDIRECT("'"&amp;'Template Setup'!$C$4&amp;"'!A:A")),0))</f>
        <v/>
      </c>
      <c r="H161" s="12" t="str">
        <f ca="1">IF($A161="","",IFERROR(SUMIF(INDIRECT("'"&amp;'Template Setup'!$C$5&amp;"'!C:C"),$A161,INDIRECT("'"&amp;'Template Setup'!$C$5&amp;"'!A:A")),0))</f>
        <v/>
      </c>
      <c r="I161" s="12" t="str">
        <f ca="1">IF($A161="","",IFERROR(SUMIF(INDIRECT("'"&amp;'Template Setup'!$C$6&amp;"'!C:C"),$A161,INDIRECT("'"&amp;'Template Setup'!$C$6&amp;"'!A:A")),0))</f>
        <v/>
      </c>
      <c r="J161" s="12" t="str">
        <f ca="1">IF($A161="","",IFERROR(SUMIF(INDIRECT("'"&amp;'Template Setup'!$C$7&amp;"'!C:C"),$A161,INDIRECT("'"&amp;'Template Setup'!$C$7&amp;"'!A:A")),0))</f>
        <v/>
      </c>
      <c r="K161" s="12" t="str">
        <f ca="1">IF($A161="","",IFERROR(SUMIF(INDIRECT("'"&amp;'Template Setup'!$C$8&amp;"'!C:C"),$A161,INDIRECT("'"&amp;'Template Setup'!$C$8&amp;"'!A:A")),0))</f>
        <v/>
      </c>
      <c r="L161" s="11" t="str">
        <f>IF($A161="","",IFERROR(VALUE(MID(TRIM('Template Setup'!$C$4),FIND("-",TRIM('Template Setup'!$C$4))+1,10)),0))</f>
        <v/>
      </c>
      <c r="M161" s="11" t="str">
        <f>IF($A161="","",IFERROR(VALUE(MID(TRIM('Template Setup'!$C$5),FIND("-",TRIM('Template Setup'!$C$5))+1,10)),0))</f>
        <v/>
      </c>
      <c r="N161" s="11" t="str">
        <f>IF($A161="","",IFERROR(VALUE(MID(TRIM('Template Setup'!$C$6),FIND("-",TRIM('Template Setup'!$C$6))+1,10)),0))</f>
        <v/>
      </c>
      <c r="O161" s="11" t="str">
        <f>IF($A161="","",IFERROR(VALUE(MID(TRIM('Template Setup'!$C$7),FIND("-",TRIM('Template Setup'!$C$7))+1,10)),0))</f>
        <v/>
      </c>
      <c r="P161" s="11" t="str">
        <f>IF($A161="","",IFERROR(VALUE(MID(TRIM('Template Setup'!$C$8),FIND("-",TRIM('Template Setup'!$C$8))+1,10)),0))</f>
        <v/>
      </c>
      <c r="Q161" s="9" t="str">
        <f>IF($A161="","",$A161&amp;"-"&amp;'Template Setup'!$C$16)</f>
        <v/>
      </c>
      <c r="R161" s="24" t="str">
        <f t="shared" si="9"/>
        <v/>
      </c>
      <c r="S161" s="24"/>
      <c r="T161" s="24" t="str">
        <f t="shared" si="10"/>
        <v/>
      </c>
      <c r="U161" s="6" t="str">
        <f t="shared" si="12"/>
        <v/>
      </c>
    </row>
    <row r="162" spans="1:21">
      <c r="A162" s="11"/>
      <c r="B162" s="11"/>
      <c r="C162" s="11"/>
      <c r="D162" s="11" t="str">
        <f>IF($A162="","",_xlfn.TEXTJOIN(", ",TRUE,IF($G162&gt;0,'Template Setup'!$C$4,""),IF($H162&gt;0,'Template Setup'!$C$5,""),IF($I162&gt;0,'Template Setup'!$C$6,""),IF($J162&gt;0,'Template Setup'!$C$7,""),IF($K162&gt;0,'Template Setup'!$C$8,"")))</f>
        <v/>
      </c>
      <c r="E162" s="6" t="str" cm="1">
        <f t="array" ref="E162">IF($A162="","",_xlfn.LET(_xlpm.sheets,CHOOSE({1,2,3,4,5},'Template Setup'!$C$4,'Template Setup'!$C$5,'Template Setup'!$C$6,'Template Setup'!$C$7,'Template Setup'!$C$8),_xlpm.nums,CHOOSE({1,2,3,4,5},$L162,$M162,$N162,$O162,$P162),_xlpm.qtys,CHOOSE({1,2,3,4,5},$G162,$H162,$I162,$J162,$K162),_xlpm.validNums,_xlfn._xlws.FILTER(_xlpm.nums,_xlpm.qtys&gt;0),_xlpm.validSheets,_xlfn._xlws.FILTER(_xlpm.sheets,_xlpm.qtys&gt;0),_xlpm.mx,IFERROR(MAX(_xlpm.validNums),0),IF(_xlpm.mx=0,"",INDEX(_xlpm.validSheets,MATCH(_xlpm.mx,_xlpm.validNums,0))&amp;" (+"&amp;$R162&amp;")")))</f>
        <v/>
      </c>
      <c r="F162" s="11" t="str">
        <f t="shared" si="11"/>
        <v/>
      </c>
      <c r="G162" s="12" t="str">
        <f ca="1">IF($A162="","",IFERROR(SUMIF(INDIRECT("'"&amp;'Template Setup'!$C$4&amp;"'!C:C"),$A162,INDIRECT("'"&amp;'Template Setup'!$C$4&amp;"'!A:A")),0))</f>
        <v/>
      </c>
      <c r="H162" s="12" t="str">
        <f ca="1">IF($A162="","",IFERROR(SUMIF(INDIRECT("'"&amp;'Template Setup'!$C$5&amp;"'!C:C"),$A162,INDIRECT("'"&amp;'Template Setup'!$C$5&amp;"'!A:A")),0))</f>
        <v/>
      </c>
      <c r="I162" s="12" t="str">
        <f ca="1">IF($A162="","",IFERROR(SUMIF(INDIRECT("'"&amp;'Template Setup'!$C$6&amp;"'!C:C"),$A162,INDIRECT("'"&amp;'Template Setup'!$C$6&amp;"'!A:A")),0))</f>
        <v/>
      </c>
      <c r="J162" s="12" t="str">
        <f ca="1">IF($A162="","",IFERROR(SUMIF(INDIRECT("'"&amp;'Template Setup'!$C$7&amp;"'!C:C"),$A162,INDIRECT("'"&amp;'Template Setup'!$C$7&amp;"'!A:A")),0))</f>
        <v/>
      </c>
      <c r="K162" s="12" t="str">
        <f ca="1">IF($A162="","",IFERROR(SUMIF(INDIRECT("'"&amp;'Template Setup'!$C$8&amp;"'!C:C"),$A162,INDIRECT("'"&amp;'Template Setup'!$C$8&amp;"'!A:A")),0))</f>
        <v/>
      </c>
      <c r="L162" s="11" t="str">
        <f>IF($A162="","",IFERROR(VALUE(MID(TRIM('Template Setup'!$C$4),FIND("-",TRIM('Template Setup'!$C$4))+1,10)),0))</f>
        <v/>
      </c>
      <c r="M162" s="11" t="str">
        <f>IF($A162="","",IFERROR(VALUE(MID(TRIM('Template Setup'!$C$5),FIND("-",TRIM('Template Setup'!$C$5))+1,10)),0))</f>
        <v/>
      </c>
      <c r="N162" s="11" t="str">
        <f>IF($A162="","",IFERROR(VALUE(MID(TRIM('Template Setup'!$C$6),FIND("-",TRIM('Template Setup'!$C$6))+1,10)),0))</f>
        <v/>
      </c>
      <c r="O162" s="11" t="str">
        <f>IF($A162="","",IFERROR(VALUE(MID(TRIM('Template Setup'!$C$7),FIND("-",TRIM('Template Setup'!$C$7))+1,10)),0))</f>
        <v/>
      </c>
      <c r="P162" s="11" t="str">
        <f>IF($A162="","",IFERROR(VALUE(MID(TRIM('Template Setup'!$C$8),FIND("-",TRIM('Template Setup'!$C$8))+1,10)),0))</f>
        <v/>
      </c>
      <c r="Q162" s="9" t="str">
        <f>IF($A162="","",$A162&amp;"-"&amp;'Template Setup'!$C$16)</f>
        <v/>
      </c>
      <c r="R162" s="24" t="str">
        <f t="shared" si="9"/>
        <v/>
      </c>
      <c r="S162" s="24"/>
      <c r="T162" s="24" t="str">
        <f t="shared" si="10"/>
        <v/>
      </c>
      <c r="U162" s="6" t="str">
        <f t="shared" si="12"/>
        <v/>
      </c>
    </row>
    <row r="163" spans="1:21">
      <c r="A163" s="11"/>
      <c r="B163" s="11"/>
      <c r="C163" s="11"/>
      <c r="D163" s="11" t="str">
        <f>IF($A163="","",_xlfn.TEXTJOIN(", ",TRUE,IF($G163&gt;0,'Template Setup'!$C$4,""),IF($H163&gt;0,'Template Setup'!$C$5,""),IF($I163&gt;0,'Template Setup'!$C$6,""),IF($J163&gt;0,'Template Setup'!$C$7,""),IF($K163&gt;0,'Template Setup'!$C$8,"")))</f>
        <v/>
      </c>
      <c r="E163" s="6" t="str" cm="1">
        <f t="array" ref="E163">IF($A163="","",_xlfn.LET(_xlpm.sheets,CHOOSE({1,2,3,4,5},'Template Setup'!$C$4,'Template Setup'!$C$5,'Template Setup'!$C$6,'Template Setup'!$C$7,'Template Setup'!$C$8),_xlpm.nums,CHOOSE({1,2,3,4,5},$L163,$M163,$N163,$O163,$P163),_xlpm.qtys,CHOOSE({1,2,3,4,5},$G163,$H163,$I163,$J163,$K163),_xlpm.validNums,_xlfn._xlws.FILTER(_xlpm.nums,_xlpm.qtys&gt;0),_xlpm.validSheets,_xlfn._xlws.FILTER(_xlpm.sheets,_xlpm.qtys&gt;0),_xlpm.mx,IFERROR(MAX(_xlpm.validNums),0),IF(_xlpm.mx=0,"",INDEX(_xlpm.validSheets,MATCH(_xlpm.mx,_xlpm.validNums,0))&amp;" (+"&amp;$R163&amp;")")))</f>
        <v/>
      </c>
      <c r="F163" s="11" t="str">
        <f t="shared" si="11"/>
        <v/>
      </c>
      <c r="G163" s="12" t="str">
        <f ca="1">IF($A163="","",IFERROR(SUMIF(INDIRECT("'"&amp;'Template Setup'!$C$4&amp;"'!C:C"),$A163,INDIRECT("'"&amp;'Template Setup'!$C$4&amp;"'!A:A")),0))</f>
        <v/>
      </c>
      <c r="H163" s="12" t="str">
        <f ca="1">IF($A163="","",IFERROR(SUMIF(INDIRECT("'"&amp;'Template Setup'!$C$5&amp;"'!C:C"),$A163,INDIRECT("'"&amp;'Template Setup'!$C$5&amp;"'!A:A")),0))</f>
        <v/>
      </c>
      <c r="I163" s="12" t="str">
        <f ca="1">IF($A163="","",IFERROR(SUMIF(INDIRECT("'"&amp;'Template Setup'!$C$6&amp;"'!C:C"),$A163,INDIRECT("'"&amp;'Template Setup'!$C$6&amp;"'!A:A")),0))</f>
        <v/>
      </c>
      <c r="J163" s="12" t="str">
        <f ca="1">IF($A163="","",IFERROR(SUMIF(INDIRECT("'"&amp;'Template Setup'!$C$7&amp;"'!C:C"),$A163,INDIRECT("'"&amp;'Template Setup'!$C$7&amp;"'!A:A")),0))</f>
        <v/>
      </c>
      <c r="K163" s="12" t="str">
        <f ca="1">IF($A163="","",IFERROR(SUMIF(INDIRECT("'"&amp;'Template Setup'!$C$8&amp;"'!C:C"),$A163,INDIRECT("'"&amp;'Template Setup'!$C$8&amp;"'!A:A")),0))</f>
        <v/>
      </c>
      <c r="L163" s="11" t="str">
        <f>IF($A163="","",IFERROR(VALUE(MID(TRIM('Template Setup'!$C$4),FIND("-",TRIM('Template Setup'!$C$4))+1,10)),0))</f>
        <v/>
      </c>
      <c r="M163" s="11" t="str">
        <f>IF($A163="","",IFERROR(VALUE(MID(TRIM('Template Setup'!$C$5),FIND("-",TRIM('Template Setup'!$C$5))+1,10)),0))</f>
        <v/>
      </c>
      <c r="N163" s="11" t="str">
        <f>IF($A163="","",IFERROR(VALUE(MID(TRIM('Template Setup'!$C$6),FIND("-",TRIM('Template Setup'!$C$6))+1,10)),0))</f>
        <v/>
      </c>
      <c r="O163" s="11" t="str">
        <f>IF($A163="","",IFERROR(VALUE(MID(TRIM('Template Setup'!$C$7),FIND("-",TRIM('Template Setup'!$C$7))+1,10)),0))</f>
        <v/>
      </c>
      <c r="P163" s="11" t="str">
        <f>IF($A163="","",IFERROR(VALUE(MID(TRIM('Template Setup'!$C$8),FIND("-",TRIM('Template Setup'!$C$8))+1,10)),0))</f>
        <v/>
      </c>
      <c r="Q163" s="9" t="str">
        <f>IF($A163="","",$A163&amp;"-"&amp;'Template Setup'!$C$16)</f>
        <v/>
      </c>
      <c r="R163" s="24" t="str">
        <f t="shared" si="9"/>
        <v/>
      </c>
      <c r="S163" s="24"/>
      <c r="T163" s="24" t="str">
        <f t="shared" si="10"/>
        <v/>
      </c>
      <c r="U163" s="6" t="str">
        <f t="shared" si="12"/>
        <v/>
      </c>
    </row>
    <row r="164" spans="1:21">
      <c r="A164" s="11"/>
      <c r="B164" s="11"/>
      <c r="C164" s="11"/>
      <c r="D164" s="11" t="str">
        <f>IF($A164="","",_xlfn.TEXTJOIN(", ",TRUE,IF($G164&gt;0,'Template Setup'!$C$4,""),IF($H164&gt;0,'Template Setup'!$C$5,""),IF($I164&gt;0,'Template Setup'!$C$6,""),IF($J164&gt;0,'Template Setup'!$C$7,""),IF($K164&gt;0,'Template Setup'!$C$8,"")))</f>
        <v/>
      </c>
      <c r="E164" s="6" t="str" cm="1">
        <f t="array" ref="E164">IF($A164="","",_xlfn.LET(_xlpm.sheets,CHOOSE({1,2,3,4,5},'Template Setup'!$C$4,'Template Setup'!$C$5,'Template Setup'!$C$6,'Template Setup'!$C$7,'Template Setup'!$C$8),_xlpm.nums,CHOOSE({1,2,3,4,5},$L164,$M164,$N164,$O164,$P164),_xlpm.qtys,CHOOSE({1,2,3,4,5},$G164,$H164,$I164,$J164,$K164),_xlpm.validNums,_xlfn._xlws.FILTER(_xlpm.nums,_xlpm.qtys&gt;0),_xlpm.validSheets,_xlfn._xlws.FILTER(_xlpm.sheets,_xlpm.qtys&gt;0),_xlpm.mx,IFERROR(MAX(_xlpm.validNums),0),IF(_xlpm.mx=0,"",INDEX(_xlpm.validSheets,MATCH(_xlpm.mx,_xlpm.validNums,0))&amp;" (+"&amp;$R164&amp;")")))</f>
        <v/>
      </c>
      <c r="F164" s="11" t="str">
        <f t="shared" si="11"/>
        <v/>
      </c>
      <c r="G164" s="12" t="str">
        <f ca="1">IF($A164="","",IFERROR(SUMIF(INDIRECT("'"&amp;'Template Setup'!$C$4&amp;"'!C:C"),$A164,INDIRECT("'"&amp;'Template Setup'!$C$4&amp;"'!A:A")),0))</f>
        <v/>
      </c>
      <c r="H164" s="12" t="str">
        <f ca="1">IF($A164="","",IFERROR(SUMIF(INDIRECT("'"&amp;'Template Setup'!$C$5&amp;"'!C:C"),$A164,INDIRECT("'"&amp;'Template Setup'!$C$5&amp;"'!A:A")),0))</f>
        <v/>
      </c>
      <c r="I164" s="12" t="str">
        <f ca="1">IF($A164="","",IFERROR(SUMIF(INDIRECT("'"&amp;'Template Setup'!$C$6&amp;"'!C:C"),$A164,INDIRECT("'"&amp;'Template Setup'!$C$6&amp;"'!A:A")),0))</f>
        <v/>
      </c>
      <c r="J164" s="12" t="str">
        <f ca="1">IF($A164="","",IFERROR(SUMIF(INDIRECT("'"&amp;'Template Setup'!$C$7&amp;"'!C:C"),$A164,INDIRECT("'"&amp;'Template Setup'!$C$7&amp;"'!A:A")),0))</f>
        <v/>
      </c>
      <c r="K164" s="12" t="str">
        <f ca="1">IF($A164="","",IFERROR(SUMIF(INDIRECT("'"&amp;'Template Setup'!$C$8&amp;"'!C:C"),$A164,INDIRECT("'"&amp;'Template Setup'!$C$8&amp;"'!A:A")),0))</f>
        <v/>
      </c>
      <c r="L164" s="11" t="str">
        <f>IF($A164="","",IFERROR(VALUE(MID(TRIM('Template Setup'!$C$4),FIND("-",TRIM('Template Setup'!$C$4))+1,10)),0))</f>
        <v/>
      </c>
      <c r="M164" s="11" t="str">
        <f>IF($A164="","",IFERROR(VALUE(MID(TRIM('Template Setup'!$C$5),FIND("-",TRIM('Template Setup'!$C$5))+1,10)),0))</f>
        <v/>
      </c>
      <c r="N164" s="11" t="str">
        <f>IF($A164="","",IFERROR(VALUE(MID(TRIM('Template Setup'!$C$6),FIND("-",TRIM('Template Setup'!$C$6))+1,10)),0))</f>
        <v/>
      </c>
      <c r="O164" s="11" t="str">
        <f>IF($A164="","",IFERROR(VALUE(MID(TRIM('Template Setup'!$C$7),FIND("-",TRIM('Template Setup'!$C$7))+1,10)),0))</f>
        <v/>
      </c>
      <c r="P164" s="11" t="str">
        <f>IF($A164="","",IFERROR(VALUE(MID(TRIM('Template Setup'!$C$8),FIND("-",TRIM('Template Setup'!$C$8))+1,10)),0))</f>
        <v/>
      </c>
      <c r="Q164" s="9" t="str">
        <f>IF($A164="","",$A164&amp;"-"&amp;'Template Setup'!$C$16)</f>
        <v/>
      </c>
      <c r="R164" s="24" t="str">
        <f t="shared" si="9"/>
        <v/>
      </c>
      <c r="S164" s="24"/>
      <c r="T164" s="24" t="str">
        <f t="shared" si="10"/>
        <v/>
      </c>
      <c r="U164" s="6" t="str">
        <f t="shared" si="12"/>
        <v/>
      </c>
    </row>
    <row r="165" spans="1:21">
      <c r="A165" s="11"/>
      <c r="B165" s="11"/>
      <c r="C165" s="11"/>
      <c r="D165" s="11" t="str">
        <f>IF($A165="","",_xlfn.TEXTJOIN(", ",TRUE,IF($G165&gt;0,'Template Setup'!$C$4,""),IF($H165&gt;0,'Template Setup'!$C$5,""),IF($I165&gt;0,'Template Setup'!$C$6,""),IF($J165&gt;0,'Template Setup'!$C$7,""),IF($K165&gt;0,'Template Setup'!$C$8,"")))</f>
        <v/>
      </c>
      <c r="E165" s="6" t="str" cm="1">
        <f t="array" ref="E165">IF($A165="","",_xlfn.LET(_xlpm.sheets,CHOOSE({1,2,3,4,5},'Template Setup'!$C$4,'Template Setup'!$C$5,'Template Setup'!$C$6,'Template Setup'!$C$7,'Template Setup'!$C$8),_xlpm.nums,CHOOSE({1,2,3,4,5},$L165,$M165,$N165,$O165,$P165),_xlpm.qtys,CHOOSE({1,2,3,4,5},$G165,$H165,$I165,$J165,$K165),_xlpm.validNums,_xlfn._xlws.FILTER(_xlpm.nums,_xlpm.qtys&gt;0),_xlpm.validSheets,_xlfn._xlws.FILTER(_xlpm.sheets,_xlpm.qtys&gt;0),_xlpm.mx,IFERROR(MAX(_xlpm.validNums),0),IF(_xlpm.mx=0,"",INDEX(_xlpm.validSheets,MATCH(_xlpm.mx,_xlpm.validNums,0))&amp;" (+"&amp;$R165&amp;")")))</f>
        <v/>
      </c>
      <c r="F165" s="11" t="str">
        <f t="shared" si="11"/>
        <v/>
      </c>
      <c r="G165" s="12" t="str">
        <f ca="1">IF($A165="","",IFERROR(SUMIF(INDIRECT("'"&amp;'Template Setup'!$C$4&amp;"'!C:C"),$A165,INDIRECT("'"&amp;'Template Setup'!$C$4&amp;"'!A:A")),0))</f>
        <v/>
      </c>
      <c r="H165" s="12" t="str">
        <f ca="1">IF($A165="","",IFERROR(SUMIF(INDIRECT("'"&amp;'Template Setup'!$C$5&amp;"'!C:C"),$A165,INDIRECT("'"&amp;'Template Setup'!$C$5&amp;"'!A:A")),0))</f>
        <v/>
      </c>
      <c r="I165" s="12" t="str">
        <f ca="1">IF($A165="","",IFERROR(SUMIF(INDIRECT("'"&amp;'Template Setup'!$C$6&amp;"'!C:C"),$A165,INDIRECT("'"&amp;'Template Setup'!$C$6&amp;"'!A:A")),0))</f>
        <v/>
      </c>
      <c r="J165" s="12" t="str">
        <f ca="1">IF($A165="","",IFERROR(SUMIF(INDIRECT("'"&amp;'Template Setup'!$C$7&amp;"'!C:C"),$A165,INDIRECT("'"&amp;'Template Setup'!$C$7&amp;"'!A:A")),0))</f>
        <v/>
      </c>
      <c r="K165" s="12" t="str">
        <f ca="1">IF($A165="","",IFERROR(SUMIF(INDIRECT("'"&amp;'Template Setup'!$C$8&amp;"'!C:C"),$A165,INDIRECT("'"&amp;'Template Setup'!$C$8&amp;"'!A:A")),0))</f>
        <v/>
      </c>
      <c r="L165" s="11" t="str">
        <f>IF($A165="","",IFERROR(VALUE(MID(TRIM('Template Setup'!$C$4),FIND("-",TRIM('Template Setup'!$C$4))+1,10)),0))</f>
        <v/>
      </c>
      <c r="M165" s="11" t="str">
        <f>IF($A165="","",IFERROR(VALUE(MID(TRIM('Template Setup'!$C$5),FIND("-",TRIM('Template Setup'!$C$5))+1,10)),0))</f>
        <v/>
      </c>
      <c r="N165" s="11" t="str">
        <f>IF($A165="","",IFERROR(VALUE(MID(TRIM('Template Setup'!$C$6),FIND("-",TRIM('Template Setup'!$C$6))+1,10)),0))</f>
        <v/>
      </c>
      <c r="O165" s="11" t="str">
        <f>IF($A165="","",IFERROR(VALUE(MID(TRIM('Template Setup'!$C$7),FIND("-",TRIM('Template Setup'!$C$7))+1,10)),0))</f>
        <v/>
      </c>
      <c r="P165" s="11" t="str">
        <f>IF($A165="","",IFERROR(VALUE(MID(TRIM('Template Setup'!$C$8),FIND("-",TRIM('Template Setup'!$C$8))+1,10)),0))</f>
        <v/>
      </c>
      <c r="Q165" s="9" t="str">
        <f>IF($A165="","",$A165&amp;"-"&amp;'Template Setup'!$C$16)</f>
        <v/>
      </c>
      <c r="R165" s="24" t="str">
        <f t="shared" si="9"/>
        <v/>
      </c>
      <c r="S165" s="24"/>
      <c r="T165" s="24" t="str">
        <f t="shared" si="10"/>
        <v/>
      </c>
      <c r="U165" s="6" t="str">
        <f t="shared" si="12"/>
        <v/>
      </c>
    </row>
    <row r="166" spans="1:21">
      <c r="A166" s="11"/>
      <c r="B166" s="11"/>
      <c r="C166" s="11"/>
      <c r="D166" s="11" t="str">
        <f>IF($A166="","",_xlfn.TEXTJOIN(", ",TRUE,IF($G166&gt;0,'Template Setup'!$C$4,""),IF($H166&gt;0,'Template Setup'!$C$5,""),IF($I166&gt;0,'Template Setup'!$C$6,""),IF($J166&gt;0,'Template Setup'!$C$7,""),IF($K166&gt;0,'Template Setup'!$C$8,"")))</f>
        <v/>
      </c>
      <c r="E166" s="6" t="str" cm="1">
        <f t="array" ref="E166">IF($A166="","",_xlfn.LET(_xlpm.sheets,CHOOSE({1,2,3,4,5},'Template Setup'!$C$4,'Template Setup'!$C$5,'Template Setup'!$C$6,'Template Setup'!$C$7,'Template Setup'!$C$8),_xlpm.nums,CHOOSE({1,2,3,4,5},$L166,$M166,$N166,$O166,$P166),_xlpm.qtys,CHOOSE({1,2,3,4,5},$G166,$H166,$I166,$J166,$K166),_xlpm.validNums,_xlfn._xlws.FILTER(_xlpm.nums,_xlpm.qtys&gt;0),_xlpm.validSheets,_xlfn._xlws.FILTER(_xlpm.sheets,_xlpm.qtys&gt;0),_xlpm.mx,IFERROR(MAX(_xlpm.validNums),0),IF(_xlpm.mx=0,"",INDEX(_xlpm.validSheets,MATCH(_xlpm.mx,_xlpm.validNums,0))&amp;" (+"&amp;$R166&amp;")")))</f>
        <v/>
      </c>
      <c r="F166" s="11" t="str">
        <f t="shared" si="11"/>
        <v/>
      </c>
      <c r="G166" s="12" t="str">
        <f ca="1">IF($A166="","",IFERROR(SUMIF(INDIRECT("'"&amp;'Template Setup'!$C$4&amp;"'!C:C"),$A166,INDIRECT("'"&amp;'Template Setup'!$C$4&amp;"'!A:A")),0))</f>
        <v/>
      </c>
      <c r="H166" s="12" t="str">
        <f ca="1">IF($A166="","",IFERROR(SUMIF(INDIRECT("'"&amp;'Template Setup'!$C$5&amp;"'!C:C"),$A166,INDIRECT("'"&amp;'Template Setup'!$C$5&amp;"'!A:A")),0))</f>
        <v/>
      </c>
      <c r="I166" s="12" t="str">
        <f ca="1">IF($A166="","",IFERROR(SUMIF(INDIRECT("'"&amp;'Template Setup'!$C$6&amp;"'!C:C"),$A166,INDIRECT("'"&amp;'Template Setup'!$C$6&amp;"'!A:A")),0))</f>
        <v/>
      </c>
      <c r="J166" s="12" t="str">
        <f ca="1">IF($A166="","",IFERROR(SUMIF(INDIRECT("'"&amp;'Template Setup'!$C$7&amp;"'!C:C"),$A166,INDIRECT("'"&amp;'Template Setup'!$C$7&amp;"'!A:A")),0))</f>
        <v/>
      </c>
      <c r="K166" s="12" t="str">
        <f ca="1">IF($A166="","",IFERROR(SUMIF(INDIRECT("'"&amp;'Template Setup'!$C$8&amp;"'!C:C"),$A166,INDIRECT("'"&amp;'Template Setup'!$C$8&amp;"'!A:A")),0))</f>
        <v/>
      </c>
      <c r="L166" s="11" t="str">
        <f>IF($A166="","",IFERROR(VALUE(MID(TRIM('Template Setup'!$C$4),FIND("-",TRIM('Template Setup'!$C$4))+1,10)),0))</f>
        <v/>
      </c>
      <c r="M166" s="11" t="str">
        <f>IF($A166="","",IFERROR(VALUE(MID(TRIM('Template Setup'!$C$5),FIND("-",TRIM('Template Setup'!$C$5))+1,10)),0))</f>
        <v/>
      </c>
      <c r="N166" s="11" t="str">
        <f>IF($A166="","",IFERROR(VALUE(MID(TRIM('Template Setup'!$C$6),FIND("-",TRIM('Template Setup'!$C$6))+1,10)),0))</f>
        <v/>
      </c>
      <c r="O166" s="11" t="str">
        <f>IF($A166="","",IFERROR(VALUE(MID(TRIM('Template Setup'!$C$7),FIND("-",TRIM('Template Setup'!$C$7))+1,10)),0))</f>
        <v/>
      </c>
      <c r="P166" s="11" t="str">
        <f>IF($A166="","",IFERROR(VALUE(MID(TRIM('Template Setup'!$C$8),FIND("-",TRIM('Template Setup'!$C$8))+1,10)),0))</f>
        <v/>
      </c>
      <c r="Q166" s="9" t="str">
        <f>IF($A166="","",$A166&amp;"-"&amp;'Template Setup'!$C$16)</f>
        <v/>
      </c>
      <c r="R166" s="24" t="str">
        <f t="shared" si="9"/>
        <v/>
      </c>
      <c r="S166" s="24"/>
      <c r="T166" s="24" t="str">
        <f t="shared" si="10"/>
        <v/>
      </c>
      <c r="U166" s="6" t="str">
        <f t="shared" si="12"/>
        <v/>
      </c>
    </row>
    <row r="167" spans="1:21">
      <c r="A167" s="11"/>
      <c r="B167" s="11"/>
      <c r="C167" s="11"/>
      <c r="D167" s="11" t="str">
        <f>IF($A167="","",_xlfn.TEXTJOIN(", ",TRUE,IF($G167&gt;0,'Template Setup'!$C$4,""),IF($H167&gt;0,'Template Setup'!$C$5,""),IF($I167&gt;0,'Template Setup'!$C$6,""),IF($J167&gt;0,'Template Setup'!$C$7,""),IF($K167&gt;0,'Template Setup'!$C$8,"")))</f>
        <v/>
      </c>
      <c r="E167" s="6" t="str" cm="1">
        <f t="array" ref="E167">IF($A167="","",_xlfn.LET(_xlpm.sheets,CHOOSE({1,2,3,4,5},'Template Setup'!$C$4,'Template Setup'!$C$5,'Template Setup'!$C$6,'Template Setup'!$C$7,'Template Setup'!$C$8),_xlpm.nums,CHOOSE({1,2,3,4,5},$L167,$M167,$N167,$O167,$P167),_xlpm.qtys,CHOOSE({1,2,3,4,5},$G167,$H167,$I167,$J167,$K167),_xlpm.validNums,_xlfn._xlws.FILTER(_xlpm.nums,_xlpm.qtys&gt;0),_xlpm.validSheets,_xlfn._xlws.FILTER(_xlpm.sheets,_xlpm.qtys&gt;0),_xlpm.mx,IFERROR(MAX(_xlpm.validNums),0),IF(_xlpm.mx=0,"",INDEX(_xlpm.validSheets,MATCH(_xlpm.mx,_xlpm.validNums,0))&amp;" (+"&amp;$R167&amp;")")))</f>
        <v/>
      </c>
      <c r="F167" s="11" t="str">
        <f t="shared" si="11"/>
        <v/>
      </c>
      <c r="G167" s="12" t="str">
        <f ca="1">IF($A167="","",IFERROR(SUMIF(INDIRECT("'"&amp;'Template Setup'!$C$4&amp;"'!C:C"),$A167,INDIRECT("'"&amp;'Template Setup'!$C$4&amp;"'!A:A")),0))</f>
        <v/>
      </c>
      <c r="H167" s="12" t="str">
        <f ca="1">IF($A167="","",IFERROR(SUMIF(INDIRECT("'"&amp;'Template Setup'!$C$5&amp;"'!C:C"),$A167,INDIRECT("'"&amp;'Template Setup'!$C$5&amp;"'!A:A")),0))</f>
        <v/>
      </c>
      <c r="I167" s="12" t="str">
        <f ca="1">IF($A167="","",IFERROR(SUMIF(INDIRECT("'"&amp;'Template Setup'!$C$6&amp;"'!C:C"),$A167,INDIRECT("'"&amp;'Template Setup'!$C$6&amp;"'!A:A")),0))</f>
        <v/>
      </c>
      <c r="J167" s="12" t="str">
        <f ca="1">IF($A167="","",IFERROR(SUMIF(INDIRECT("'"&amp;'Template Setup'!$C$7&amp;"'!C:C"),$A167,INDIRECT("'"&amp;'Template Setup'!$C$7&amp;"'!A:A")),0))</f>
        <v/>
      </c>
      <c r="K167" s="12" t="str">
        <f ca="1">IF($A167="","",IFERROR(SUMIF(INDIRECT("'"&amp;'Template Setup'!$C$8&amp;"'!C:C"),$A167,INDIRECT("'"&amp;'Template Setup'!$C$8&amp;"'!A:A")),0))</f>
        <v/>
      </c>
      <c r="L167" s="11" t="str">
        <f>IF($A167="","",IFERROR(VALUE(MID(TRIM('Template Setup'!$C$4),FIND("-",TRIM('Template Setup'!$C$4))+1,10)),0))</f>
        <v/>
      </c>
      <c r="M167" s="11" t="str">
        <f>IF($A167="","",IFERROR(VALUE(MID(TRIM('Template Setup'!$C$5),FIND("-",TRIM('Template Setup'!$C$5))+1,10)),0))</f>
        <v/>
      </c>
      <c r="N167" s="11" t="str">
        <f>IF($A167="","",IFERROR(VALUE(MID(TRIM('Template Setup'!$C$6),FIND("-",TRIM('Template Setup'!$C$6))+1,10)),0))</f>
        <v/>
      </c>
      <c r="O167" s="11" t="str">
        <f>IF($A167="","",IFERROR(VALUE(MID(TRIM('Template Setup'!$C$7),FIND("-",TRIM('Template Setup'!$C$7))+1,10)),0))</f>
        <v/>
      </c>
      <c r="P167" s="11" t="str">
        <f>IF($A167="","",IFERROR(VALUE(MID(TRIM('Template Setup'!$C$8),FIND("-",TRIM('Template Setup'!$C$8))+1,10)),0))</f>
        <v/>
      </c>
      <c r="Q167" s="9" t="str">
        <f>IF($A167="","",$A167&amp;"-"&amp;'Template Setup'!$C$16)</f>
        <v/>
      </c>
      <c r="R167" s="24" t="str">
        <f t="shared" si="9"/>
        <v/>
      </c>
      <c r="S167" s="24"/>
      <c r="T167" s="24" t="str">
        <f t="shared" si="10"/>
        <v/>
      </c>
      <c r="U167" s="6" t="str">
        <f t="shared" si="12"/>
        <v/>
      </c>
    </row>
    <row r="168" spans="1:21">
      <c r="A168" s="11"/>
      <c r="B168" s="11"/>
      <c r="C168" s="11"/>
      <c r="D168" s="11" t="str">
        <f>IF($A168="","",_xlfn.TEXTJOIN(", ",TRUE,IF($G168&gt;0,'Template Setup'!$C$4,""),IF($H168&gt;0,'Template Setup'!$C$5,""),IF($I168&gt;0,'Template Setup'!$C$6,""),IF($J168&gt;0,'Template Setup'!$C$7,""),IF($K168&gt;0,'Template Setup'!$C$8,"")))</f>
        <v/>
      </c>
      <c r="E168" s="6" t="str" cm="1">
        <f t="array" ref="E168">IF($A168="","",_xlfn.LET(_xlpm.sheets,CHOOSE({1,2,3,4,5},'Template Setup'!$C$4,'Template Setup'!$C$5,'Template Setup'!$C$6,'Template Setup'!$C$7,'Template Setup'!$C$8),_xlpm.nums,CHOOSE({1,2,3,4,5},$L168,$M168,$N168,$O168,$P168),_xlpm.qtys,CHOOSE({1,2,3,4,5},$G168,$H168,$I168,$J168,$K168),_xlpm.validNums,_xlfn._xlws.FILTER(_xlpm.nums,_xlpm.qtys&gt;0),_xlpm.validSheets,_xlfn._xlws.FILTER(_xlpm.sheets,_xlpm.qtys&gt;0),_xlpm.mx,IFERROR(MAX(_xlpm.validNums),0),IF(_xlpm.mx=0,"",INDEX(_xlpm.validSheets,MATCH(_xlpm.mx,_xlpm.validNums,0))&amp;" (+"&amp;$R168&amp;")")))</f>
        <v/>
      </c>
      <c r="F168" s="11" t="str">
        <f t="shared" si="11"/>
        <v/>
      </c>
      <c r="G168" s="12" t="str">
        <f ca="1">IF($A168="","",IFERROR(SUMIF(INDIRECT("'"&amp;'Template Setup'!$C$4&amp;"'!C:C"),$A168,INDIRECT("'"&amp;'Template Setup'!$C$4&amp;"'!A:A")),0))</f>
        <v/>
      </c>
      <c r="H168" s="12" t="str">
        <f ca="1">IF($A168="","",IFERROR(SUMIF(INDIRECT("'"&amp;'Template Setup'!$C$5&amp;"'!C:C"),$A168,INDIRECT("'"&amp;'Template Setup'!$C$5&amp;"'!A:A")),0))</f>
        <v/>
      </c>
      <c r="I168" s="12" t="str">
        <f ca="1">IF($A168="","",IFERROR(SUMIF(INDIRECT("'"&amp;'Template Setup'!$C$6&amp;"'!C:C"),$A168,INDIRECT("'"&amp;'Template Setup'!$C$6&amp;"'!A:A")),0))</f>
        <v/>
      </c>
      <c r="J168" s="12" t="str">
        <f ca="1">IF($A168="","",IFERROR(SUMIF(INDIRECT("'"&amp;'Template Setup'!$C$7&amp;"'!C:C"),$A168,INDIRECT("'"&amp;'Template Setup'!$C$7&amp;"'!A:A")),0))</f>
        <v/>
      </c>
      <c r="K168" s="12" t="str">
        <f ca="1">IF($A168="","",IFERROR(SUMIF(INDIRECT("'"&amp;'Template Setup'!$C$8&amp;"'!C:C"),$A168,INDIRECT("'"&amp;'Template Setup'!$C$8&amp;"'!A:A")),0))</f>
        <v/>
      </c>
      <c r="L168" s="11" t="str">
        <f>IF($A168="","",IFERROR(VALUE(MID(TRIM('Template Setup'!$C$4),FIND("-",TRIM('Template Setup'!$C$4))+1,10)),0))</f>
        <v/>
      </c>
      <c r="M168" s="11" t="str">
        <f>IF($A168="","",IFERROR(VALUE(MID(TRIM('Template Setup'!$C$5),FIND("-",TRIM('Template Setup'!$C$5))+1,10)),0))</f>
        <v/>
      </c>
      <c r="N168" s="11" t="str">
        <f>IF($A168="","",IFERROR(VALUE(MID(TRIM('Template Setup'!$C$6),FIND("-",TRIM('Template Setup'!$C$6))+1,10)),0))</f>
        <v/>
      </c>
      <c r="O168" s="11" t="str">
        <f>IF($A168="","",IFERROR(VALUE(MID(TRIM('Template Setup'!$C$7),FIND("-",TRIM('Template Setup'!$C$7))+1,10)),0))</f>
        <v/>
      </c>
      <c r="P168" s="11" t="str">
        <f>IF($A168="","",IFERROR(VALUE(MID(TRIM('Template Setup'!$C$8),FIND("-",TRIM('Template Setup'!$C$8))+1,10)),0))</f>
        <v/>
      </c>
      <c r="Q168" s="9" t="str">
        <f>IF($A168="","",$A168&amp;"-"&amp;'Template Setup'!$C$16)</f>
        <v/>
      </c>
      <c r="R168" s="24" t="str">
        <f t="shared" si="9"/>
        <v/>
      </c>
      <c r="S168" s="24"/>
      <c r="T168" s="24" t="str">
        <f t="shared" si="10"/>
        <v/>
      </c>
      <c r="U168" s="6" t="str">
        <f t="shared" si="12"/>
        <v/>
      </c>
    </row>
    <row r="169" spans="1:21">
      <c r="A169" s="11"/>
      <c r="B169" s="11"/>
      <c r="C169" s="11"/>
      <c r="D169" s="11" t="str">
        <f>IF($A169="","",_xlfn.TEXTJOIN(", ",TRUE,IF($G169&gt;0,'Template Setup'!$C$4,""),IF($H169&gt;0,'Template Setup'!$C$5,""),IF($I169&gt;0,'Template Setup'!$C$6,""),IF($J169&gt;0,'Template Setup'!$C$7,""),IF($K169&gt;0,'Template Setup'!$C$8,"")))</f>
        <v/>
      </c>
      <c r="E169" s="6" t="str" cm="1">
        <f t="array" ref="E169">IF($A169="","",_xlfn.LET(_xlpm.sheets,CHOOSE({1,2,3,4,5},'Template Setup'!$C$4,'Template Setup'!$C$5,'Template Setup'!$C$6,'Template Setup'!$C$7,'Template Setup'!$C$8),_xlpm.nums,CHOOSE({1,2,3,4,5},$L169,$M169,$N169,$O169,$P169),_xlpm.qtys,CHOOSE({1,2,3,4,5},$G169,$H169,$I169,$J169,$K169),_xlpm.validNums,_xlfn._xlws.FILTER(_xlpm.nums,_xlpm.qtys&gt;0),_xlpm.validSheets,_xlfn._xlws.FILTER(_xlpm.sheets,_xlpm.qtys&gt;0),_xlpm.mx,IFERROR(MAX(_xlpm.validNums),0),IF(_xlpm.mx=0,"",INDEX(_xlpm.validSheets,MATCH(_xlpm.mx,_xlpm.validNums,0))&amp;" (+"&amp;$R169&amp;")")))</f>
        <v/>
      </c>
      <c r="F169" s="11" t="str">
        <f t="shared" si="11"/>
        <v/>
      </c>
      <c r="G169" s="12" t="str">
        <f ca="1">IF($A169="","",IFERROR(SUMIF(INDIRECT("'"&amp;'Template Setup'!$C$4&amp;"'!C:C"),$A169,INDIRECT("'"&amp;'Template Setup'!$C$4&amp;"'!A:A")),0))</f>
        <v/>
      </c>
      <c r="H169" s="12" t="str">
        <f ca="1">IF($A169="","",IFERROR(SUMIF(INDIRECT("'"&amp;'Template Setup'!$C$5&amp;"'!C:C"),$A169,INDIRECT("'"&amp;'Template Setup'!$C$5&amp;"'!A:A")),0))</f>
        <v/>
      </c>
      <c r="I169" s="12" t="str">
        <f ca="1">IF($A169="","",IFERROR(SUMIF(INDIRECT("'"&amp;'Template Setup'!$C$6&amp;"'!C:C"),$A169,INDIRECT("'"&amp;'Template Setup'!$C$6&amp;"'!A:A")),0))</f>
        <v/>
      </c>
      <c r="J169" s="12" t="str">
        <f ca="1">IF($A169="","",IFERROR(SUMIF(INDIRECT("'"&amp;'Template Setup'!$C$7&amp;"'!C:C"),$A169,INDIRECT("'"&amp;'Template Setup'!$C$7&amp;"'!A:A")),0))</f>
        <v/>
      </c>
      <c r="K169" s="12" t="str">
        <f ca="1">IF($A169="","",IFERROR(SUMIF(INDIRECT("'"&amp;'Template Setup'!$C$8&amp;"'!C:C"),$A169,INDIRECT("'"&amp;'Template Setup'!$C$8&amp;"'!A:A")),0))</f>
        <v/>
      </c>
      <c r="L169" s="11" t="str">
        <f>IF($A169="","",IFERROR(VALUE(MID(TRIM('Template Setup'!$C$4),FIND("-",TRIM('Template Setup'!$C$4))+1,10)),0))</f>
        <v/>
      </c>
      <c r="M169" s="11" t="str">
        <f>IF($A169="","",IFERROR(VALUE(MID(TRIM('Template Setup'!$C$5),FIND("-",TRIM('Template Setup'!$C$5))+1,10)),0))</f>
        <v/>
      </c>
      <c r="N169" s="11" t="str">
        <f>IF($A169="","",IFERROR(VALUE(MID(TRIM('Template Setup'!$C$6),FIND("-",TRIM('Template Setup'!$C$6))+1,10)),0))</f>
        <v/>
      </c>
      <c r="O169" s="11" t="str">
        <f>IF($A169="","",IFERROR(VALUE(MID(TRIM('Template Setup'!$C$7),FIND("-",TRIM('Template Setup'!$C$7))+1,10)),0))</f>
        <v/>
      </c>
      <c r="P169" s="11" t="str">
        <f>IF($A169="","",IFERROR(VALUE(MID(TRIM('Template Setup'!$C$8),FIND("-",TRIM('Template Setup'!$C$8))+1,10)),0))</f>
        <v/>
      </c>
      <c r="Q169" s="9" t="str">
        <f>IF($A169="","",$A169&amp;"-"&amp;'Template Setup'!$C$16)</f>
        <v/>
      </c>
      <c r="R169" s="24" t="str">
        <f t="shared" si="9"/>
        <v/>
      </c>
      <c r="S169" s="24"/>
      <c r="T169" s="24" t="str">
        <f t="shared" si="10"/>
        <v/>
      </c>
      <c r="U169" s="6" t="str">
        <f t="shared" si="12"/>
        <v/>
      </c>
    </row>
    <row r="170" spans="1:21">
      <c r="A170" s="11"/>
      <c r="B170" s="11"/>
      <c r="C170" s="11"/>
      <c r="D170" s="11" t="str">
        <f>IF($A170="","",_xlfn.TEXTJOIN(", ",TRUE,IF($G170&gt;0,'Template Setup'!$C$4,""),IF($H170&gt;0,'Template Setup'!$C$5,""),IF($I170&gt;0,'Template Setup'!$C$6,""),IF($J170&gt;0,'Template Setup'!$C$7,""),IF($K170&gt;0,'Template Setup'!$C$8,"")))</f>
        <v/>
      </c>
      <c r="E170" s="6" t="str" cm="1">
        <f t="array" ref="E170">IF($A170="","",_xlfn.LET(_xlpm.sheets,CHOOSE({1,2,3,4,5},'Template Setup'!$C$4,'Template Setup'!$C$5,'Template Setup'!$C$6,'Template Setup'!$C$7,'Template Setup'!$C$8),_xlpm.nums,CHOOSE({1,2,3,4,5},$L170,$M170,$N170,$O170,$P170),_xlpm.qtys,CHOOSE({1,2,3,4,5},$G170,$H170,$I170,$J170,$K170),_xlpm.validNums,_xlfn._xlws.FILTER(_xlpm.nums,_xlpm.qtys&gt;0),_xlpm.validSheets,_xlfn._xlws.FILTER(_xlpm.sheets,_xlpm.qtys&gt;0),_xlpm.mx,IFERROR(MAX(_xlpm.validNums),0),IF(_xlpm.mx=0,"",INDEX(_xlpm.validSheets,MATCH(_xlpm.mx,_xlpm.validNums,0))&amp;" (+"&amp;$R170&amp;")")))</f>
        <v/>
      </c>
      <c r="F170" s="11" t="str">
        <f t="shared" si="11"/>
        <v/>
      </c>
      <c r="G170" s="12" t="str">
        <f ca="1">IF($A170="","",IFERROR(SUMIF(INDIRECT("'"&amp;'Template Setup'!$C$4&amp;"'!C:C"),$A170,INDIRECT("'"&amp;'Template Setup'!$C$4&amp;"'!A:A")),0))</f>
        <v/>
      </c>
      <c r="H170" s="12" t="str">
        <f ca="1">IF($A170="","",IFERROR(SUMIF(INDIRECT("'"&amp;'Template Setup'!$C$5&amp;"'!C:C"),$A170,INDIRECT("'"&amp;'Template Setup'!$C$5&amp;"'!A:A")),0))</f>
        <v/>
      </c>
      <c r="I170" s="12" t="str">
        <f ca="1">IF($A170="","",IFERROR(SUMIF(INDIRECT("'"&amp;'Template Setup'!$C$6&amp;"'!C:C"),$A170,INDIRECT("'"&amp;'Template Setup'!$C$6&amp;"'!A:A")),0))</f>
        <v/>
      </c>
      <c r="J170" s="12" t="str">
        <f ca="1">IF($A170="","",IFERROR(SUMIF(INDIRECT("'"&amp;'Template Setup'!$C$7&amp;"'!C:C"),$A170,INDIRECT("'"&amp;'Template Setup'!$C$7&amp;"'!A:A")),0))</f>
        <v/>
      </c>
      <c r="K170" s="12" t="str">
        <f ca="1">IF($A170="","",IFERROR(SUMIF(INDIRECT("'"&amp;'Template Setup'!$C$8&amp;"'!C:C"),$A170,INDIRECT("'"&amp;'Template Setup'!$C$8&amp;"'!A:A")),0))</f>
        <v/>
      </c>
      <c r="L170" s="11" t="str">
        <f>IF($A170="","",IFERROR(VALUE(MID(TRIM('Template Setup'!$C$4),FIND("-",TRIM('Template Setup'!$C$4))+1,10)),0))</f>
        <v/>
      </c>
      <c r="M170" s="11" t="str">
        <f>IF($A170="","",IFERROR(VALUE(MID(TRIM('Template Setup'!$C$5),FIND("-",TRIM('Template Setup'!$C$5))+1,10)),0))</f>
        <v/>
      </c>
      <c r="N170" s="11" t="str">
        <f>IF($A170="","",IFERROR(VALUE(MID(TRIM('Template Setup'!$C$6),FIND("-",TRIM('Template Setup'!$C$6))+1,10)),0))</f>
        <v/>
      </c>
      <c r="O170" s="11" t="str">
        <f>IF($A170="","",IFERROR(VALUE(MID(TRIM('Template Setup'!$C$7),FIND("-",TRIM('Template Setup'!$C$7))+1,10)),0))</f>
        <v/>
      </c>
      <c r="P170" s="11" t="str">
        <f>IF($A170="","",IFERROR(VALUE(MID(TRIM('Template Setup'!$C$8),FIND("-",TRIM('Template Setup'!$C$8))+1,10)),0))</f>
        <v/>
      </c>
      <c r="Q170" s="9" t="str">
        <f>IF($A170="","",$A170&amp;"-"&amp;'Template Setup'!$C$16)</f>
        <v/>
      </c>
      <c r="R170" s="24" t="str">
        <f t="shared" si="9"/>
        <v/>
      </c>
      <c r="S170" s="24"/>
      <c r="T170" s="24" t="str">
        <f t="shared" si="10"/>
        <v/>
      </c>
      <c r="U170" s="6" t="str">
        <f t="shared" si="12"/>
        <v/>
      </c>
    </row>
    <row r="171" spans="1:21">
      <c r="A171" s="11"/>
      <c r="B171" s="11"/>
      <c r="C171" s="11"/>
      <c r="D171" s="11" t="str">
        <f>IF($A171="","",_xlfn.TEXTJOIN(", ",TRUE,IF($G171&gt;0,'Template Setup'!$C$4,""),IF($H171&gt;0,'Template Setup'!$C$5,""),IF($I171&gt;0,'Template Setup'!$C$6,""),IF($J171&gt;0,'Template Setup'!$C$7,""),IF($K171&gt;0,'Template Setup'!$C$8,"")))</f>
        <v/>
      </c>
      <c r="E171" s="6" t="str" cm="1">
        <f t="array" ref="E171">IF($A171="","",_xlfn.LET(_xlpm.sheets,CHOOSE({1,2,3,4,5},'Template Setup'!$C$4,'Template Setup'!$C$5,'Template Setup'!$C$6,'Template Setup'!$C$7,'Template Setup'!$C$8),_xlpm.nums,CHOOSE({1,2,3,4,5},$L171,$M171,$N171,$O171,$P171),_xlpm.qtys,CHOOSE({1,2,3,4,5},$G171,$H171,$I171,$J171,$K171),_xlpm.validNums,_xlfn._xlws.FILTER(_xlpm.nums,_xlpm.qtys&gt;0),_xlpm.validSheets,_xlfn._xlws.FILTER(_xlpm.sheets,_xlpm.qtys&gt;0),_xlpm.mx,IFERROR(MAX(_xlpm.validNums),0),IF(_xlpm.mx=0,"",INDEX(_xlpm.validSheets,MATCH(_xlpm.mx,_xlpm.validNums,0))&amp;" (+"&amp;$R171&amp;")")))</f>
        <v/>
      </c>
      <c r="F171" s="11" t="str">
        <f t="shared" si="11"/>
        <v/>
      </c>
      <c r="G171" s="12" t="str">
        <f ca="1">IF($A171="","",IFERROR(SUMIF(INDIRECT("'"&amp;'Template Setup'!$C$4&amp;"'!C:C"),$A171,INDIRECT("'"&amp;'Template Setup'!$C$4&amp;"'!A:A")),0))</f>
        <v/>
      </c>
      <c r="H171" s="12" t="str">
        <f ca="1">IF($A171="","",IFERROR(SUMIF(INDIRECT("'"&amp;'Template Setup'!$C$5&amp;"'!C:C"),$A171,INDIRECT("'"&amp;'Template Setup'!$C$5&amp;"'!A:A")),0))</f>
        <v/>
      </c>
      <c r="I171" s="12" t="str">
        <f ca="1">IF($A171="","",IFERROR(SUMIF(INDIRECT("'"&amp;'Template Setup'!$C$6&amp;"'!C:C"),$A171,INDIRECT("'"&amp;'Template Setup'!$C$6&amp;"'!A:A")),0))</f>
        <v/>
      </c>
      <c r="J171" s="12" t="str">
        <f ca="1">IF($A171="","",IFERROR(SUMIF(INDIRECT("'"&amp;'Template Setup'!$C$7&amp;"'!C:C"),$A171,INDIRECT("'"&amp;'Template Setup'!$C$7&amp;"'!A:A")),0))</f>
        <v/>
      </c>
      <c r="K171" s="12" t="str">
        <f ca="1">IF($A171="","",IFERROR(SUMIF(INDIRECT("'"&amp;'Template Setup'!$C$8&amp;"'!C:C"),$A171,INDIRECT("'"&amp;'Template Setup'!$C$8&amp;"'!A:A")),0))</f>
        <v/>
      </c>
      <c r="L171" s="11" t="str">
        <f>IF($A171="","",IFERROR(VALUE(MID(TRIM('Template Setup'!$C$4),FIND("-",TRIM('Template Setup'!$C$4))+1,10)),0))</f>
        <v/>
      </c>
      <c r="M171" s="11" t="str">
        <f>IF($A171="","",IFERROR(VALUE(MID(TRIM('Template Setup'!$C$5),FIND("-",TRIM('Template Setup'!$C$5))+1,10)),0))</f>
        <v/>
      </c>
      <c r="N171" s="11" t="str">
        <f>IF($A171="","",IFERROR(VALUE(MID(TRIM('Template Setup'!$C$6),FIND("-",TRIM('Template Setup'!$C$6))+1,10)),0))</f>
        <v/>
      </c>
      <c r="O171" s="11" t="str">
        <f>IF($A171="","",IFERROR(VALUE(MID(TRIM('Template Setup'!$C$7),FIND("-",TRIM('Template Setup'!$C$7))+1,10)),0))</f>
        <v/>
      </c>
      <c r="P171" s="11" t="str">
        <f>IF($A171="","",IFERROR(VALUE(MID(TRIM('Template Setup'!$C$8),FIND("-",TRIM('Template Setup'!$C$8))+1,10)),0))</f>
        <v/>
      </c>
      <c r="Q171" s="9" t="str">
        <f>IF($A171="","",$A171&amp;"-"&amp;'Template Setup'!$C$16)</f>
        <v/>
      </c>
      <c r="R171" s="24" t="str">
        <f t="shared" si="9"/>
        <v/>
      </c>
      <c r="S171" s="24"/>
      <c r="T171" s="24" t="str">
        <f t="shared" si="10"/>
        <v/>
      </c>
      <c r="U171" s="6" t="str">
        <f t="shared" si="12"/>
        <v/>
      </c>
    </row>
    <row r="172" spans="1:21">
      <c r="A172" s="11"/>
      <c r="B172" s="11"/>
      <c r="C172" s="11"/>
      <c r="D172" s="11" t="str">
        <f>IF($A172="","",_xlfn.TEXTJOIN(", ",TRUE,IF($G172&gt;0,'Template Setup'!$C$4,""),IF($H172&gt;0,'Template Setup'!$C$5,""),IF($I172&gt;0,'Template Setup'!$C$6,""),IF($J172&gt;0,'Template Setup'!$C$7,""),IF($K172&gt;0,'Template Setup'!$C$8,"")))</f>
        <v/>
      </c>
      <c r="E172" s="6" t="str" cm="1">
        <f t="array" ref="E172">IF($A172="","",_xlfn.LET(_xlpm.sheets,CHOOSE({1,2,3,4,5},'Template Setup'!$C$4,'Template Setup'!$C$5,'Template Setup'!$C$6,'Template Setup'!$C$7,'Template Setup'!$C$8),_xlpm.nums,CHOOSE({1,2,3,4,5},$L172,$M172,$N172,$O172,$P172),_xlpm.qtys,CHOOSE({1,2,3,4,5},$G172,$H172,$I172,$J172,$K172),_xlpm.validNums,_xlfn._xlws.FILTER(_xlpm.nums,_xlpm.qtys&gt;0),_xlpm.validSheets,_xlfn._xlws.FILTER(_xlpm.sheets,_xlpm.qtys&gt;0),_xlpm.mx,IFERROR(MAX(_xlpm.validNums),0),IF(_xlpm.mx=0,"",INDEX(_xlpm.validSheets,MATCH(_xlpm.mx,_xlpm.validNums,0))&amp;" (+"&amp;$R172&amp;")")))</f>
        <v/>
      </c>
      <c r="F172" s="11" t="str">
        <f t="shared" si="11"/>
        <v/>
      </c>
      <c r="G172" s="12" t="str">
        <f ca="1">IF($A172="","",IFERROR(SUMIF(INDIRECT("'"&amp;'Template Setup'!$C$4&amp;"'!C:C"),$A172,INDIRECT("'"&amp;'Template Setup'!$C$4&amp;"'!A:A")),0))</f>
        <v/>
      </c>
      <c r="H172" s="12" t="str">
        <f ca="1">IF($A172="","",IFERROR(SUMIF(INDIRECT("'"&amp;'Template Setup'!$C$5&amp;"'!C:C"),$A172,INDIRECT("'"&amp;'Template Setup'!$C$5&amp;"'!A:A")),0))</f>
        <v/>
      </c>
      <c r="I172" s="12" t="str">
        <f ca="1">IF($A172="","",IFERROR(SUMIF(INDIRECT("'"&amp;'Template Setup'!$C$6&amp;"'!C:C"),$A172,INDIRECT("'"&amp;'Template Setup'!$C$6&amp;"'!A:A")),0))</f>
        <v/>
      </c>
      <c r="J172" s="12" t="str">
        <f ca="1">IF($A172="","",IFERROR(SUMIF(INDIRECT("'"&amp;'Template Setup'!$C$7&amp;"'!C:C"),$A172,INDIRECT("'"&amp;'Template Setup'!$C$7&amp;"'!A:A")),0))</f>
        <v/>
      </c>
      <c r="K172" s="12" t="str">
        <f ca="1">IF($A172="","",IFERROR(SUMIF(INDIRECT("'"&amp;'Template Setup'!$C$8&amp;"'!C:C"),$A172,INDIRECT("'"&amp;'Template Setup'!$C$8&amp;"'!A:A")),0))</f>
        <v/>
      </c>
      <c r="L172" s="11" t="str">
        <f>IF($A172="","",IFERROR(VALUE(MID(TRIM('Template Setup'!$C$4),FIND("-",TRIM('Template Setup'!$C$4))+1,10)),0))</f>
        <v/>
      </c>
      <c r="M172" s="11" t="str">
        <f>IF($A172="","",IFERROR(VALUE(MID(TRIM('Template Setup'!$C$5),FIND("-",TRIM('Template Setup'!$C$5))+1,10)),0))</f>
        <v/>
      </c>
      <c r="N172" s="11" t="str">
        <f>IF($A172="","",IFERROR(VALUE(MID(TRIM('Template Setup'!$C$6),FIND("-",TRIM('Template Setup'!$C$6))+1,10)),0))</f>
        <v/>
      </c>
      <c r="O172" s="11" t="str">
        <f>IF($A172="","",IFERROR(VALUE(MID(TRIM('Template Setup'!$C$7),FIND("-",TRIM('Template Setup'!$C$7))+1,10)),0))</f>
        <v/>
      </c>
      <c r="P172" s="11" t="str">
        <f>IF($A172="","",IFERROR(VALUE(MID(TRIM('Template Setup'!$C$8),FIND("-",TRIM('Template Setup'!$C$8))+1,10)),0))</f>
        <v/>
      </c>
      <c r="Q172" s="9" t="str">
        <f>IF($A172="","",$A172&amp;"-"&amp;'Template Setup'!$C$16)</f>
        <v/>
      </c>
      <c r="R172" s="24" t="str">
        <f t="shared" si="9"/>
        <v/>
      </c>
      <c r="S172" s="24"/>
      <c r="T172" s="24" t="str">
        <f t="shared" si="10"/>
        <v/>
      </c>
      <c r="U172" s="6" t="str">
        <f t="shared" si="12"/>
        <v/>
      </c>
    </row>
    <row r="173" spans="1:21">
      <c r="A173" s="11"/>
      <c r="B173" s="11"/>
      <c r="C173" s="11"/>
      <c r="D173" s="11" t="str">
        <f>IF($A173="","",_xlfn.TEXTJOIN(", ",TRUE,IF($G173&gt;0,'Template Setup'!$C$4,""),IF($H173&gt;0,'Template Setup'!$C$5,""),IF($I173&gt;0,'Template Setup'!$C$6,""),IF($J173&gt;0,'Template Setup'!$C$7,""),IF($K173&gt;0,'Template Setup'!$C$8,"")))</f>
        <v/>
      </c>
      <c r="E173" s="6" t="str" cm="1">
        <f t="array" ref="E173">IF($A173="","",_xlfn.LET(_xlpm.sheets,CHOOSE({1,2,3,4,5},'Template Setup'!$C$4,'Template Setup'!$C$5,'Template Setup'!$C$6,'Template Setup'!$C$7,'Template Setup'!$C$8),_xlpm.nums,CHOOSE({1,2,3,4,5},$L173,$M173,$N173,$O173,$P173),_xlpm.qtys,CHOOSE({1,2,3,4,5},$G173,$H173,$I173,$J173,$K173),_xlpm.validNums,_xlfn._xlws.FILTER(_xlpm.nums,_xlpm.qtys&gt;0),_xlpm.validSheets,_xlfn._xlws.FILTER(_xlpm.sheets,_xlpm.qtys&gt;0),_xlpm.mx,IFERROR(MAX(_xlpm.validNums),0),IF(_xlpm.mx=0,"",INDEX(_xlpm.validSheets,MATCH(_xlpm.mx,_xlpm.validNums,0))&amp;" (+"&amp;$R173&amp;")")))</f>
        <v/>
      </c>
      <c r="F173" s="11" t="str">
        <f t="shared" si="11"/>
        <v/>
      </c>
      <c r="G173" s="12" t="str">
        <f ca="1">IF($A173="","",IFERROR(SUMIF(INDIRECT("'"&amp;'Template Setup'!$C$4&amp;"'!C:C"),$A173,INDIRECT("'"&amp;'Template Setup'!$C$4&amp;"'!A:A")),0))</f>
        <v/>
      </c>
      <c r="H173" s="12" t="str">
        <f ca="1">IF($A173="","",IFERROR(SUMIF(INDIRECT("'"&amp;'Template Setup'!$C$5&amp;"'!C:C"),$A173,INDIRECT("'"&amp;'Template Setup'!$C$5&amp;"'!A:A")),0))</f>
        <v/>
      </c>
      <c r="I173" s="12" t="str">
        <f ca="1">IF($A173="","",IFERROR(SUMIF(INDIRECT("'"&amp;'Template Setup'!$C$6&amp;"'!C:C"),$A173,INDIRECT("'"&amp;'Template Setup'!$C$6&amp;"'!A:A")),0))</f>
        <v/>
      </c>
      <c r="J173" s="12" t="str">
        <f ca="1">IF($A173="","",IFERROR(SUMIF(INDIRECT("'"&amp;'Template Setup'!$C$7&amp;"'!C:C"),$A173,INDIRECT("'"&amp;'Template Setup'!$C$7&amp;"'!A:A")),0))</f>
        <v/>
      </c>
      <c r="K173" s="12" t="str">
        <f ca="1">IF($A173="","",IFERROR(SUMIF(INDIRECT("'"&amp;'Template Setup'!$C$8&amp;"'!C:C"),$A173,INDIRECT("'"&amp;'Template Setup'!$C$8&amp;"'!A:A")),0))</f>
        <v/>
      </c>
      <c r="L173" s="11" t="str">
        <f>IF($A173="","",IFERROR(VALUE(MID(TRIM('Template Setup'!$C$4),FIND("-",TRIM('Template Setup'!$C$4))+1,10)),0))</f>
        <v/>
      </c>
      <c r="M173" s="11" t="str">
        <f>IF($A173="","",IFERROR(VALUE(MID(TRIM('Template Setup'!$C$5),FIND("-",TRIM('Template Setup'!$C$5))+1,10)),0))</f>
        <v/>
      </c>
      <c r="N173" s="11" t="str">
        <f>IF($A173="","",IFERROR(VALUE(MID(TRIM('Template Setup'!$C$6),FIND("-",TRIM('Template Setup'!$C$6))+1,10)),0))</f>
        <v/>
      </c>
      <c r="O173" s="11" t="str">
        <f>IF($A173="","",IFERROR(VALUE(MID(TRIM('Template Setup'!$C$7),FIND("-",TRIM('Template Setup'!$C$7))+1,10)),0))</f>
        <v/>
      </c>
      <c r="P173" s="11" t="str">
        <f>IF($A173="","",IFERROR(VALUE(MID(TRIM('Template Setup'!$C$8),FIND("-",TRIM('Template Setup'!$C$8))+1,10)),0))</f>
        <v/>
      </c>
      <c r="Q173" s="9" t="str">
        <f>IF($A173="","",$A173&amp;"-"&amp;'Template Setup'!$C$16)</f>
        <v/>
      </c>
      <c r="R173" s="24" t="str">
        <f t="shared" si="9"/>
        <v/>
      </c>
      <c r="S173" s="24"/>
      <c r="T173" s="24" t="str">
        <f t="shared" si="10"/>
        <v/>
      </c>
      <c r="U173" s="6" t="str">
        <f t="shared" si="12"/>
        <v/>
      </c>
    </row>
    <row r="174" spans="1:21">
      <c r="A174" s="11"/>
      <c r="B174" s="11"/>
      <c r="C174" s="11"/>
      <c r="D174" s="11" t="str">
        <f>IF($A174="","",_xlfn.TEXTJOIN(", ",TRUE,IF($G174&gt;0,'Template Setup'!$C$4,""),IF($H174&gt;0,'Template Setup'!$C$5,""),IF($I174&gt;0,'Template Setup'!$C$6,""),IF($J174&gt;0,'Template Setup'!$C$7,""),IF($K174&gt;0,'Template Setup'!$C$8,"")))</f>
        <v/>
      </c>
      <c r="E174" s="6" t="str" cm="1">
        <f t="array" ref="E174">IF($A174="","",_xlfn.LET(_xlpm.sheets,CHOOSE({1,2,3,4,5},'Template Setup'!$C$4,'Template Setup'!$C$5,'Template Setup'!$C$6,'Template Setup'!$C$7,'Template Setup'!$C$8),_xlpm.nums,CHOOSE({1,2,3,4,5},$L174,$M174,$N174,$O174,$P174),_xlpm.qtys,CHOOSE({1,2,3,4,5},$G174,$H174,$I174,$J174,$K174),_xlpm.validNums,_xlfn._xlws.FILTER(_xlpm.nums,_xlpm.qtys&gt;0),_xlpm.validSheets,_xlfn._xlws.FILTER(_xlpm.sheets,_xlpm.qtys&gt;0),_xlpm.mx,IFERROR(MAX(_xlpm.validNums),0),IF(_xlpm.mx=0,"",INDEX(_xlpm.validSheets,MATCH(_xlpm.mx,_xlpm.validNums,0))&amp;" (+"&amp;$R174&amp;")")))</f>
        <v/>
      </c>
      <c r="F174" s="11" t="str">
        <f t="shared" si="11"/>
        <v/>
      </c>
      <c r="G174" s="12" t="str">
        <f ca="1">IF($A174="","",IFERROR(SUMIF(INDIRECT("'"&amp;'Template Setup'!$C$4&amp;"'!C:C"),$A174,INDIRECT("'"&amp;'Template Setup'!$C$4&amp;"'!A:A")),0))</f>
        <v/>
      </c>
      <c r="H174" s="12" t="str">
        <f ca="1">IF($A174="","",IFERROR(SUMIF(INDIRECT("'"&amp;'Template Setup'!$C$5&amp;"'!C:C"),$A174,INDIRECT("'"&amp;'Template Setup'!$C$5&amp;"'!A:A")),0))</f>
        <v/>
      </c>
      <c r="I174" s="12" t="str">
        <f ca="1">IF($A174="","",IFERROR(SUMIF(INDIRECT("'"&amp;'Template Setup'!$C$6&amp;"'!C:C"),$A174,INDIRECT("'"&amp;'Template Setup'!$C$6&amp;"'!A:A")),0))</f>
        <v/>
      </c>
      <c r="J174" s="12" t="str">
        <f ca="1">IF($A174="","",IFERROR(SUMIF(INDIRECT("'"&amp;'Template Setup'!$C$7&amp;"'!C:C"),$A174,INDIRECT("'"&amp;'Template Setup'!$C$7&amp;"'!A:A")),0))</f>
        <v/>
      </c>
      <c r="K174" s="12" t="str">
        <f ca="1">IF($A174="","",IFERROR(SUMIF(INDIRECT("'"&amp;'Template Setup'!$C$8&amp;"'!C:C"),$A174,INDIRECT("'"&amp;'Template Setup'!$C$8&amp;"'!A:A")),0))</f>
        <v/>
      </c>
      <c r="L174" s="11" t="str">
        <f>IF($A174="","",IFERROR(VALUE(MID(TRIM('Template Setup'!$C$4),FIND("-",TRIM('Template Setup'!$C$4))+1,10)),0))</f>
        <v/>
      </c>
      <c r="M174" s="11" t="str">
        <f>IF($A174="","",IFERROR(VALUE(MID(TRIM('Template Setup'!$C$5),FIND("-",TRIM('Template Setup'!$C$5))+1,10)),0))</f>
        <v/>
      </c>
      <c r="N174" s="11" t="str">
        <f>IF($A174="","",IFERROR(VALUE(MID(TRIM('Template Setup'!$C$6),FIND("-",TRIM('Template Setup'!$C$6))+1,10)),0))</f>
        <v/>
      </c>
      <c r="O174" s="11" t="str">
        <f>IF($A174="","",IFERROR(VALUE(MID(TRIM('Template Setup'!$C$7),FIND("-",TRIM('Template Setup'!$C$7))+1,10)),0))</f>
        <v/>
      </c>
      <c r="P174" s="11" t="str">
        <f>IF($A174="","",IFERROR(VALUE(MID(TRIM('Template Setup'!$C$8),FIND("-",TRIM('Template Setup'!$C$8))+1,10)),0))</f>
        <v/>
      </c>
      <c r="Q174" s="9" t="str">
        <f>IF($A174="","",$A174&amp;"-"&amp;'Template Setup'!$C$16)</f>
        <v/>
      </c>
      <c r="R174" s="24" t="str">
        <f t="shared" si="9"/>
        <v/>
      </c>
      <c r="S174" s="24"/>
      <c r="T174" s="24" t="str">
        <f t="shared" si="10"/>
        <v/>
      </c>
      <c r="U174" s="6" t="str">
        <f t="shared" si="12"/>
        <v/>
      </c>
    </row>
    <row r="175" spans="1:21">
      <c r="A175" s="11"/>
      <c r="B175" s="11"/>
      <c r="C175" s="11"/>
      <c r="D175" s="11" t="str">
        <f>IF($A175="","",_xlfn.TEXTJOIN(", ",TRUE,IF($G175&gt;0,'Template Setup'!$C$4,""),IF($H175&gt;0,'Template Setup'!$C$5,""),IF($I175&gt;0,'Template Setup'!$C$6,""),IF($J175&gt;0,'Template Setup'!$C$7,""),IF($K175&gt;0,'Template Setup'!$C$8,"")))</f>
        <v/>
      </c>
      <c r="E175" s="6" t="str" cm="1">
        <f t="array" ref="E175">IF($A175="","",_xlfn.LET(_xlpm.sheets,CHOOSE({1,2,3,4,5},'Template Setup'!$C$4,'Template Setup'!$C$5,'Template Setup'!$C$6,'Template Setup'!$C$7,'Template Setup'!$C$8),_xlpm.nums,CHOOSE({1,2,3,4,5},$L175,$M175,$N175,$O175,$P175),_xlpm.qtys,CHOOSE({1,2,3,4,5},$G175,$H175,$I175,$J175,$K175),_xlpm.validNums,_xlfn._xlws.FILTER(_xlpm.nums,_xlpm.qtys&gt;0),_xlpm.validSheets,_xlfn._xlws.FILTER(_xlpm.sheets,_xlpm.qtys&gt;0),_xlpm.mx,IFERROR(MAX(_xlpm.validNums),0),IF(_xlpm.mx=0,"",INDEX(_xlpm.validSheets,MATCH(_xlpm.mx,_xlpm.validNums,0))&amp;" (+"&amp;$R175&amp;")")))</f>
        <v/>
      </c>
      <c r="F175" s="11" t="str">
        <f t="shared" si="11"/>
        <v/>
      </c>
      <c r="G175" s="12" t="str">
        <f ca="1">IF($A175="","",IFERROR(SUMIF(INDIRECT("'"&amp;'Template Setup'!$C$4&amp;"'!C:C"),$A175,INDIRECT("'"&amp;'Template Setup'!$C$4&amp;"'!A:A")),0))</f>
        <v/>
      </c>
      <c r="H175" s="12" t="str">
        <f ca="1">IF($A175="","",IFERROR(SUMIF(INDIRECT("'"&amp;'Template Setup'!$C$5&amp;"'!C:C"),$A175,INDIRECT("'"&amp;'Template Setup'!$C$5&amp;"'!A:A")),0))</f>
        <v/>
      </c>
      <c r="I175" s="12" t="str">
        <f ca="1">IF($A175="","",IFERROR(SUMIF(INDIRECT("'"&amp;'Template Setup'!$C$6&amp;"'!C:C"),$A175,INDIRECT("'"&amp;'Template Setup'!$C$6&amp;"'!A:A")),0))</f>
        <v/>
      </c>
      <c r="J175" s="12" t="str">
        <f ca="1">IF($A175="","",IFERROR(SUMIF(INDIRECT("'"&amp;'Template Setup'!$C$7&amp;"'!C:C"),$A175,INDIRECT("'"&amp;'Template Setup'!$C$7&amp;"'!A:A")),0))</f>
        <v/>
      </c>
      <c r="K175" s="12" t="str">
        <f ca="1">IF($A175="","",IFERROR(SUMIF(INDIRECT("'"&amp;'Template Setup'!$C$8&amp;"'!C:C"),$A175,INDIRECT("'"&amp;'Template Setup'!$C$8&amp;"'!A:A")),0))</f>
        <v/>
      </c>
      <c r="L175" s="11" t="str">
        <f>IF($A175="","",IFERROR(VALUE(MID(TRIM('Template Setup'!$C$4),FIND("-",TRIM('Template Setup'!$C$4))+1,10)),0))</f>
        <v/>
      </c>
      <c r="M175" s="11" t="str">
        <f>IF($A175="","",IFERROR(VALUE(MID(TRIM('Template Setup'!$C$5),FIND("-",TRIM('Template Setup'!$C$5))+1,10)),0))</f>
        <v/>
      </c>
      <c r="N175" s="11" t="str">
        <f>IF($A175="","",IFERROR(VALUE(MID(TRIM('Template Setup'!$C$6),FIND("-",TRIM('Template Setup'!$C$6))+1,10)),0))</f>
        <v/>
      </c>
      <c r="O175" s="11" t="str">
        <f>IF($A175="","",IFERROR(VALUE(MID(TRIM('Template Setup'!$C$7),FIND("-",TRIM('Template Setup'!$C$7))+1,10)),0))</f>
        <v/>
      </c>
      <c r="P175" s="11" t="str">
        <f>IF($A175="","",IFERROR(VALUE(MID(TRIM('Template Setup'!$C$8),FIND("-",TRIM('Template Setup'!$C$8))+1,10)),0))</f>
        <v/>
      </c>
      <c r="Q175" s="9" t="str">
        <f>IF($A175="","",$A175&amp;"-"&amp;'Template Setup'!$C$16)</f>
        <v/>
      </c>
      <c r="R175" s="24" t="str">
        <f t="shared" si="9"/>
        <v/>
      </c>
      <c r="S175" s="24"/>
      <c r="T175" s="24" t="str">
        <f t="shared" si="10"/>
        <v/>
      </c>
      <c r="U175" s="6" t="str">
        <f t="shared" si="12"/>
        <v/>
      </c>
    </row>
    <row r="176" spans="1:21">
      <c r="A176" s="11"/>
      <c r="B176" s="11"/>
      <c r="C176" s="11"/>
      <c r="D176" s="11" t="str">
        <f>IF($A176="","",_xlfn.TEXTJOIN(", ",TRUE,IF($G176&gt;0,'Template Setup'!$C$4,""),IF($H176&gt;0,'Template Setup'!$C$5,""),IF($I176&gt;0,'Template Setup'!$C$6,""),IF($J176&gt;0,'Template Setup'!$C$7,""),IF($K176&gt;0,'Template Setup'!$C$8,"")))</f>
        <v/>
      </c>
      <c r="E176" s="6" t="str" cm="1">
        <f t="array" ref="E176">IF($A176="","",_xlfn.LET(_xlpm.sheets,CHOOSE({1,2,3,4,5},'Template Setup'!$C$4,'Template Setup'!$C$5,'Template Setup'!$C$6,'Template Setup'!$C$7,'Template Setup'!$C$8),_xlpm.nums,CHOOSE({1,2,3,4,5},$L176,$M176,$N176,$O176,$P176),_xlpm.qtys,CHOOSE({1,2,3,4,5},$G176,$H176,$I176,$J176,$K176),_xlpm.validNums,_xlfn._xlws.FILTER(_xlpm.nums,_xlpm.qtys&gt;0),_xlpm.validSheets,_xlfn._xlws.FILTER(_xlpm.sheets,_xlpm.qtys&gt;0),_xlpm.mx,IFERROR(MAX(_xlpm.validNums),0),IF(_xlpm.mx=0,"",INDEX(_xlpm.validSheets,MATCH(_xlpm.mx,_xlpm.validNums,0))&amp;" (+"&amp;$R176&amp;")")))</f>
        <v/>
      </c>
      <c r="F176" s="11" t="str">
        <f t="shared" si="11"/>
        <v/>
      </c>
      <c r="G176" s="12" t="str">
        <f ca="1">IF($A176="","",IFERROR(SUMIF(INDIRECT("'"&amp;'Template Setup'!$C$4&amp;"'!C:C"),$A176,INDIRECT("'"&amp;'Template Setup'!$C$4&amp;"'!A:A")),0))</f>
        <v/>
      </c>
      <c r="H176" s="12" t="str">
        <f ca="1">IF($A176="","",IFERROR(SUMIF(INDIRECT("'"&amp;'Template Setup'!$C$5&amp;"'!C:C"),$A176,INDIRECT("'"&amp;'Template Setup'!$C$5&amp;"'!A:A")),0))</f>
        <v/>
      </c>
      <c r="I176" s="12" t="str">
        <f ca="1">IF($A176="","",IFERROR(SUMIF(INDIRECT("'"&amp;'Template Setup'!$C$6&amp;"'!C:C"),$A176,INDIRECT("'"&amp;'Template Setup'!$C$6&amp;"'!A:A")),0))</f>
        <v/>
      </c>
      <c r="J176" s="12" t="str">
        <f ca="1">IF($A176="","",IFERROR(SUMIF(INDIRECT("'"&amp;'Template Setup'!$C$7&amp;"'!C:C"),$A176,INDIRECT("'"&amp;'Template Setup'!$C$7&amp;"'!A:A")),0))</f>
        <v/>
      </c>
      <c r="K176" s="12" t="str">
        <f ca="1">IF($A176="","",IFERROR(SUMIF(INDIRECT("'"&amp;'Template Setup'!$C$8&amp;"'!C:C"),$A176,INDIRECT("'"&amp;'Template Setup'!$C$8&amp;"'!A:A")),0))</f>
        <v/>
      </c>
      <c r="L176" s="11" t="str">
        <f>IF($A176="","",IFERROR(VALUE(MID(TRIM('Template Setup'!$C$4),FIND("-",TRIM('Template Setup'!$C$4))+1,10)),0))</f>
        <v/>
      </c>
      <c r="M176" s="11" t="str">
        <f>IF($A176="","",IFERROR(VALUE(MID(TRIM('Template Setup'!$C$5),FIND("-",TRIM('Template Setup'!$C$5))+1,10)),0))</f>
        <v/>
      </c>
      <c r="N176" s="11" t="str">
        <f>IF($A176="","",IFERROR(VALUE(MID(TRIM('Template Setup'!$C$6),FIND("-",TRIM('Template Setup'!$C$6))+1,10)),0))</f>
        <v/>
      </c>
      <c r="O176" s="11" t="str">
        <f>IF($A176="","",IFERROR(VALUE(MID(TRIM('Template Setup'!$C$7),FIND("-",TRIM('Template Setup'!$C$7))+1,10)),0))</f>
        <v/>
      </c>
      <c r="P176" s="11" t="str">
        <f>IF($A176="","",IFERROR(VALUE(MID(TRIM('Template Setup'!$C$8),FIND("-",TRIM('Template Setup'!$C$8))+1,10)),0))</f>
        <v/>
      </c>
      <c r="Q176" s="9" t="str">
        <f>IF($A176="","",$A176&amp;"-"&amp;'Template Setup'!$C$16)</f>
        <v/>
      </c>
      <c r="R176" s="24" t="str">
        <f t="shared" si="9"/>
        <v/>
      </c>
      <c r="S176" s="24"/>
      <c r="T176" s="24" t="str">
        <f t="shared" si="10"/>
        <v/>
      </c>
      <c r="U176" s="6" t="str">
        <f t="shared" si="12"/>
        <v/>
      </c>
    </row>
    <row r="177" spans="1:21">
      <c r="A177" s="11"/>
      <c r="B177" s="11"/>
      <c r="C177" s="11"/>
      <c r="D177" s="11" t="str">
        <f>IF($A177="","",_xlfn.TEXTJOIN(", ",TRUE,IF($G177&gt;0,'Template Setup'!$C$4,""),IF($H177&gt;0,'Template Setup'!$C$5,""),IF($I177&gt;0,'Template Setup'!$C$6,""),IF($J177&gt;0,'Template Setup'!$C$7,""),IF($K177&gt;0,'Template Setup'!$C$8,"")))</f>
        <v/>
      </c>
      <c r="E177" s="6" t="str" cm="1">
        <f t="array" ref="E177">IF($A177="","",_xlfn.LET(_xlpm.sheets,CHOOSE({1,2,3,4,5},'Template Setup'!$C$4,'Template Setup'!$C$5,'Template Setup'!$C$6,'Template Setup'!$C$7,'Template Setup'!$C$8),_xlpm.nums,CHOOSE({1,2,3,4,5},$L177,$M177,$N177,$O177,$P177),_xlpm.qtys,CHOOSE({1,2,3,4,5},$G177,$H177,$I177,$J177,$K177),_xlpm.validNums,_xlfn._xlws.FILTER(_xlpm.nums,_xlpm.qtys&gt;0),_xlpm.validSheets,_xlfn._xlws.FILTER(_xlpm.sheets,_xlpm.qtys&gt;0),_xlpm.mx,IFERROR(MAX(_xlpm.validNums),0),IF(_xlpm.mx=0,"",INDEX(_xlpm.validSheets,MATCH(_xlpm.mx,_xlpm.validNums,0))&amp;" (+"&amp;$R177&amp;")")))</f>
        <v/>
      </c>
      <c r="F177" s="11" t="str">
        <f t="shared" si="11"/>
        <v/>
      </c>
      <c r="G177" s="12" t="str">
        <f ca="1">IF($A177="","",IFERROR(SUMIF(INDIRECT("'"&amp;'Template Setup'!$C$4&amp;"'!C:C"),$A177,INDIRECT("'"&amp;'Template Setup'!$C$4&amp;"'!A:A")),0))</f>
        <v/>
      </c>
      <c r="H177" s="12" t="str">
        <f ca="1">IF($A177="","",IFERROR(SUMIF(INDIRECT("'"&amp;'Template Setup'!$C$5&amp;"'!C:C"),$A177,INDIRECT("'"&amp;'Template Setup'!$C$5&amp;"'!A:A")),0))</f>
        <v/>
      </c>
      <c r="I177" s="12" t="str">
        <f ca="1">IF($A177="","",IFERROR(SUMIF(INDIRECT("'"&amp;'Template Setup'!$C$6&amp;"'!C:C"),$A177,INDIRECT("'"&amp;'Template Setup'!$C$6&amp;"'!A:A")),0))</f>
        <v/>
      </c>
      <c r="J177" s="12" t="str">
        <f ca="1">IF($A177="","",IFERROR(SUMIF(INDIRECT("'"&amp;'Template Setup'!$C$7&amp;"'!C:C"),$A177,INDIRECT("'"&amp;'Template Setup'!$C$7&amp;"'!A:A")),0))</f>
        <v/>
      </c>
      <c r="K177" s="12" t="str">
        <f ca="1">IF($A177="","",IFERROR(SUMIF(INDIRECT("'"&amp;'Template Setup'!$C$8&amp;"'!C:C"),$A177,INDIRECT("'"&amp;'Template Setup'!$C$8&amp;"'!A:A")),0))</f>
        <v/>
      </c>
      <c r="L177" s="11" t="str">
        <f>IF($A177="","",IFERROR(VALUE(MID(TRIM('Template Setup'!$C$4),FIND("-",TRIM('Template Setup'!$C$4))+1,10)),0))</f>
        <v/>
      </c>
      <c r="M177" s="11" t="str">
        <f>IF($A177="","",IFERROR(VALUE(MID(TRIM('Template Setup'!$C$5),FIND("-",TRIM('Template Setup'!$C$5))+1,10)),0))</f>
        <v/>
      </c>
      <c r="N177" s="11" t="str">
        <f>IF($A177="","",IFERROR(VALUE(MID(TRIM('Template Setup'!$C$6),FIND("-",TRIM('Template Setup'!$C$6))+1,10)),0))</f>
        <v/>
      </c>
      <c r="O177" s="11" t="str">
        <f>IF($A177="","",IFERROR(VALUE(MID(TRIM('Template Setup'!$C$7),FIND("-",TRIM('Template Setup'!$C$7))+1,10)),0))</f>
        <v/>
      </c>
      <c r="P177" s="11" t="str">
        <f>IF($A177="","",IFERROR(VALUE(MID(TRIM('Template Setup'!$C$8),FIND("-",TRIM('Template Setup'!$C$8))+1,10)),0))</f>
        <v/>
      </c>
      <c r="Q177" s="9" t="str">
        <f>IF($A177="","",$A177&amp;"-"&amp;'Template Setup'!$C$16)</f>
        <v/>
      </c>
      <c r="R177" s="24" t="str">
        <f t="shared" si="9"/>
        <v/>
      </c>
      <c r="S177" s="24"/>
      <c r="T177" s="24" t="str">
        <f t="shared" si="10"/>
        <v/>
      </c>
      <c r="U177" s="6" t="str">
        <f t="shared" si="12"/>
        <v/>
      </c>
    </row>
    <row r="178" spans="1:21">
      <c r="A178" s="11"/>
      <c r="B178" s="11"/>
      <c r="C178" s="11"/>
      <c r="D178" s="11" t="str">
        <f>IF($A178="","",_xlfn.TEXTJOIN(", ",TRUE,IF($G178&gt;0,'Template Setup'!$C$4,""),IF($H178&gt;0,'Template Setup'!$C$5,""),IF($I178&gt;0,'Template Setup'!$C$6,""),IF($J178&gt;0,'Template Setup'!$C$7,""),IF($K178&gt;0,'Template Setup'!$C$8,"")))</f>
        <v/>
      </c>
      <c r="E178" s="6" t="str" cm="1">
        <f t="array" ref="E178">IF($A178="","",_xlfn.LET(_xlpm.sheets,CHOOSE({1,2,3,4,5},'Template Setup'!$C$4,'Template Setup'!$C$5,'Template Setup'!$C$6,'Template Setup'!$C$7,'Template Setup'!$C$8),_xlpm.nums,CHOOSE({1,2,3,4,5},$L178,$M178,$N178,$O178,$P178),_xlpm.qtys,CHOOSE({1,2,3,4,5},$G178,$H178,$I178,$J178,$K178),_xlpm.validNums,_xlfn._xlws.FILTER(_xlpm.nums,_xlpm.qtys&gt;0),_xlpm.validSheets,_xlfn._xlws.FILTER(_xlpm.sheets,_xlpm.qtys&gt;0),_xlpm.mx,IFERROR(MAX(_xlpm.validNums),0),IF(_xlpm.mx=0,"",INDEX(_xlpm.validSheets,MATCH(_xlpm.mx,_xlpm.validNums,0))&amp;" (+"&amp;$R178&amp;")")))</f>
        <v/>
      </c>
      <c r="F178" s="11" t="str">
        <f t="shared" si="11"/>
        <v/>
      </c>
      <c r="G178" s="12" t="str">
        <f ca="1">IF($A178="","",IFERROR(SUMIF(INDIRECT("'"&amp;'Template Setup'!$C$4&amp;"'!C:C"),$A178,INDIRECT("'"&amp;'Template Setup'!$C$4&amp;"'!A:A")),0))</f>
        <v/>
      </c>
      <c r="H178" s="12" t="str">
        <f ca="1">IF($A178="","",IFERROR(SUMIF(INDIRECT("'"&amp;'Template Setup'!$C$5&amp;"'!C:C"),$A178,INDIRECT("'"&amp;'Template Setup'!$C$5&amp;"'!A:A")),0))</f>
        <v/>
      </c>
      <c r="I178" s="12" t="str">
        <f ca="1">IF($A178="","",IFERROR(SUMIF(INDIRECT("'"&amp;'Template Setup'!$C$6&amp;"'!C:C"),$A178,INDIRECT("'"&amp;'Template Setup'!$C$6&amp;"'!A:A")),0))</f>
        <v/>
      </c>
      <c r="J178" s="12" t="str">
        <f ca="1">IF($A178="","",IFERROR(SUMIF(INDIRECT("'"&amp;'Template Setup'!$C$7&amp;"'!C:C"),$A178,INDIRECT("'"&amp;'Template Setup'!$C$7&amp;"'!A:A")),0))</f>
        <v/>
      </c>
      <c r="K178" s="12" t="str">
        <f ca="1">IF($A178="","",IFERROR(SUMIF(INDIRECT("'"&amp;'Template Setup'!$C$8&amp;"'!C:C"),$A178,INDIRECT("'"&amp;'Template Setup'!$C$8&amp;"'!A:A")),0))</f>
        <v/>
      </c>
      <c r="L178" s="11" t="str">
        <f>IF($A178="","",IFERROR(VALUE(MID(TRIM('Template Setup'!$C$4),FIND("-",TRIM('Template Setup'!$C$4))+1,10)),0))</f>
        <v/>
      </c>
      <c r="M178" s="11" t="str">
        <f>IF($A178="","",IFERROR(VALUE(MID(TRIM('Template Setup'!$C$5),FIND("-",TRIM('Template Setup'!$C$5))+1,10)),0))</f>
        <v/>
      </c>
      <c r="N178" s="11" t="str">
        <f>IF($A178="","",IFERROR(VALUE(MID(TRIM('Template Setup'!$C$6),FIND("-",TRIM('Template Setup'!$C$6))+1,10)),0))</f>
        <v/>
      </c>
      <c r="O178" s="11" t="str">
        <f>IF($A178="","",IFERROR(VALUE(MID(TRIM('Template Setup'!$C$7),FIND("-",TRIM('Template Setup'!$C$7))+1,10)),0))</f>
        <v/>
      </c>
      <c r="P178" s="11" t="str">
        <f>IF($A178="","",IFERROR(VALUE(MID(TRIM('Template Setup'!$C$8),FIND("-",TRIM('Template Setup'!$C$8))+1,10)),0))</f>
        <v/>
      </c>
      <c r="Q178" s="9" t="str">
        <f>IF($A178="","",$A178&amp;"-"&amp;'Template Setup'!$C$16)</f>
        <v/>
      </c>
      <c r="R178" s="24" t="str">
        <f t="shared" si="9"/>
        <v/>
      </c>
      <c r="S178" s="24"/>
      <c r="T178" s="24" t="str">
        <f t="shared" si="10"/>
        <v/>
      </c>
      <c r="U178" s="6" t="str">
        <f t="shared" si="12"/>
        <v/>
      </c>
    </row>
    <row r="179" spans="1:21">
      <c r="A179" s="11"/>
      <c r="B179" s="11"/>
      <c r="C179" s="11"/>
      <c r="D179" s="11" t="str">
        <f>IF($A179="","",_xlfn.TEXTJOIN(", ",TRUE,IF($G179&gt;0,'Template Setup'!$C$4,""),IF($H179&gt;0,'Template Setup'!$C$5,""),IF($I179&gt;0,'Template Setup'!$C$6,""),IF($J179&gt;0,'Template Setup'!$C$7,""),IF($K179&gt;0,'Template Setup'!$C$8,"")))</f>
        <v/>
      </c>
      <c r="E179" s="6" t="str" cm="1">
        <f t="array" ref="E179">IF($A179="","",_xlfn.LET(_xlpm.sheets,CHOOSE({1,2,3,4,5},'Template Setup'!$C$4,'Template Setup'!$C$5,'Template Setup'!$C$6,'Template Setup'!$C$7,'Template Setup'!$C$8),_xlpm.nums,CHOOSE({1,2,3,4,5},$L179,$M179,$N179,$O179,$P179),_xlpm.qtys,CHOOSE({1,2,3,4,5},$G179,$H179,$I179,$J179,$K179),_xlpm.validNums,_xlfn._xlws.FILTER(_xlpm.nums,_xlpm.qtys&gt;0),_xlpm.validSheets,_xlfn._xlws.FILTER(_xlpm.sheets,_xlpm.qtys&gt;0),_xlpm.mx,IFERROR(MAX(_xlpm.validNums),0),IF(_xlpm.mx=0,"",INDEX(_xlpm.validSheets,MATCH(_xlpm.mx,_xlpm.validNums,0))&amp;" (+"&amp;$R179&amp;")")))</f>
        <v/>
      </c>
      <c r="F179" s="11" t="str">
        <f t="shared" si="11"/>
        <v/>
      </c>
      <c r="G179" s="12" t="str">
        <f ca="1">IF($A179="","",IFERROR(SUMIF(INDIRECT("'"&amp;'Template Setup'!$C$4&amp;"'!C:C"),$A179,INDIRECT("'"&amp;'Template Setup'!$C$4&amp;"'!A:A")),0))</f>
        <v/>
      </c>
      <c r="H179" s="12" t="str">
        <f ca="1">IF($A179="","",IFERROR(SUMIF(INDIRECT("'"&amp;'Template Setup'!$C$5&amp;"'!C:C"),$A179,INDIRECT("'"&amp;'Template Setup'!$C$5&amp;"'!A:A")),0))</f>
        <v/>
      </c>
      <c r="I179" s="12" t="str">
        <f ca="1">IF($A179="","",IFERROR(SUMIF(INDIRECT("'"&amp;'Template Setup'!$C$6&amp;"'!C:C"),$A179,INDIRECT("'"&amp;'Template Setup'!$C$6&amp;"'!A:A")),0))</f>
        <v/>
      </c>
      <c r="J179" s="12" t="str">
        <f ca="1">IF($A179="","",IFERROR(SUMIF(INDIRECT("'"&amp;'Template Setup'!$C$7&amp;"'!C:C"),$A179,INDIRECT("'"&amp;'Template Setup'!$C$7&amp;"'!A:A")),0))</f>
        <v/>
      </c>
      <c r="K179" s="12" t="str">
        <f ca="1">IF($A179="","",IFERROR(SUMIF(INDIRECT("'"&amp;'Template Setup'!$C$8&amp;"'!C:C"),$A179,INDIRECT("'"&amp;'Template Setup'!$C$8&amp;"'!A:A")),0))</f>
        <v/>
      </c>
      <c r="L179" s="11" t="str">
        <f>IF($A179="","",IFERROR(VALUE(MID(TRIM('Template Setup'!$C$4),FIND("-",TRIM('Template Setup'!$C$4))+1,10)),0))</f>
        <v/>
      </c>
      <c r="M179" s="11" t="str">
        <f>IF($A179="","",IFERROR(VALUE(MID(TRIM('Template Setup'!$C$5),FIND("-",TRIM('Template Setup'!$C$5))+1,10)),0))</f>
        <v/>
      </c>
      <c r="N179" s="11" t="str">
        <f>IF($A179="","",IFERROR(VALUE(MID(TRIM('Template Setup'!$C$6),FIND("-",TRIM('Template Setup'!$C$6))+1,10)),0))</f>
        <v/>
      </c>
      <c r="O179" s="11" t="str">
        <f>IF($A179="","",IFERROR(VALUE(MID(TRIM('Template Setup'!$C$7),FIND("-",TRIM('Template Setup'!$C$7))+1,10)),0))</f>
        <v/>
      </c>
      <c r="P179" s="11" t="str">
        <f>IF($A179="","",IFERROR(VALUE(MID(TRIM('Template Setup'!$C$8),FIND("-",TRIM('Template Setup'!$C$8))+1,10)),0))</f>
        <v/>
      </c>
      <c r="Q179" s="9" t="str">
        <f>IF($A179="","",$A179&amp;"-"&amp;'Template Setup'!$C$16)</f>
        <v/>
      </c>
      <c r="R179" s="24" t="str">
        <f t="shared" si="9"/>
        <v/>
      </c>
      <c r="S179" s="24"/>
      <c r="T179" s="24" t="str">
        <f t="shared" si="10"/>
        <v/>
      </c>
      <c r="U179" s="6" t="str">
        <f t="shared" si="12"/>
        <v/>
      </c>
    </row>
    <row r="180" spans="1:21">
      <c r="A180" s="11"/>
      <c r="B180" s="11"/>
      <c r="C180" s="11"/>
      <c r="D180" s="11" t="str">
        <f>IF($A180="","",_xlfn.TEXTJOIN(", ",TRUE,IF($G180&gt;0,'Template Setup'!$C$4,""),IF($H180&gt;0,'Template Setup'!$C$5,""),IF($I180&gt;0,'Template Setup'!$C$6,""),IF($J180&gt;0,'Template Setup'!$C$7,""),IF($K180&gt;0,'Template Setup'!$C$8,"")))</f>
        <v/>
      </c>
      <c r="E180" s="6" t="str" cm="1">
        <f t="array" ref="E180">IF($A180="","",_xlfn.LET(_xlpm.sheets,CHOOSE({1,2,3,4,5},'Template Setup'!$C$4,'Template Setup'!$C$5,'Template Setup'!$C$6,'Template Setup'!$C$7,'Template Setup'!$C$8),_xlpm.nums,CHOOSE({1,2,3,4,5},$L180,$M180,$N180,$O180,$P180),_xlpm.qtys,CHOOSE({1,2,3,4,5},$G180,$H180,$I180,$J180,$K180),_xlpm.validNums,_xlfn._xlws.FILTER(_xlpm.nums,_xlpm.qtys&gt;0),_xlpm.validSheets,_xlfn._xlws.FILTER(_xlpm.sheets,_xlpm.qtys&gt;0),_xlpm.mx,IFERROR(MAX(_xlpm.validNums),0),IF(_xlpm.mx=0,"",INDEX(_xlpm.validSheets,MATCH(_xlpm.mx,_xlpm.validNums,0))&amp;" (+"&amp;$R180&amp;")")))</f>
        <v/>
      </c>
      <c r="F180" s="11" t="str">
        <f t="shared" si="11"/>
        <v/>
      </c>
      <c r="G180" s="12" t="str">
        <f ca="1">IF($A180="","",IFERROR(SUMIF(INDIRECT("'"&amp;'Template Setup'!$C$4&amp;"'!C:C"),$A180,INDIRECT("'"&amp;'Template Setup'!$C$4&amp;"'!A:A")),0))</f>
        <v/>
      </c>
      <c r="H180" s="12" t="str">
        <f ca="1">IF($A180="","",IFERROR(SUMIF(INDIRECT("'"&amp;'Template Setup'!$C$5&amp;"'!C:C"),$A180,INDIRECT("'"&amp;'Template Setup'!$C$5&amp;"'!A:A")),0))</f>
        <v/>
      </c>
      <c r="I180" s="12" t="str">
        <f ca="1">IF($A180="","",IFERROR(SUMIF(INDIRECT("'"&amp;'Template Setup'!$C$6&amp;"'!C:C"),$A180,INDIRECT("'"&amp;'Template Setup'!$C$6&amp;"'!A:A")),0))</f>
        <v/>
      </c>
      <c r="J180" s="12" t="str">
        <f ca="1">IF($A180="","",IFERROR(SUMIF(INDIRECT("'"&amp;'Template Setup'!$C$7&amp;"'!C:C"),$A180,INDIRECT("'"&amp;'Template Setup'!$C$7&amp;"'!A:A")),0))</f>
        <v/>
      </c>
      <c r="K180" s="12" t="str">
        <f ca="1">IF($A180="","",IFERROR(SUMIF(INDIRECT("'"&amp;'Template Setup'!$C$8&amp;"'!C:C"),$A180,INDIRECT("'"&amp;'Template Setup'!$C$8&amp;"'!A:A")),0))</f>
        <v/>
      </c>
      <c r="L180" s="11" t="str">
        <f>IF($A180="","",IFERROR(VALUE(MID(TRIM('Template Setup'!$C$4),FIND("-",TRIM('Template Setup'!$C$4))+1,10)),0))</f>
        <v/>
      </c>
      <c r="M180" s="11" t="str">
        <f>IF($A180="","",IFERROR(VALUE(MID(TRIM('Template Setup'!$C$5),FIND("-",TRIM('Template Setup'!$C$5))+1,10)),0))</f>
        <v/>
      </c>
      <c r="N180" s="11" t="str">
        <f>IF($A180="","",IFERROR(VALUE(MID(TRIM('Template Setup'!$C$6),FIND("-",TRIM('Template Setup'!$C$6))+1,10)),0))</f>
        <v/>
      </c>
      <c r="O180" s="11" t="str">
        <f>IF($A180="","",IFERROR(VALUE(MID(TRIM('Template Setup'!$C$7),FIND("-",TRIM('Template Setup'!$C$7))+1,10)),0))</f>
        <v/>
      </c>
      <c r="P180" s="11" t="str">
        <f>IF($A180="","",IFERROR(VALUE(MID(TRIM('Template Setup'!$C$8),FIND("-",TRIM('Template Setup'!$C$8))+1,10)),0))</f>
        <v/>
      </c>
      <c r="Q180" s="9" t="str">
        <f>IF($A180="","",$A180&amp;"-"&amp;'Template Setup'!$C$16)</f>
        <v/>
      </c>
      <c r="R180" s="24" t="str">
        <f t="shared" si="9"/>
        <v/>
      </c>
      <c r="S180" s="24"/>
      <c r="T180" s="24" t="str">
        <f t="shared" si="10"/>
        <v/>
      </c>
      <c r="U180" s="6" t="str">
        <f t="shared" si="12"/>
        <v/>
      </c>
    </row>
    <row r="181" spans="1:21">
      <c r="A181" s="11"/>
      <c r="B181" s="11"/>
      <c r="C181" s="11"/>
      <c r="D181" s="11" t="str">
        <f>IF($A181="","",_xlfn.TEXTJOIN(", ",TRUE,IF($G181&gt;0,'Template Setup'!$C$4,""),IF($H181&gt;0,'Template Setup'!$C$5,""),IF($I181&gt;0,'Template Setup'!$C$6,""),IF($J181&gt;0,'Template Setup'!$C$7,""),IF($K181&gt;0,'Template Setup'!$C$8,"")))</f>
        <v/>
      </c>
      <c r="E181" s="6" t="str" cm="1">
        <f t="array" ref="E181">IF($A181="","",_xlfn.LET(_xlpm.sheets,CHOOSE({1,2,3,4,5},'Template Setup'!$C$4,'Template Setup'!$C$5,'Template Setup'!$C$6,'Template Setup'!$C$7,'Template Setup'!$C$8),_xlpm.nums,CHOOSE({1,2,3,4,5},$L181,$M181,$N181,$O181,$P181),_xlpm.qtys,CHOOSE({1,2,3,4,5},$G181,$H181,$I181,$J181,$K181),_xlpm.validNums,_xlfn._xlws.FILTER(_xlpm.nums,_xlpm.qtys&gt;0),_xlpm.validSheets,_xlfn._xlws.FILTER(_xlpm.sheets,_xlpm.qtys&gt;0),_xlpm.mx,IFERROR(MAX(_xlpm.validNums),0),IF(_xlpm.mx=0,"",INDEX(_xlpm.validSheets,MATCH(_xlpm.mx,_xlpm.validNums,0))&amp;" (+"&amp;$R181&amp;")")))</f>
        <v/>
      </c>
      <c r="F181" s="11" t="str">
        <f t="shared" si="11"/>
        <v/>
      </c>
      <c r="G181" s="12" t="str">
        <f ca="1">IF($A181="","",IFERROR(SUMIF(INDIRECT("'"&amp;'Template Setup'!$C$4&amp;"'!C:C"),$A181,INDIRECT("'"&amp;'Template Setup'!$C$4&amp;"'!A:A")),0))</f>
        <v/>
      </c>
      <c r="H181" s="12" t="str">
        <f ca="1">IF($A181="","",IFERROR(SUMIF(INDIRECT("'"&amp;'Template Setup'!$C$5&amp;"'!C:C"),$A181,INDIRECT("'"&amp;'Template Setup'!$C$5&amp;"'!A:A")),0))</f>
        <v/>
      </c>
      <c r="I181" s="12" t="str">
        <f ca="1">IF($A181="","",IFERROR(SUMIF(INDIRECT("'"&amp;'Template Setup'!$C$6&amp;"'!C:C"),$A181,INDIRECT("'"&amp;'Template Setup'!$C$6&amp;"'!A:A")),0))</f>
        <v/>
      </c>
      <c r="J181" s="12" t="str">
        <f ca="1">IF($A181="","",IFERROR(SUMIF(INDIRECT("'"&amp;'Template Setup'!$C$7&amp;"'!C:C"),$A181,INDIRECT("'"&amp;'Template Setup'!$C$7&amp;"'!A:A")),0))</f>
        <v/>
      </c>
      <c r="K181" s="12" t="str">
        <f ca="1">IF($A181="","",IFERROR(SUMIF(INDIRECT("'"&amp;'Template Setup'!$C$8&amp;"'!C:C"),$A181,INDIRECT("'"&amp;'Template Setup'!$C$8&amp;"'!A:A")),0))</f>
        <v/>
      </c>
      <c r="L181" s="11" t="str">
        <f>IF($A181="","",IFERROR(VALUE(MID(TRIM('Template Setup'!$C$4),FIND("-",TRIM('Template Setup'!$C$4))+1,10)),0))</f>
        <v/>
      </c>
      <c r="M181" s="11" t="str">
        <f>IF($A181="","",IFERROR(VALUE(MID(TRIM('Template Setup'!$C$5),FIND("-",TRIM('Template Setup'!$C$5))+1,10)),0))</f>
        <v/>
      </c>
      <c r="N181" s="11" t="str">
        <f>IF($A181="","",IFERROR(VALUE(MID(TRIM('Template Setup'!$C$6),FIND("-",TRIM('Template Setup'!$C$6))+1,10)),0))</f>
        <v/>
      </c>
      <c r="O181" s="11" t="str">
        <f>IF($A181="","",IFERROR(VALUE(MID(TRIM('Template Setup'!$C$7),FIND("-",TRIM('Template Setup'!$C$7))+1,10)),0))</f>
        <v/>
      </c>
      <c r="P181" s="11" t="str">
        <f>IF($A181="","",IFERROR(VALUE(MID(TRIM('Template Setup'!$C$8),FIND("-",TRIM('Template Setup'!$C$8))+1,10)),0))</f>
        <v/>
      </c>
      <c r="Q181" s="9" t="str">
        <f>IF($A181="","",$A181&amp;"-"&amp;'Template Setup'!$C$16)</f>
        <v/>
      </c>
      <c r="R181" s="24" t="str">
        <f t="shared" si="9"/>
        <v/>
      </c>
      <c r="S181" s="24"/>
      <c r="T181" s="24" t="str">
        <f t="shared" si="10"/>
        <v/>
      </c>
      <c r="U181" s="6" t="str">
        <f t="shared" si="12"/>
        <v/>
      </c>
    </row>
    <row r="182" spans="1:21">
      <c r="A182" s="11"/>
      <c r="B182" s="11"/>
      <c r="C182" s="11"/>
      <c r="D182" s="11" t="str">
        <f>IF($A182="","",_xlfn.TEXTJOIN(", ",TRUE,IF($G182&gt;0,'Template Setup'!$C$4,""),IF($H182&gt;0,'Template Setup'!$C$5,""),IF($I182&gt;0,'Template Setup'!$C$6,""),IF($J182&gt;0,'Template Setup'!$C$7,""),IF($K182&gt;0,'Template Setup'!$C$8,"")))</f>
        <v/>
      </c>
      <c r="E182" s="6" t="str" cm="1">
        <f t="array" ref="E182">IF($A182="","",_xlfn.LET(_xlpm.sheets,CHOOSE({1,2,3,4,5},'Template Setup'!$C$4,'Template Setup'!$C$5,'Template Setup'!$C$6,'Template Setup'!$C$7,'Template Setup'!$C$8),_xlpm.nums,CHOOSE({1,2,3,4,5},$L182,$M182,$N182,$O182,$P182),_xlpm.qtys,CHOOSE({1,2,3,4,5},$G182,$H182,$I182,$J182,$K182),_xlpm.validNums,_xlfn._xlws.FILTER(_xlpm.nums,_xlpm.qtys&gt;0),_xlpm.validSheets,_xlfn._xlws.FILTER(_xlpm.sheets,_xlpm.qtys&gt;0),_xlpm.mx,IFERROR(MAX(_xlpm.validNums),0),IF(_xlpm.mx=0,"",INDEX(_xlpm.validSheets,MATCH(_xlpm.mx,_xlpm.validNums,0))&amp;" (+"&amp;$R182&amp;")")))</f>
        <v/>
      </c>
      <c r="F182" s="11" t="str">
        <f t="shared" si="11"/>
        <v/>
      </c>
      <c r="G182" s="12" t="str">
        <f ca="1">IF($A182="","",IFERROR(SUMIF(INDIRECT("'"&amp;'Template Setup'!$C$4&amp;"'!C:C"),$A182,INDIRECT("'"&amp;'Template Setup'!$C$4&amp;"'!A:A")),0))</f>
        <v/>
      </c>
      <c r="H182" s="12" t="str">
        <f ca="1">IF($A182="","",IFERROR(SUMIF(INDIRECT("'"&amp;'Template Setup'!$C$5&amp;"'!C:C"),$A182,INDIRECT("'"&amp;'Template Setup'!$C$5&amp;"'!A:A")),0))</f>
        <v/>
      </c>
      <c r="I182" s="12" t="str">
        <f ca="1">IF($A182="","",IFERROR(SUMIF(INDIRECT("'"&amp;'Template Setup'!$C$6&amp;"'!C:C"),$A182,INDIRECT("'"&amp;'Template Setup'!$C$6&amp;"'!A:A")),0))</f>
        <v/>
      </c>
      <c r="J182" s="12" t="str">
        <f ca="1">IF($A182="","",IFERROR(SUMIF(INDIRECT("'"&amp;'Template Setup'!$C$7&amp;"'!C:C"),$A182,INDIRECT("'"&amp;'Template Setup'!$C$7&amp;"'!A:A")),0))</f>
        <v/>
      </c>
      <c r="K182" s="12" t="str">
        <f ca="1">IF($A182="","",IFERROR(SUMIF(INDIRECT("'"&amp;'Template Setup'!$C$8&amp;"'!C:C"),$A182,INDIRECT("'"&amp;'Template Setup'!$C$8&amp;"'!A:A")),0))</f>
        <v/>
      </c>
      <c r="L182" s="11" t="str">
        <f>IF($A182="","",IFERROR(VALUE(MID(TRIM('Template Setup'!$C$4),FIND("-",TRIM('Template Setup'!$C$4))+1,10)),0))</f>
        <v/>
      </c>
      <c r="M182" s="11" t="str">
        <f>IF($A182="","",IFERROR(VALUE(MID(TRIM('Template Setup'!$C$5),FIND("-",TRIM('Template Setup'!$C$5))+1,10)),0))</f>
        <v/>
      </c>
      <c r="N182" s="11" t="str">
        <f>IF($A182="","",IFERROR(VALUE(MID(TRIM('Template Setup'!$C$6),FIND("-",TRIM('Template Setup'!$C$6))+1,10)),0))</f>
        <v/>
      </c>
      <c r="O182" s="11" t="str">
        <f>IF($A182="","",IFERROR(VALUE(MID(TRIM('Template Setup'!$C$7),FIND("-",TRIM('Template Setup'!$C$7))+1,10)),0))</f>
        <v/>
      </c>
      <c r="P182" s="11" t="str">
        <f>IF($A182="","",IFERROR(VALUE(MID(TRIM('Template Setup'!$C$8),FIND("-",TRIM('Template Setup'!$C$8))+1,10)),0))</f>
        <v/>
      </c>
      <c r="Q182" s="9" t="str">
        <f>IF($A182="","",$A182&amp;"-"&amp;'Template Setup'!$C$16)</f>
        <v/>
      </c>
      <c r="R182" s="24" t="str">
        <f t="shared" si="9"/>
        <v/>
      </c>
      <c r="S182" s="24"/>
      <c r="T182" s="24" t="str">
        <f t="shared" si="10"/>
        <v/>
      </c>
      <c r="U182" s="6" t="str">
        <f t="shared" si="12"/>
        <v/>
      </c>
    </row>
    <row r="183" spans="1:21">
      <c r="A183" s="11"/>
      <c r="B183" s="11"/>
      <c r="C183" s="11"/>
      <c r="D183" s="11" t="str">
        <f>IF($A183="","",_xlfn.TEXTJOIN(", ",TRUE,IF($G183&gt;0,'Template Setup'!$C$4,""),IF($H183&gt;0,'Template Setup'!$C$5,""),IF($I183&gt;0,'Template Setup'!$C$6,""),IF($J183&gt;0,'Template Setup'!$C$7,""),IF($K183&gt;0,'Template Setup'!$C$8,"")))</f>
        <v/>
      </c>
      <c r="E183" s="6" t="str" cm="1">
        <f t="array" ref="E183">IF($A183="","",_xlfn.LET(_xlpm.sheets,CHOOSE({1,2,3,4,5},'Template Setup'!$C$4,'Template Setup'!$C$5,'Template Setup'!$C$6,'Template Setup'!$C$7,'Template Setup'!$C$8),_xlpm.nums,CHOOSE({1,2,3,4,5},$L183,$M183,$N183,$O183,$P183),_xlpm.qtys,CHOOSE({1,2,3,4,5},$G183,$H183,$I183,$J183,$K183),_xlpm.validNums,_xlfn._xlws.FILTER(_xlpm.nums,_xlpm.qtys&gt;0),_xlpm.validSheets,_xlfn._xlws.FILTER(_xlpm.sheets,_xlpm.qtys&gt;0),_xlpm.mx,IFERROR(MAX(_xlpm.validNums),0),IF(_xlpm.mx=0,"",INDEX(_xlpm.validSheets,MATCH(_xlpm.mx,_xlpm.validNums,0))&amp;" (+"&amp;$R183&amp;")")))</f>
        <v/>
      </c>
      <c r="F183" s="11" t="str">
        <f t="shared" si="11"/>
        <v/>
      </c>
      <c r="G183" s="12" t="str">
        <f ca="1">IF($A183="","",IFERROR(SUMIF(INDIRECT("'"&amp;'Template Setup'!$C$4&amp;"'!C:C"),$A183,INDIRECT("'"&amp;'Template Setup'!$C$4&amp;"'!A:A")),0))</f>
        <v/>
      </c>
      <c r="H183" s="12" t="str">
        <f ca="1">IF($A183="","",IFERROR(SUMIF(INDIRECT("'"&amp;'Template Setup'!$C$5&amp;"'!C:C"),$A183,INDIRECT("'"&amp;'Template Setup'!$C$5&amp;"'!A:A")),0))</f>
        <v/>
      </c>
      <c r="I183" s="12" t="str">
        <f ca="1">IF($A183="","",IFERROR(SUMIF(INDIRECT("'"&amp;'Template Setup'!$C$6&amp;"'!C:C"),$A183,INDIRECT("'"&amp;'Template Setup'!$C$6&amp;"'!A:A")),0))</f>
        <v/>
      </c>
      <c r="J183" s="12" t="str">
        <f ca="1">IF($A183="","",IFERROR(SUMIF(INDIRECT("'"&amp;'Template Setup'!$C$7&amp;"'!C:C"),$A183,INDIRECT("'"&amp;'Template Setup'!$C$7&amp;"'!A:A")),0))</f>
        <v/>
      </c>
      <c r="K183" s="12" t="str">
        <f ca="1">IF($A183="","",IFERROR(SUMIF(INDIRECT("'"&amp;'Template Setup'!$C$8&amp;"'!C:C"),$A183,INDIRECT("'"&amp;'Template Setup'!$C$8&amp;"'!A:A")),0))</f>
        <v/>
      </c>
      <c r="L183" s="11" t="str">
        <f>IF($A183="","",IFERROR(VALUE(MID(TRIM('Template Setup'!$C$4),FIND("-",TRIM('Template Setup'!$C$4))+1,10)),0))</f>
        <v/>
      </c>
      <c r="M183" s="11" t="str">
        <f>IF($A183="","",IFERROR(VALUE(MID(TRIM('Template Setup'!$C$5),FIND("-",TRIM('Template Setup'!$C$5))+1,10)),0))</f>
        <v/>
      </c>
      <c r="N183" s="11" t="str">
        <f>IF($A183="","",IFERROR(VALUE(MID(TRIM('Template Setup'!$C$6),FIND("-",TRIM('Template Setup'!$C$6))+1,10)),0))</f>
        <v/>
      </c>
      <c r="O183" s="11" t="str">
        <f>IF($A183="","",IFERROR(VALUE(MID(TRIM('Template Setup'!$C$7),FIND("-",TRIM('Template Setup'!$C$7))+1,10)),0))</f>
        <v/>
      </c>
      <c r="P183" s="11" t="str">
        <f>IF($A183="","",IFERROR(VALUE(MID(TRIM('Template Setup'!$C$8),FIND("-",TRIM('Template Setup'!$C$8))+1,10)),0))</f>
        <v/>
      </c>
      <c r="Q183" s="9" t="str">
        <f>IF($A183="","",$A183&amp;"-"&amp;'Template Setup'!$C$16)</f>
        <v/>
      </c>
      <c r="R183" s="24" t="str">
        <f t="shared" si="9"/>
        <v/>
      </c>
      <c r="S183" s="24"/>
      <c r="T183" s="24" t="str">
        <f t="shared" si="10"/>
        <v/>
      </c>
      <c r="U183" s="6" t="str">
        <f t="shared" si="12"/>
        <v/>
      </c>
    </row>
    <row r="184" spans="1:21">
      <c r="A184" s="11"/>
      <c r="B184" s="11"/>
      <c r="C184" s="11"/>
      <c r="D184" s="11" t="str">
        <f>IF($A184="","",_xlfn.TEXTJOIN(", ",TRUE,IF($G184&gt;0,'Template Setup'!$C$4,""),IF($H184&gt;0,'Template Setup'!$C$5,""),IF($I184&gt;0,'Template Setup'!$C$6,""),IF($J184&gt;0,'Template Setup'!$C$7,""),IF($K184&gt;0,'Template Setup'!$C$8,"")))</f>
        <v/>
      </c>
      <c r="E184" s="6" t="str" cm="1">
        <f t="array" ref="E184">IF($A184="","",_xlfn.LET(_xlpm.sheets,CHOOSE({1,2,3,4,5},'Template Setup'!$C$4,'Template Setup'!$C$5,'Template Setup'!$C$6,'Template Setup'!$C$7,'Template Setup'!$C$8),_xlpm.nums,CHOOSE({1,2,3,4,5},$L184,$M184,$N184,$O184,$P184),_xlpm.qtys,CHOOSE({1,2,3,4,5},$G184,$H184,$I184,$J184,$K184),_xlpm.validNums,_xlfn._xlws.FILTER(_xlpm.nums,_xlpm.qtys&gt;0),_xlpm.validSheets,_xlfn._xlws.FILTER(_xlpm.sheets,_xlpm.qtys&gt;0),_xlpm.mx,IFERROR(MAX(_xlpm.validNums),0),IF(_xlpm.mx=0,"",INDEX(_xlpm.validSheets,MATCH(_xlpm.mx,_xlpm.validNums,0))&amp;" (+"&amp;$R184&amp;")")))</f>
        <v/>
      </c>
      <c r="F184" s="11" t="str">
        <f t="shared" si="11"/>
        <v/>
      </c>
      <c r="G184" s="12" t="str">
        <f ca="1">IF($A184="","",IFERROR(SUMIF(INDIRECT("'"&amp;'Template Setup'!$C$4&amp;"'!C:C"),$A184,INDIRECT("'"&amp;'Template Setup'!$C$4&amp;"'!A:A")),0))</f>
        <v/>
      </c>
      <c r="H184" s="12" t="str">
        <f ca="1">IF($A184="","",IFERROR(SUMIF(INDIRECT("'"&amp;'Template Setup'!$C$5&amp;"'!C:C"),$A184,INDIRECT("'"&amp;'Template Setup'!$C$5&amp;"'!A:A")),0))</f>
        <v/>
      </c>
      <c r="I184" s="12" t="str">
        <f ca="1">IF($A184="","",IFERROR(SUMIF(INDIRECT("'"&amp;'Template Setup'!$C$6&amp;"'!C:C"),$A184,INDIRECT("'"&amp;'Template Setup'!$C$6&amp;"'!A:A")),0))</f>
        <v/>
      </c>
      <c r="J184" s="12" t="str">
        <f ca="1">IF($A184="","",IFERROR(SUMIF(INDIRECT("'"&amp;'Template Setup'!$C$7&amp;"'!C:C"),$A184,INDIRECT("'"&amp;'Template Setup'!$C$7&amp;"'!A:A")),0))</f>
        <v/>
      </c>
      <c r="K184" s="12" t="str">
        <f ca="1">IF($A184="","",IFERROR(SUMIF(INDIRECT("'"&amp;'Template Setup'!$C$8&amp;"'!C:C"),$A184,INDIRECT("'"&amp;'Template Setup'!$C$8&amp;"'!A:A")),0))</f>
        <v/>
      </c>
      <c r="L184" s="11" t="str">
        <f>IF($A184="","",IFERROR(VALUE(MID(TRIM('Template Setup'!$C$4),FIND("-",TRIM('Template Setup'!$C$4))+1,10)),0))</f>
        <v/>
      </c>
      <c r="M184" s="11" t="str">
        <f>IF($A184="","",IFERROR(VALUE(MID(TRIM('Template Setup'!$C$5),FIND("-",TRIM('Template Setup'!$C$5))+1,10)),0))</f>
        <v/>
      </c>
      <c r="N184" s="11" t="str">
        <f>IF($A184="","",IFERROR(VALUE(MID(TRIM('Template Setup'!$C$6),FIND("-",TRIM('Template Setup'!$C$6))+1,10)),0))</f>
        <v/>
      </c>
      <c r="O184" s="11" t="str">
        <f>IF($A184="","",IFERROR(VALUE(MID(TRIM('Template Setup'!$C$7),FIND("-",TRIM('Template Setup'!$C$7))+1,10)),0))</f>
        <v/>
      </c>
      <c r="P184" s="11" t="str">
        <f>IF($A184="","",IFERROR(VALUE(MID(TRIM('Template Setup'!$C$8),FIND("-",TRIM('Template Setup'!$C$8))+1,10)),0))</f>
        <v/>
      </c>
      <c r="Q184" s="9" t="str">
        <f>IF($A184="","",$A184&amp;"-"&amp;'Template Setup'!$C$16)</f>
        <v/>
      </c>
      <c r="R184" s="24" t="str">
        <f t="shared" si="9"/>
        <v/>
      </c>
      <c r="S184" s="24"/>
      <c r="T184" s="24" t="str">
        <f t="shared" si="10"/>
        <v/>
      </c>
      <c r="U184" s="6" t="str">
        <f t="shared" si="12"/>
        <v/>
      </c>
    </row>
    <row r="185" spans="1:21">
      <c r="A185" s="11"/>
      <c r="B185" s="11"/>
      <c r="C185" s="11"/>
      <c r="D185" s="11" t="str">
        <f>IF($A185="","",_xlfn.TEXTJOIN(", ",TRUE,IF($G185&gt;0,'Template Setup'!$C$4,""),IF($H185&gt;0,'Template Setup'!$C$5,""),IF($I185&gt;0,'Template Setup'!$C$6,""),IF($J185&gt;0,'Template Setup'!$C$7,""),IF($K185&gt;0,'Template Setup'!$C$8,"")))</f>
        <v/>
      </c>
      <c r="E185" s="6" t="str" cm="1">
        <f t="array" ref="E185">IF($A185="","",_xlfn.LET(_xlpm.sheets,CHOOSE({1,2,3,4,5},'Template Setup'!$C$4,'Template Setup'!$C$5,'Template Setup'!$C$6,'Template Setup'!$C$7,'Template Setup'!$C$8),_xlpm.nums,CHOOSE({1,2,3,4,5},$L185,$M185,$N185,$O185,$P185),_xlpm.qtys,CHOOSE({1,2,3,4,5},$G185,$H185,$I185,$J185,$K185),_xlpm.validNums,_xlfn._xlws.FILTER(_xlpm.nums,_xlpm.qtys&gt;0),_xlpm.validSheets,_xlfn._xlws.FILTER(_xlpm.sheets,_xlpm.qtys&gt;0),_xlpm.mx,IFERROR(MAX(_xlpm.validNums),0),IF(_xlpm.mx=0,"",INDEX(_xlpm.validSheets,MATCH(_xlpm.mx,_xlpm.validNums,0))&amp;" (+"&amp;$R185&amp;")")))</f>
        <v/>
      </c>
      <c r="F185" s="11" t="str">
        <f t="shared" si="11"/>
        <v/>
      </c>
      <c r="G185" s="12" t="str">
        <f ca="1">IF($A185="","",IFERROR(SUMIF(INDIRECT("'"&amp;'Template Setup'!$C$4&amp;"'!C:C"),$A185,INDIRECT("'"&amp;'Template Setup'!$C$4&amp;"'!A:A")),0))</f>
        <v/>
      </c>
      <c r="H185" s="12" t="str">
        <f ca="1">IF($A185="","",IFERROR(SUMIF(INDIRECT("'"&amp;'Template Setup'!$C$5&amp;"'!C:C"),$A185,INDIRECT("'"&amp;'Template Setup'!$C$5&amp;"'!A:A")),0))</f>
        <v/>
      </c>
      <c r="I185" s="12" t="str">
        <f ca="1">IF($A185="","",IFERROR(SUMIF(INDIRECT("'"&amp;'Template Setup'!$C$6&amp;"'!C:C"),$A185,INDIRECT("'"&amp;'Template Setup'!$C$6&amp;"'!A:A")),0))</f>
        <v/>
      </c>
      <c r="J185" s="12" t="str">
        <f ca="1">IF($A185="","",IFERROR(SUMIF(INDIRECT("'"&amp;'Template Setup'!$C$7&amp;"'!C:C"),$A185,INDIRECT("'"&amp;'Template Setup'!$C$7&amp;"'!A:A")),0))</f>
        <v/>
      </c>
      <c r="K185" s="12" t="str">
        <f ca="1">IF($A185="","",IFERROR(SUMIF(INDIRECT("'"&amp;'Template Setup'!$C$8&amp;"'!C:C"),$A185,INDIRECT("'"&amp;'Template Setup'!$C$8&amp;"'!A:A")),0))</f>
        <v/>
      </c>
      <c r="L185" s="11" t="str">
        <f>IF($A185="","",IFERROR(VALUE(MID(TRIM('Template Setup'!$C$4),FIND("-",TRIM('Template Setup'!$C$4))+1,10)),0))</f>
        <v/>
      </c>
      <c r="M185" s="11" t="str">
        <f>IF($A185="","",IFERROR(VALUE(MID(TRIM('Template Setup'!$C$5),FIND("-",TRIM('Template Setup'!$C$5))+1,10)),0))</f>
        <v/>
      </c>
      <c r="N185" s="11" t="str">
        <f>IF($A185="","",IFERROR(VALUE(MID(TRIM('Template Setup'!$C$6),FIND("-",TRIM('Template Setup'!$C$6))+1,10)),0))</f>
        <v/>
      </c>
      <c r="O185" s="11" t="str">
        <f>IF($A185="","",IFERROR(VALUE(MID(TRIM('Template Setup'!$C$7),FIND("-",TRIM('Template Setup'!$C$7))+1,10)),0))</f>
        <v/>
      </c>
      <c r="P185" s="11" t="str">
        <f>IF($A185="","",IFERROR(VALUE(MID(TRIM('Template Setup'!$C$8),FIND("-",TRIM('Template Setup'!$C$8))+1,10)),0))</f>
        <v/>
      </c>
      <c r="Q185" s="9" t="str">
        <f>IF($A185="","",$A185&amp;"-"&amp;'Template Setup'!$C$16)</f>
        <v/>
      </c>
      <c r="R185" s="24" t="str">
        <f t="shared" si="9"/>
        <v/>
      </c>
      <c r="S185" s="24"/>
      <c r="T185" s="24" t="str">
        <f t="shared" si="10"/>
        <v/>
      </c>
      <c r="U185" s="6" t="str">
        <f t="shared" si="12"/>
        <v/>
      </c>
    </row>
    <row r="186" spans="1:21">
      <c r="A186" s="11"/>
      <c r="B186" s="11"/>
      <c r="C186" s="11"/>
      <c r="D186" s="11" t="str">
        <f>IF($A186="","",_xlfn.TEXTJOIN(", ",TRUE,IF($G186&gt;0,'Template Setup'!$C$4,""),IF($H186&gt;0,'Template Setup'!$C$5,""),IF($I186&gt;0,'Template Setup'!$C$6,""),IF($J186&gt;0,'Template Setup'!$C$7,""),IF($K186&gt;0,'Template Setup'!$C$8,"")))</f>
        <v/>
      </c>
      <c r="E186" s="6" t="str" cm="1">
        <f t="array" ref="E186">IF($A186="","",_xlfn.LET(_xlpm.sheets,CHOOSE({1,2,3,4,5},'Template Setup'!$C$4,'Template Setup'!$C$5,'Template Setup'!$C$6,'Template Setup'!$C$7,'Template Setup'!$C$8),_xlpm.nums,CHOOSE({1,2,3,4,5},$L186,$M186,$N186,$O186,$P186),_xlpm.qtys,CHOOSE({1,2,3,4,5},$G186,$H186,$I186,$J186,$K186),_xlpm.validNums,_xlfn._xlws.FILTER(_xlpm.nums,_xlpm.qtys&gt;0),_xlpm.validSheets,_xlfn._xlws.FILTER(_xlpm.sheets,_xlpm.qtys&gt;0),_xlpm.mx,IFERROR(MAX(_xlpm.validNums),0),IF(_xlpm.mx=0,"",INDEX(_xlpm.validSheets,MATCH(_xlpm.mx,_xlpm.validNums,0))&amp;" (+"&amp;$R186&amp;")")))</f>
        <v/>
      </c>
      <c r="F186" s="11" t="str">
        <f t="shared" si="11"/>
        <v/>
      </c>
      <c r="G186" s="12" t="str">
        <f ca="1">IF($A186="","",IFERROR(SUMIF(INDIRECT("'"&amp;'Template Setup'!$C$4&amp;"'!C:C"),$A186,INDIRECT("'"&amp;'Template Setup'!$C$4&amp;"'!A:A")),0))</f>
        <v/>
      </c>
      <c r="H186" s="12" t="str">
        <f ca="1">IF($A186="","",IFERROR(SUMIF(INDIRECT("'"&amp;'Template Setup'!$C$5&amp;"'!C:C"),$A186,INDIRECT("'"&amp;'Template Setup'!$C$5&amp;"'!A:A")),0))</f>
        <v/>
      </c>
      <c r="I186" s="12" t="str">
        <f ca="1">IF($A186="","",IFERROR(SUMIF(INDIRECT("'"&amp;'Template Setup'!$C$6&amp;"'!C:C"),$A186,INDIRECT("'"&amp;'Template Setup'!$C$6&amp;"'!A:A")),0))</f>
        <v/>
      </c>
      <c r="J186" s="12" t="str">
        <f ca="1">IF($A186="","",IFERROR(SUMIF(INDIRECT("'"&amp;'Template Setup'!$C$7&amp;"'!C:C"),$A186,INDIRECT("'"&amp;'Template Setup'!$C$7&amp;"'!A:A")),0))</f>
        <v/>
      </c>
      <c r="K186" s="12" t="str">
        <f ca="1">IF($A186="","",IFERROR(SUMIF(INDIRECT("'"&amp;'Template Setup'!$C$8&amp;"'!C:C"),$A186,INDIRECT("'"&amp;'Template Setup'!$C$8&amp;"'!A:A")),0))</f>
        <v/>
      </c>
      <c r="L186" s="11" t="str">
        <f>IF($A186="","",IFERROR(VALUE(MID(TRIM('Template Setup'!$C$4),FIND("-",TRIM('Template Setup'!$C$4))+1,10)),0))</f>
        <v/>
      </c>
      <c r="M186" s="11" t="str">
        <f>IF($A186="","",IFERROR(VALUE(MID(TRIM('Template Setup'!$C$5),FIND("-",TRIM('Template Setup'!$C$5))+1,10)),0))</f>
        <v/>
      </c>
      <c r="N186" s="11" t="str">
        <f>IF($A186="","",IFERROR(VALUE(MID(TRIM('Template Setup'!$C$6),FIND("-",TRIM('Template Setup'!$C$6))+1,10)),0))</f>
        <v/>
      </c>
      <c r="O186" s="11" t="str">
        <f>IF($A186="","",IFERROR(VALUE(MID(TRIM('Template Setup'!$C$7),FIND("-",TRIM('Template Setup'!$C$7))+1,10)),0))</f>
        <v/>
      </c>
      <c r="P186" s="11" t="str">
        <f>IF($A186="","",IFERROR(VALUE(MID(TRIM('Template Setup'!$C$8),FIND("-",TRIM('Template Setup'!$C$8))+1,10)),0))</f>
        <v/>
      </c>
      <c r="Q186" s="9" t="str">
        <f>IF($A186="","",$A186&amp;"-"&amp;'Template Setup'!$C$16)</f>
        <v/>
      </c>
      <c r="R186" s="24" t="str">
        <f t="shared" si="9"/>
        <v/>
      </c>
      <c r="S186" s="24"/>
      <c r="T186" s="24" t="str">
        <f t="shared" si="10"/>
        <v/>
      </c>
      <c r="U186" s="6" t="str">
        <f t="shared" si="12"/>
        <v/>
      </c>
    </row>
    <row r="187" spans="1:21">
      <c r="A187" s="11"/>
      <c r="B187" s="11"/>
      <c r="C187" s="11"/>
      <c r="D187" s="11" t="str">
        <f>IF($A187="","",_xlfn.TEXTJOIN(", ",TRUE,IF($G187&gt;0,'Template Setup'!$C$4,""),IF($H187&gt;0,'Template Setup'!$C$5,""),IF($I187&gt;0,'Template Setup'!$C$6,""),IF($J187&gt;0,'Template Setup'!$C$7,""),IF($K187&gt;0,'Template Setup'!$C$8,"")))</f>
        <v/>
      </c>
      <c r="E187" s="6" t="str" cm="1">
        <f t="array" ref="E187">IF($A187="","",_xlfn.LET(_xlpm.sheets,CHOOSE({1,2,3,4,5},'Template Setup'!$C$4,'Template Setup'!$C$5,'Template Setup'!$C$6,'Template Setup'!$C$7,'Template Setup'!$C$8),_xlpm.nums,CHOOSE({1,2,3,4,5},$L187,$M187,$N187,$O187,$P187),_xlpm.qtys,CHOOSE({1,2,3,4,5},$G187,$H187,$I187,$J187,$K187),_xlpm.validNums,_xlfn._xlws.FILTER(_xlpm.nums,_xlpm.qtys&gt;0),_xlpm.validSheets,_xlfn._xlws.FILTER(_xlpm.sheets,_xlpm.qtys&gt;0),_xlpm.mx,IFERROR(MAX(_xlpm.validNums),0),IF(_xlpm.mx=0,"",INDEX(_xlpm.validSheets,MATCH(_xlpm.mx,_xlpm.validNums,0))&amp;" (+"&amp;$R187&amp;")")))</f>
        <v/>
      </c>
      <c r="F187" s="11" t="str">
        <f t="shared" si="11"/>
        <v/>
      </c>
      <c r="G187" s="12" t="str">
        <f ca="1">IF($A187="","",IFERROR(SUMIF(INDIRECT("'"&amp;'Template Setup'!$C$4&amp;"'!C:C"),$A187,INDIRECT("'"&amp;'Template Setup'!$C$4&amp;"'!A:A")),0))</f>
        <v/>
      </c>
      <c r="H187" s="12" t="str">
        <f ca="1">IF($A187="","",IFERROR(SUMIF(INDIRECT("'"&amp;'Template Setup'!$C$5&amp;"'!C:C"),$A187,INDIRECT("'"&amp;'Template Setup'!$C$5&amp;"'!A:A")),0))</f>
        <v/>
      </c>
      <c r="I187" s="12" t="str">
        <f ca="1">IF($A187="","",IFERROR(SUMIF(INDIRECT("'"&amp;'Template Setup'!$C$6&amp;"'!C:C"),$A187,INDIRECT("'"&amp;'Template Setup'!$C$6&amp;"'!A:A")),0))</f>
        <v/>
      </c>
      <c r="J187" s="12" t="str">
        <f ca="1">IF($A187="","",IFERROR(SUMIF(INDIRECT("'"&amp;'Template Setup'!$C$7&amp;"'!C:C"),$A187,INDIRECT("'"&amp;'Template Setup'!$C$7&amp;"'!A:A")),0))</f>
        <v/>
      </c>
      <c r="K187" s="12" t="str">
        <f ca="1">IF($A187="","",IFERROR(SUMIF(INDIRECT("'"&amp;'Template Setup'!$C$8&amp;"'!C:C"),$A187,INDIRECT("'"&amp;'Template Setup'!$C$8&amp;"'!A:A")),0))</f>
        <v/>
      </c>
      <c r="L187" s="11" t="str">
        <f>IF($A187="","",IFERROR(VALUE(MID(TRIM('Template Setup'!$C$4),FIND("-",TRIM('Template Setup'!$C$4))+1,10)),0))</f>
        <v/>
      </c>
      <c r="M187" s="11" t="str">
        <f>IF($A187="","",IFERROR(VALUE(MID(TRIM('Template Setup'!$C$5),FIND("-",TRIM('Template Setup'!$C$5))+1,10)),0))</f>
        <v/>
      </c>
      <c r="N187" s="11" t="str">
        <f>IF($A187="","",IFERROR(VALUE(MID(TRIM('Template Setup'!$C$6),FIND("-",TRIM('Template Setup'!$C$6))+1,10)),0))</f>
        <v/>
      </c>
      <c r="O187" s="11" t="str">
        <f>IF($A187="","",IFERROR(VALUE(MID(TRIM('Template Setup'!$C$7),FIND("-",TRIM('Template Setup'!$C$7))+1,10)),0))</f>
        <v/>
      </c>
      <c r="P187" s="11" t="str">
        <f>IF($A187="","",IFERROR(VALUE(MID(TRIM('Template Setup'!$C$8),FIND("-",TRIM('Template Setup'!$C$8))+1,10)),0))</f>
        <v/>
      </c>
      <c r="Q187" s="9" t="str">
        <f>IF($A187="","",$A187&amp;"-"&amp;'Template Setup'!$C$16)</f>
        <v/>
      </c>
      <c r="R187" s="24" t="str">
        <f t="shared" si="9"/>
        <v/>
      </c>
      <c r="S187" s="24"/>
      <c r="T187" s="24" t="str">
        <f t="shared" si="10"/>
        <v/>
      </c>
      <c r="U187" s="6" t="str">
        <f t="shared" si="12"/>
        <v/>
      </c>
    </row>
    <row r="188" spans="1:21">
      <c r="A188" s="11"/>
      <c r="B188" s="11"/>
      <c r="C188" s="11"/>
      <c r="D188" s="11" t="str">
        <f>IF($A188="","",_xlfn.TEXTJOIN(", ",TRUE,IF($G188&gt;0,'Template Setup'!$C$4,""),IF($H188&gt;0,'Template Setup'!$C$5,""),IF($I188&gt;0,'Template Setup'!$C$6,""),IF($J188&gt;0,'Template Setup'!$C$7,""),IF($K188&gt;0,'Template Setup'!$C$8,"")))</f>
        <v/>
      </c>
      <c r="E188" s="6" t="str" cm="1">
        <f t="array" ref="E188">IF($A188="","",_xlfn.LET(_xlpm.sheets,CHOOSE({1,2,3,4,5},'Template Setup'!$C$4,'Template Setup'!$C$5,'Template Setup'!$C$6,'Template Setup'!$C$7,'Template Setup'!$C$8),_xlpm.nums,CHOOSE({1,2,3,4,5},$L188,$M188,$N188,$O188,$P188),_xlpm.qtys,CHOOSE({1,2,3,4,5},$G188,$H188,$I188,$J188,$K188),_xlpm.validNums,_xlfn._xlws.FILTER(_xlpm.nums,_xlpm.qtys&gt;0),_xlpm.validSheets,_xlfn._xlws.FILTER(_xlpm.sheets,_xlpm.qtys&gt;0),_xlpm.mx,IFERROR(MAX(_xlpm.validNums),0),IF(_xlpm.mx=0,"",INDEX(_xlpm.validSheets,MATCH(_xlpm.mx,_xlpm.validNums,0))&amp;" (+"&amp;$R188&amp;")")))</f>
        <v/>
      </c>
      <c r="F188" s="11" t="str">
        <f t="shared" si="11"/>
        <v/>
      </c>
      <c r="G188" s="12" t="str">
        <f ca="1">IF($A188="","",IFERROR(SUMIF(INDIRECT("'"&amp;'Template Setup'!$C$4&amp;"'!C:C"),$A188,INDIRECT("'"&amp;'Template Setup'!$C$4&amp;"'!A:A")),0))</f>
        <v/>
      </c>
      <c r="H188" s="12" t="str">
        <f ca="1">IF($A188="","",IFERROR(SUMIF(INDIRECT("'"&amp;'Template Setup'!$C$5&amp;"'!C:C"),$A188,INDIRECT("'"&amp;'Template Setup'!$C$5&amp;"'!A:A")),0))</f>
        <v/>
      </c>
      <c r="I188" s="12" t="str">
        <f ca="1">IF($A188="","",IFERROR(SUMIF(INDIRECT("'"&amp;'Template Setup'!$C$6&amp;"'!C:C"),$A188,INDIRECT("'"&amp;'Template Setup'!$C$6&amp;"'!A:A")),0))</f>
        <v/>
      </c>
      <c r="J188" s="12" t="str">
        <f ca="1">IF($A188="","",IFERROR(SUMIF(INDIRECT("'"&amp;'Template Setup'!$C$7&amp;"'!C:C"),$A188,INDIRECT("'"&amp;'Template Setup'!$C$7&amp;"'!A:A")),0))</f>
        <v/>
      </c>
      <c r="K188" s="12" t="str">
        <f ca="1">IF($A188="","",IFERROR(SUMIF(INDIRECT("'"&amp;'Template Setup'!$C$8&amp;"'!C:C"),$A188,INDIRECT("'"&amp;'Template Setup'!$C$8&amp;"'!A:A")),0))</f>
        <v/>
      </c>
      <c r="L188" s="11" t="str">
        <f>IF($A188="","",IFERROR(VALUE(MID(TRIM('Template Setup'!$C$4),FIND("-",TRIM('Template Setup'!$C$4))+1,10)),0))</f>
        <v/>
      </c>
      <c r="M188" s="11" t="str">
        <f>IF($A188="","",IFERROR(VALUE(MID(TRIM('Template Setup'!$C$5),FIND("-",TRIM('Template Setup'!$C$5))+1,10)),0))</f>
        <v/>
      </c>
      <c r="N188" s="11" t="str">
        <f>IF($A188="","",IFERROR(VALUE(MID(TRIM('Template Setup'!$C$6),FIND("-",TRIM('Template Setup'!$C$6))+1,10)),0))</f>
        <v/>
      </c>
      <c r="O188" s="11" t="str">
        <f>IF($A188="","",IFERROR(VALUE(MID(TRIM('Template Setup'!$C$7),FIND("-",TRIM('Template Setup'!$C$7))+1,10)),0))</f>
        <v/>
      </c>
      <c r="P188" s="11" t="str">
        <f>IF($A188="","",IFERROR(VALUE(MID(TRIM('Template Setup'!$C$8),FIND("-",TRIM('Template Setup'!$C$8))+1,10)),0))</f>
        <v/>
      </c>
      <c r="Q188" s="9" t="str">
        <f>IF($A188="","",$A188&amp;"-"&amp;'Template Setup'!$C$16)</f>
        <v/>
      </c>
      <c r="R188" s="24" t="str">
        <f t="shared" si="9"/>
        <v/>
      </c>
      <c r="S188" s="24"/>
      <c r="T188" s="24" t="str">
        <f t="shared" si="10"/>
        <v/>
      </c>
      <c r="U188" s="6" t="str">
        <f t="shared" si="12"/>
        <v/>
      </c>
    </row>
    <row r="189" spans="1:21">
      <c r="A189" s="11"/>
      <c r="B189" s="11"/>
      <c r="C189" s="11"/>
      <c r="D189" s="11" t="str">
        <f>IF($A189="","",_xlfn.TEXTJOIN(", ",TRUE,IF($G189&gt;0,'Template Setup'!$C$4,""),IF($H189&gt;0,'Template Setup'!$C$5,""),IF($I189&gt;0,'Template Setup'!$C$6,""),IF($J189&gt;0,'Template Setup'!$C$7,""),IF($K189&gt;0,'Template Setup'!$C$8,"")))</f>
        <v/>
      </c>
      <c r="E189" s="6" t="str" cm="1">
        <f t="array" ref="E189">IF($A189="","",_xlfn.LET(_xlpm.sheets,CHOOSE({1,2,3,4,5},'Template Setup'!$C$4,'Template Setup'!$C$5,'Template Setup'!$C$6,'Template Setup'!$C$7,'Template Setup'!$C$8),_xlpm.nums,CHOOSE({1,2,3,4,5},$L189,$M189,$N189,$O189,$P189),_xlpm.qtys,CHOOSE({1,2,3,4,5},$G189,$H189,$I189,$J189,$K189),_xlpm.validNums,_xlfn._xlws.FILTER(_xlpm.nums,_xlpm.qtys&gt;0),_xlpm.validSheets,_xlfn._xlws.FILTER(_xlpm.sheets,_xlpm.qtys&gt;0),_xlpm.mx,IFERROR(MAX(_xlpm.validNums),0),IF(_xlpm.mx=0,"",INDEX(_xlpm.validSheets,MATCH(_xlpm.mx,_xlpm.validNums,0))&amp;" (+"&amp;$R189&amp;")")))</f>
        <v/>
      </c>
      <c r="F189" s="11" t="str">
        <f t="shared" si="11"/>
        <v/>
      </c>
      <c r="G189" s="12" t="str">
        <f ca="1">IF($A189="","",IFERROR(SUMIF(INDIRECT("'"&amp;'Template Setup'!$C$4&amp;"'!C:C"),$A189,INDIRECT("'"&amp;'Template Setup'!$C$4&amp;"'!A:A")),0))</f>
        <v/>
      </c>
      <c r="H189" s="12" t="str">
        <f ca="1">IF($A189="","",IFERROR(SUMIF(INDIRECT("'"&amp;'Template Setup'!$C$5&amp;"'!C:C"),$A189,INDIRECT("'"&amp;'Template Setup'!$C$5&amp;"'!A:A")),0))</f>
        <v/>
      </c>
      <c r="I189" s="12" t="str">
        <f ca="1">IF($A189="","",IFERROR(SUMIF(INDIRECT("'"&amp;'Template Setup'!$C$6&amp;"'!C:C"),$A189,INDIRECT("'"&amp;'Template Setup'!$C$6&amp;"'!A:A")),0))</f>
        <v/>
      </c>
      <c r="J189" s="12" t="str">
        <f ca="1">IF($A189="","",IFERROR(SUMIF(INDIRECT("'"&amp;'Template Setup'!$C$7&amp;"'!C:C"),$A189,INDIRECT("'"&amp;'Template Setup'!$C$7&amp;"'!A:A")),0))</f>
        <v/>
      </c>
      <c r="K189" s="12" t="str">
        <f ca="1">IF($A189="","",IFERROR(SUMIF(INDIRECT("'"&amp;'Template Setup'!$C$8&amp;"'!C:C"),$A189,INDIRECT("'"&amp;'Template Setup'!$C$8&amp;"'!A:A")),0))</f>
        <v/>
      </c>
      <c r="L189" s="11" t="str">
        <f>IF($A189="","",IFERROR(VALUE(MID(TRIM('Template Setup'!$C$4),FIND("-",TRIM('Template Setup'!$C$4))+1,10)),0))</f>
        <v/>
      </c>
      <c r="M189" s="11" t="str">
        <f>IF($A189="","",IFERROR(VALUE(MID(TRIM('Template Setup'!$C$5),FIND("-",TRIM('Template Setup'!$C$5))+1,10)),0))</f>
        <v/>
      </c>
      <c r="N189" s="11" t="str">
        <f>IF($A189="","",IFERROR(VALUE(MID(TRIM('Template Setup'!$C$6),FIND("-",TRIM('Template Setup'!$C$6))+1,10)),0))</f>
        <v/>
      </c>
      <c r="O189" s="11" t="str">
        <f>IF($A189="","",IFERROR(VALUE(MID(TRIM('Template Setup'!$C$7),FIND("-",TRIM('Template Setup'!$C$7))+1,10)),0))</f>
        <v/>
      </c>
      <c r="P189" s="11" t="str">
        <f>IF($A189="","",IFERROR(VALUE(MID(TRIM('Template Setup'!$C$8),FIND("-",TRIM('Template Setup'!$C$8))+1,10)),0))</f>
        <v/>
      </c>
      <c r="Q189" s="9" t="str">
        <f>IF($A189="","",$A189&amp;"-"&amp;'Template Setup'!$C$16)</f>
        <v/>
      </c>
      <c r="R189" s="24" t="str">
        <f t="shared" si="9"/>
        <v/>
      </c>
      <c r="S189" s="24"/>
      <c r="T189" s="24" t="str">
        <f t="shared" si="10"/>
        <v/>
      </c>
      <c r="U189" s="6" t="str">
        <f t="shared" si="12"/>
        <v/>
      </c>
    </row>
    <row r="190" spans="1:21">
      <c r="A190" s="11"/>
      <c r="B190" s="11"/>
      <c r="C190" s="11"/>
      <c r="D190" s="11" t="str">
        <f>IF($A190="","",_xlfn.TEXTJOIN(", ",TRUE,IF($G190&gt;0,'Template Setup'!$C$4,""),IF($H190&gt;0,'Template Setup'!$C$5,""),IF($I190&gt;0,'Template Setup'!$C$6,""),IF($J190&gt;0,'Template Setup'!$C$7,""),IF($K190&gt;0,'Template Setup'!$C$8,"")))</f>
        <v/>
      </c>
      <c r="E190" s="6" t="str" cm="1">
        <f t="array" ref="E190">IF($A190="","",_xlfn.LET(_xlpm.sheets,CHOOSE({1,2,3,4,5},'Template Setup'!$C$4,'Template Setup'!$C$5,'Template Setup'!$C$6,'Template Setup'!$C$7,'Template Setup'!$C$8),_xlpm.nums,CHOOSE({1,2,3,4,5},$L190,$M190,$N190,$O190,$P190),_xlpm.qtys,CHOOSE({1,2,3,4,5},$G190,$H190,$I190,$J190,$K190),_xlpm.validNums,_xlfn._xlws.FILTER(_xlpm.nums,_xlpm.qtys&gt;0),_xlpm.validSheets,_xlfn._xlws.FILTER(_xlpm.sheets,_xlpm.qtys&gt;0),_xlpm.mx,IFERROR(MAX(_xlpm.validNums),0),IF(_xlpm.mx=0,"",INDEX(_xlpm.validSheets,MATCH(_xlpm.mx,_xlpm.validNums,0))&amp;" (+"&amp;$R190&amp;")")))</f>
        <v/>
      </c>
      <c r="F190" s="11" t="str">
        <f t="shared" si="11"/>
        <v/>
      </c>
      <c r="G190" s="12" t="str">
        <f ca="1">IF($A190="","",IFERROR(SUMIF(INDIRECT("'"&amp;'Template Setup'!$C$4&amp;"'!C:C"),$A190,INDIRECT("'"&amp;'Template Setup'!$C$4&amp;"'!A:A")),0))</f>
        <v/>
      </c>
      <c r="H190" s="12" t="str">
        <f ca="1">IF($A190="","",IFERROR(SUMIF(INDIRECT("'"&amp;'Template Setup'!$C$5&amp;"'!C:C"),$A190,INDIRECT("'"&amp;'Template Setup'!$C$5&amp;"'!A:A")),0))</f>
        <v/>
      </c>
      <c r="I190" s="12" t="str">
        <f ca="1">IF($A190="","",IFERROR(SUMIF(INDIRECT("'"&amp;'Template Setup'!$C$6&amp;"'!C:C"),$A190,INDIRECT("'"&amp;'Template Setup'!$C$6&amp;"'!A:A")),0))</f>
        <v/>
      </c>
      <c r="J190" s="12" t="str">
        <f ca="1">IF($A190="","",IFERROR(SUMIF(INDIRECT("'"&amp;'Template Setup'!$C$7&amp;"'!C:C"),$A190,INDIRECT("'"&amp;'Template Setup'!$C$7&amp;"'!A:A")),0))</f>
        <v/>
      </c>
      <c r="K190" s="12" t="str">
        <f ca="1">IF($A190="","",IFERROR(SUMIF(INDIRECT("'"&amp;'Template Setup'!$C$8&amp;"'!C:C"),$A190,INDIRECT("'"&amp;'Template Setup'!$C$8&amp;"'!A:A")),0))</f>
        <v/>
      </c>
      <c r="L190" s="11" t="str">
        <f>IF($A190="","",IFERROR(VALUE(MID(TRIM('Template Setup'!$C$4),FIND("-",TRIM('Template Setup'!$C$4))+1,10)),0))</f>
        <v/>
      </c>
      <c r="M190" s="11" t="str">
        <f>IF($A190="","",IFERROR(VALUE(MID(TRIM('Template Setup'!$C$5),FIND("-",TRIM('Template Setup'!$C$5))+1,10)),0))</f>
        <v/>
      </c>
      <c r="N190" s="11" t="str">
        <f>IF($A190="","",IFERROR(VALUE(MID(TRIM('Template Setup'!$C$6),FIND("-",TRIM('Template Setup'!$C$6))+1,10)),0))</f>
        <v/>
      </c>
      <c r="O190" s="11" t="str">
        <f>IF($A190="","",IFERROR(VALUE(MID(TRIM('Template Setup'!$C$7),FIND("-",TRIM('Template Setup'!$C$7))+1,10)),0))</f>
        <v/>
      </c>
      <c r="P190" s="11" t="str">
        <f>IF($A190="","",IFERROR(VALUE(MID(TRIM('Template Setup'!$C$8),FIND("-",TRIM('Template Setup'!$C$8))+1,10)),0))</f>
        <v/>
      </c>
      <c r="Q190" s="9" t="str">
        <f>IF($A190="","",$A190&amp;"-"&amp;'Template Setup'!$C$16)</f>
        <v/>
      </c>
      <c r="R190" s="24" t="str">
        <f t="shared" si="9"/>
        <v/>
      </c>
      <c r="S190" s="24"/>
      <c r="T190" s="24" t="str">
        <f t="shared" si="10"/>
        <v/>
      </c>
      <c r="U190" s="6" t="str">
        <f t="shared" si="12"/>
        <v/>
      </c>
    </row>
    <row r="191" spans="1:21">
      <c r="A191" s="11"/>
      <c r="B191" s="11"/>
      <c r="C191" s="11"/>
      <c r="D191" s="11" t="str">
        <f>IF($A191="","",_xlfn.TEXTJOIN(", ",TRUE,IF($G191&gt;0,'Template Setup'!$C$4,""),IF($H191&gt;0,'Template Setup'!$C$5,""),IF($I191&gt;0,'Template Setup'!$C$6,""),IF($J191&gt;0,'Template Setup'!$C$7,""),IF($K191&gt;0,'Template Setup'!$C$8,"")))</f>
        <v/>
      </c>
      <c r="E191" s="6" t="str" cm="1">
        <f t="array" ref="E191">IF($A191="","",_xlfn.LET(_xlpm.sheets,CHOOSE({1,2,3,4,5},'Template Setup'!$C$4,'Template Setup'!$C$5,'Template Setup'!$C$6,'Template Setup'!$C$7,'Template Setup'!$C$8),_xlpm.nums,CHOOSE({1,2,3,4,5},$L191,$M191,$N191,$O191,$P191),_xlpm.qtys,CHOOSE({1,2,3,4,5},$G191,$H191,$I191,$J191,$K191),_xlpm.validNums,_xlfn._xlws.FILTER(_xlpm.nums,_xlpm.qtys&gt;0),_xlpm.validSheets,_xlfn._xlws.FILTER(_xlpm.sheets,_xlpm.qtys&gt;0),_xlpm.mx,IFERROR(MAX(_xlpm.validNums),0),IF(_xlpm.mx=0,"",INDEX(_xlpm.validSheets,MATCH(_xlpm.mx,_xlpm.validNums,0))&amp;" (+"&amp;$R191&amp;")")))</f>
        <v/>
      </c>
      <c r="F191" s="11" t="str">
        <f t="shared" si="11"/>
        <v/>
      </c>
      <c r="G191" s="12" t="str">
        <f ca="1">IF($A191="","",IFERROR(SUMIF(INDIRECT("'"&amp;'Template Setup'!$C$4&amp;"'!C:C"),$A191,INDIRECT("'"&amp;'Template Setup'!$C$4&amp;"'!A:A")),0))</f>
        <v/>
      </c>
      <c r="H191" s="12" t="str">
        <f ca="1">IF($A191="","",IFERROR(SUMIF(INDIRECT("'"&amp;'Template Setup'!$C$5&amp;"'!C:C"),$A191,INDIRECT("'"&amp;'Template Setup'!$C$5&amp;"'!A:A")),0))</f>
        <v/>
      </c>
      <c r="I191" s="12" t="str">
        <f ca="1">IF($A191="","",IFERROR(SUMIF(INDIRECT("'"&amp;'Template Setup'!$C$6&amp;"'!C:C"),$A191,INDIRECT("'"&amp;'Template Setup'!$C$6&amp;"'!A:A")),0))</f>
        <v/>
      </c>
      <c r="J191" s="12" t="str">
        <f ca="1">IF($A191="","",IFERROR(SUMIF(INDIRECT("'"&amp;'Template Setup'!$C$7&amp;"'!C:C"),$A191,INDIRECT("'"&amp;'Template Setup'!$C$7&amp;"'!A:A")),0))</f>
        <v/>
      </c>
      <c r="K191" s="12" t="str">
        <f ca="1">IF($A191="","",IFERROR(SUMIF(INDIRECT("'"&amp;'Template Setup'!$C$8&amp;"'!C:C"),$A191,INDIRECT("'"&amp;'Template Setup'!$C$8&amp;"'!A:A")),0))</f>
        <v/>
      </c>
      <c r="L191" s="11" t="str">
        <f>IF($A191="","",IFERROR(VALUE(MID(TRIM('Template Setup'!$C$4),FIND("-",TRIM('Template Setup'!$C$4))+1,10)),0))</f>
        <v/>
      </c>
      <c r="M191" s="11" t="str">
        <f>IF($A191="","",IFERROR(VALUE(MID(TRIM('Template Setup'!$C$5),FIND("-",TRIM('Template Setup'!$C$5))+1,10)),0))</f>
        <v/>
      </c>
      <c r="N191" s="11" t="str">
        <f>IF($A191="","",IFERROR(VALUE(MID(TRIM('Template Setup'!$C$6),FIND("-",TRIM('Template Setup'!$C$6))+1,10)),0))</f>
        <v/>
      </c>
      <c r="O191" s="11" t="str">
        <f>IF($A191="","",IFERROR(VALUE(MID(TRIM('Template Setup'!$C$7),FIND("-",TRIM('Template Setup'!$C$7))+1,10)),0))</f>
        <v/>
      </c>
      <c r="P191" s="11" t="str">
        <f>IF($A191="","",IFERROR(VALUE(MID(TRIM('Template Setup'!$C$8),FIND("-",TRIM('Template Setup'!$C$8))+1,10)),0))</f>
        <v/>
      </c>
      <c r="Q191" s="9" t="str">
        <f>IF($A191="","",$A191&amp;"-"&amp;'Template Setup'!$C$16)</f>
        <v/>
      </c>
      <c r="R191" s="24" t="str">
        <f t="shared" si="9"/>
        <v/>
      </c>
      <c r="S191" s="24"/>
      <c r="T191" s="24" t="str">
        <f t="shared" si="10"/>
        <v/>
      </c>
      <c r="U191" s="6" t="str">
        <f t="shared" si="12"/>
        <v/>
      </c>
    </row>
    <row r="192" spans="1:21">
      <c r="A192" s="11"/>
      <c r="B192" s="11"/>
      <c r="C192" s="11"/>
      <c r="D192" s="11" t="str">
        <f>IF($A192="","",_xlfn.TEXTJOIN(", ",TRUE,IF($G192&gt;0,'Template Setup'!$C$4,""),IF($H192&gt;0,'Template Setup'!$C$5,""),IF($I192&gt;0,'Template Setup'!$C$6,""),IF($J192&gt;0,'Template Setup'!$C$7,""),IF($K192&gt;0,'Template Setup'!$C$8,"")))</f>
        <v/>
      </c>
      <c r="E192" s="6" t="str" cm="1">
        <f t="array" ref="E192">IF($A192="","",_xlfn.LET(_xlpm.sheets,CHOOSE({1,2,3,4,5},'Template Setup'!$C$4,'Template Setup'!$C$5,'Template Setup'!$C$6,'Template Setup'!$C$7,'Template Setup'!$C$8),_xlpm.nums,CHOOSE({1,2,3,4,5},$L192,$M192,$N192,$O192,$P192),_xlpm.qtys,CHOOSE({1,2,3,4,5},$G192,$H192,$I192,$J192,$K192),_xlpm.validNums,_xlfn._xlws.FILTER(_xlpm.nums,_xlpm.qtys&gt;0),_xlpm.validSheets,_xlfn._xlws.FILTER(_xlpm.sheets,_xlpm.qtys&gt;0),_xlpm.mx,IFERROR(MAX(_xlpm.validNums),0),IF(_xlpm.mx=0,"",INDEX(_xlpm.validSheets,MATCH(_xlpm.mx,_xlpm.validNums,0))&amp;" (+"&amp;$R192&amp;")")))</f>
        <v/>
      </c>
      <c r="F192" s="11" t="str">
        <f t="shared" si="11"/>
        <v/>
      </c>
      <c r="G192" s="12" t="str">
        <f ca="1">IF($A192="","",IFERROR(SUMIF(INDIRECT("'"&amp;'Template Setup'!$C$4&amp;"'!C:C"),$A192,INDIRECT("'"&amp;'Template Setup'!$C$4&amp;"'!A:A")),0))</f>
        <v/>
      </c>
      <c r="H192" s="12" t="str">
        <f ca="1">IF($A192="","",IFERROR(SUMIF(INDIRECT("'"&amp;'Template Setup'!$C$5&amp;"'!C:C"),$A192,INDIRECT("'"&amp;'Template Setup'!$C$5&amp;"'!A:A")),0))</f>
        <v/>
      </c>
      <c r="I192" s="12" t="str">
        <f ca="1">IF($A192="","",IFERROR(SUMIF(INDIRECT("'"&amp;'Template Setup'!$C$6&amp;"'!C:C"),$A192,INDIRECT("'"&amp;'Template Setup'!$C$6&amp;"'!A:A")),0))</f>
        <v/>
      </c>
      <c r="J192" s="12" t="str">
        <f ca="1">IF($A192="","",IFERROR(SUMIF(INDIRECT("'"&amp;'Template Setup'!$C$7&amp;"'!C:C"),$A192,INDIRECT("'"&amp;'Template Setup'!$C$7&amp;"'!A:A")),0))</f>
        <v/>
      </c>
      <c r="K192" s="12" t="str">
        <f ca="1">IF($A192="","",IFERROR(SUMIF(INDIRECT("'"&amp;'Template Setup'!$C$8&amp;"'!C:C"),$A192,INDIRECT("'"&amp;'Template Setup'!$C$8&amp;"'!A:A")),0))</f>
        <v/>
      </c>
      <c r="L192" s="11" t="str">
        <f>IF($A192="","",IFERROR(VALUE(MID(TRIM('Template Setup'!$C$4),FIND("-",TRIM('Template Setup'!$C$4))+1,10)),0))</f>
        <v/>
      </c>
      <c r="M192" s="11" t="str">
        <f>IF($A192="","",IFERROR(VALUE(MID(TRIM('Template Setup'!$C$5),FIND("-",TRIM('Template Setup'!$C$5))+1,10)),0))</f>
        <v/>
      </c>
      <c r="N192" s="11" t="str">
        <f>IF($A192="","",IFERROR(VALUE(MID(TRIM('Template Setup'!$C$6),FIND("-",TRIM('Template Setup'!$C$6))+1,10)),0))</f>
        <v/>
      </c>
      <c r="O192" s="11" t="str">
        <f>IF($A192="","",IFERROR(VALUE(MID(TRIM('Template Setup'!$C$7),FIND("-",TRIM('Template Setup'!$C$7))+1,10)),0))</f>
        <v/>
      </c>
      <c r="P192" s="11" t="str">
        <f>IF($A192="","",IFERROR(VALUE(MID(TRIM('Template Setup'!$C$8),FIND("-",TRIM('Template Setup'!$C$8))+1,10)),0))</f>
        <v/>
      </c>
      <c r="Q192" s="9" t="str">
        <f>IF($A192="","",$A192&amp;"-"&amp;'Template Setup'!$C$16)</f>
        <v/>
      </c>
      <c r="R192" s="24" t="str">
        <f t="shared" si="9"/>
        <v/>
      </c>
      <c r="S192" s="24"/>
      <c r="T192" s="24" t="str">
        <f t="shared" si="10"/>
        <v/>
      </c>
      <c r="U192" s="6" t="str">
        <f t="shared" si="12"/>
        <v/>
      </c>
    </row>
    <row r="193" spans="1:21">
      <c r="A193" s="11"/>
      <c r="B193" s="11"/>
      <c r="C193" s="11"/>
      <c r="D193" s="11" t="str">
        <f>IF($A193="","",_xlfn.TEXTJOIN(", ",TRUE,IF($G193&gt;0,'Template Setup'!$C$4,""),IF($H193&gt;0,'Template Setup'!$C$5,""),IF($I193&gt;0,'Template Setup'!$C$6,""),IF($J193&gt;0,'Template Setup'!$C$7,""),IF($K193&gt;0,'Template Setup'!$C$8,"")))</f>
        <v/>
      </c>
      <c r="E193" s="6" t="str" cm="1">
        <f t="array" ref="E193">IF($A193="","",_xlfn.LET(_xlpm.sheets,CHOOSE({1,2,3,4,5},'Template Setup'!$C$4,'Template Setup'!$C$5,'Template Setup'!$C$6,'Template Setup'!$C$7,'Template Setup'!$C$8),_xlpm.nums,CHOOSE({1,2,3,4,5},$L193,$M193,$N193,$O193,$P193),_xlpm.qtys,CHOOSE({1,2,3,4,5},$G193,$H193,$I193,$J193,$K193),_xlpm.validNums,_xlfn._xlws.FILTER(_xlpm.nums,_xlpm.qtys&gt;0),_xlpm.validSheets,_xlfn._xlws.FILTER(_xlpm.sheets,_xlpm.qtys&gt;0),_xlpm.mx,IFERROR(MAX(_xlpm.validNums),0),IF(_xlpm.mx=0,"",INDEX(_xlpm.validSheets,MATCH(_xlpm.mx,_xlpm.validNums,0))&amp;" (+"&amp;$R193&amp;")")))</f>
        <v/>
      </c>
      <c r="F193" s="11" t="str">
        <f t="shared" si="11"/>
        <v/>
      </c>
      <c r="G193" s="12" t="str">
        <f ca="1">IF($A193="","",IFERROR(SUMIF(INDIRECT("'"&amp;'Template Setup'!$C$4&amp;"'!C:C"),$A193,INDIRECT("'"&amp;'Template Setup'!$C$4&amp;"'!A:A")),0))</f>
        <v/>
      </c>
      <c r="H193" s="12" t="str">
        <f ca="1">IF($A193="","",IFERROR(SUMIF(INDIRECT("'"&amp;'Template Setup'!$C$5&amp;"'!C:C"),$A193,INDIRECT("'"&amp;'Template Setup'!$C$5&amp;"'!A:A")),0))</f>
        <v/>
      </c>
      <c r="I193" s="12" t="str">
        <f ca="1">IF($A193="","",IFERROR(SUMIF(INDIRECT("'"&amp;'Template Setup'!$C$6&amp;"'!C:C"),$A193,INDIRECT("'"&amp;'Template Setup'!$C$6&amp;"'!A:A")),0))</f>
        <v/>
      </c>
      <c r="J193" s="12" t="str">
        <f ca="1">IF($A193="","",IFERROR(SUMIF(INDIRECT("'"&amp;'Template Setup'!$C$7&amp;"'!C:C"),$A193,INDIRECT("'"&amp;'Template Setup'!$C$7&amp;"'!A:A")),0))</f>
        <v/>
      </c>
      <c r="K193" s="12" t="str">
        <f ca="1">IF($A193="","",IFERROR(SUMIF(INDIRECT("'"&amp;'Template Setup'!$C$8&amp;"'!C:C"),$A193,INDIRECT("'"&amp;'Template Setup'!$C$8&amp;"'!A:A")),0))</f>
        <v/>
      </c>
      <c r="L193" s="11" t="str">
        <f>IF($A193="","",IFERROR(VALUE(MID(TRIM('Template Setup'!$C$4),FIND("-",TRIM('Template Setup'!$C$4))+1,10)),0))</f>
        <v/>
      </c>
      <c r="M193" s="11" t="str">
        <f>IF($A193="","",IFERROR(VALUE(MID(TRIM('Template Setup'!$C$5),FIND("-",TRIM('Template Setup'!$C$5))+1,10)),0))</f>
        <v/>
      </c>
      <c r="N193" s="11" t="str">
        <f>IF($A193="","",IFERROR(VALUE(MID(TRIM('Template Setup'!$C$6),FIND("-",TRIM('Template Setup'!$C$6))+1,10)),0))</f>
        <v/>
      </c>
      <c r="O193" s="11" t="str">
        <f>IF($A193="","",IFERROR(VALUE(MID(TRIM('Template Setup'!$C$7),FIND("-",TRIM('Template Setup'!$C$7))+1,10)),0))</f>
        <v/>
      </c>
      <c r="P193" s="11" t="str">
        <f>IF($A193="","",IFERROR(VALUE(MID(TRIM('Template Setup'!$C$8),FIND("-",TRIM('Template Setup'!$C$8))+1,10)),0))</f>
        <v/>
      </c>
      <c r="Q193" s="9" t="str">
        <f>IF($A193="","",$A193&amp;"-"&amp;'Template Setup'!$C$16)</f>
        <v/>
      </c>
      <c r="R193" s="24" t="str">
        <f t="shared" si="9"/>
        <v/>
      </c>
      <c r="S193" s="24"/>
      <c r="T193" s="24" t="str">
        <f t="shared" si="10"/>
        <v/>
      </c>
      <c r="U193" s="6" t="str">
        <f t="shared" si="12"/>
        <v/>
      </c>
    </row>
    <row r="194" spans="1:21">
      <c r="A194" s="11"/>
      <c r="B194" s="11"/>
      <c r="C194" s="11"/>
      <c r="D194" s="11" t="str">
        <f>IF($A194="","",_xlfn.TEXTJOIN(", ",TRUE,IF($G194&gt;0,'Template Setup'!$C$4,""),IF($H194&gt;0,'Template Setup'!$C$5,""),IF($I194&gt;0,'Template Setup'!$C$6,""),IF($J194&gt;0,'Template Setup'!$C$7,""),IF($K194&gt;0,'Template Setup'!$C$8,"")))</f>
        <v/>
      </c>
      <c r="E194" s="6" t="str" cm="1">
        <f t="array" ref="E194">IF($A194="","",_xlfn.LET(_xlpm.sheets,CHOOSE({1,2,3,4,5},'Template Setup'!$C$4,'Template Setup'!$C$5,'Template Setup'!$C$6,'Template Setup'!$C$7,'Template Setup'!$C$8),_xlpm.nums,CHOOSE({1,2,3,4,5},$L194,$M194,$N194,$O194,$P194),_xlpm.qtys,CHOOSE({1,2,3,4,5},$G194,$H194,$I194,$J194,$K194),_xlpm.validNums,_xlfn._xlws.FILTER(_xlpm.nums,_xlpm.qtys&gt;0),_xlpm.validSheets,_xlfn._xlws.FILTER(_xlpm.sheets,_xlpm.qtys&gt;0),_xlpm.mx,IFERROR(MAX(_xlpm.validNums),0),IF(_xlpm.mx=0,"",INDEX(_xlpm.validSheets,MATCH(_xlpm.mx,_xlpm.validNums,0))&amp;" (+"&amp;$R194&amp;")")))</f>
        <v/>
      </c>
      <c r="F194" s="11" t="str">
        <f t="shared" si="11"/>
        <v/>
      </c>
      <c r="G194" s="12" t="str">
        <f ca="1">IF($A194="","",IFERROR(SUMIF(INDIRECT("'"&amp;'Template Setup'!$C$4&amp;"'!C:C"),$A194,INDIRECT("'"&amp;'Template Setup'!$C$4&amp;"'!A:A")),0))</f>
        <v/>
      </c>
      <c r="H194" s="12" t="str">
        <f ca="1">IF($A194="","",IFERROR(SUMIF(INDIRECT("'"&amp;'Template Setup'!$C$5&amp;"'!C:C"),$A194,INDIRECT("'"&amp;'Template Setup'!$C$5&amp;"'!A:A")),0))</f>
        <v/>
      </c>
      <c r="I194" s="12" t="str">
        <f ca="1">IF($A194="","",IFERROR(SUMIF(INDIRECT("'"&amp;'Template Setup'!$C$6&amp;"'!C:C"),$A194,INDIRECT("'"&amp;'Template Setup'!$C$6&amp;"'!A:A")),0))</f>
        <v/>
      </c>
      <c r="J194" s="12" t="str">
        <f ca="1">IF($A194="","",IFERROR(SUMIF(INDIRECT("'"&amp;'Template Setup'!$C$7&amp;"'!C:C"),$A194,INDIRECT("'"&amp;'Template Setup'!$C$7&amp;"'!A:A")),0))</f>
        <v/>
      </c>
      <c r="K194" s="12" t="str">
        <f ca="1">IF($A194="","",IFERROR(SUMIF(INDIRECT("'"&amp;'Template Setup'!$C$8&amp;"'!C:C"),$A194,INDIRECT("'"&amp;'Template Setup'!$C$8&amp;"'!A:A")),0))</f>
        <v/>
      </c>
      <c r="L194" s="11" t="str">
        <f>IF($A194="","",IFERROR(VALUE(MID(TRIM('Template Setup'!$C$4),FIND("-",TRIM('Template Setup'!$C$4))+1,10)),0))</f>
        <v/>
      </c>
      <c r="M194" s="11" t="str">
        <f>IF($A194="","",IFERROR(VALUE(MID(TRIM('Template Setup'!$C$5),FIND("-",TRIM('Template Setup'!$C$5))+1,10)),0))</f>
        <v/>
      </c>
      <c r="N194" s="11" t="str">
        <f>IF($A194="","",IFERROR(VALUE(MID(TRIM('Template Setup'!$C$6),FIND("-",TRIM('Template Setup'!$C$6))+1,10)),0))</f>
        <v/>
      </c>
      <c r="O194" s="11" t="str">
        <f>IF($A194="","",IFERROR(VALUE(MID(TRIM('Template Setup'!$C$7),FIND("-",TRIM('Template Setup'!$C$7))+1,10)),0))</f>
        <v/>
      </c>
      <c r="P194" s="11" t="str">
        <f>IF($A194="","",IFERROR(VALUE(MID(TRIM('Template Setup'!$C$8),FIND("-",TRIM('Template Setup'!$C$8))+1,10)),0))</f>
        <v/>
      </c>
      <c r="Q194" s="9" t="str">
        <f>IF($A194="","",$A194&amp;"-"&amp;'Template Setup'!$C$16)</f>
        <v/>
      </c>
      <c r="R194" s="24" t="str">
        <f t="shared" ref="R194:R257" si="13">IF($A194="","",SUM($G194:$K194))</f>
        <v/>
      </c>
      <c r="S194" s="24"/>
      <c r="T194" s="24" t="str">
        <f t="shared" ref="T194:T257" si="14">IF($A194="","",IF(ISBLANK(S194),"",N(R194)+S194))</f>
        <v/>
      </c>
      <c r="U194" s="6" t="str">
        <f t="shared" si="12"/>
        <v/>
      </c>
    </row>
    <row r="195" spans="1:21">
      <c r="A195" s="11"/>
      <c r="B195" s="11"/>
      <c r="C195" s="11"/>
      <c r="D195" s="11" t="str">
        <f>IF($A195="","",_xlfn.TEXTJOIN(", ",TRUE,IF($G195&gt;0,'Template Setup'!$C$4,""),IF($H195&gt;0,'Template Setup'!$C$5,""),IF($I195&gt;0,'Template Setup'!$C$6,""),IF($J195&gt;0,'Template Setup'!$C$7,""),IF($K195&gt;0,'Template Setup'!$C$8,"")))</f>
        <v/>
      </c>
      <c r="E195" s="6" t="str" cm="1">
        <f t="array" ref="E195">IF($A195="","",_xlfn.LET(_xlpm.sheets,CHOOSE({1,2,3,4,5},'Template Setup'!$C$4,'Template Setup'!$C$5,'Template Setup'!$C$6,'Template Setup'!$C$7,'Template Setup'!$C$8),_xlpm.nums,CHOOSE({1,2,3,4,5},$L195,$M195,$N195,$O195,$P195),_xlpm.qtys,CHOOSE({1,2,3,4,5},$G195,$H195,$I195,$J195,$K195),_xlpm.validNums,_xlfn._xlws.FILTER(_xlpm.nums,_xlpm.qtys&gt;0),_xlpm.validSheets,_xlfn._xlws.FILTER(_xlpm.sheets,_xlpm.qtys&gt;0),_xlpm.mx,IFERROR(MAX(_xlpm.validNums),0),IF(_xlpm.mx=0,"",INDEX(_xlpm.validSheets,MATCH(_xlpm.mx,_xlpm.validNums,0))&amp;" (+"&amp;$R195&amp;")")))</f>
        <v/>
      </c>
      <c r="F195" s="11" t="str">
        <f t="shared" ref="F195:F258" si="15">IF($E195="","","PACP-"&amp;LEFT($E195,FIND("-",$E195)-1)&amp;"-000"&amp;MID($E195,FIND("-",$E195)+1,3))</f>
        <v/>
      </c>
      <c r="G195" s="12" t="str">
        <f ca="1">IF($A195="","",IFERROR(SUMIF(INDIRECT("'"&amp;'Template Setup'!$C$4&amp;"'!C:C"),$A195,INDIRECT("'"&amp;'Template Setup'!$C$4&amp;"'!A:A")),0))</f>
        <v/>
      </c>
      <c r="H195" s="12" t="str">
        <f ca="1">IF($A195="","",IFERROR(SUMIF(INDIRECT("'"&amp;'Template Setup'!$C$5&amp;"'!C:C"),$A195,INDIRECT("'"&amp;'Template Setup'!$C$5&amp;"'!A:A")),0))</f>
        <v/>
      </c>
      <c r="I195" s="12" t="str">
        <f ca="1">IF($A195="","",IFERROR(SUMIF(INDIRECT("'"&amp;'Template Setup'!$C$6&amp;"'!C:C"),$A195,INDIRECT("'"&amp;'Template Setup'!$C$6&amp;"'!A:A")),0))</f>
        <v/>
      </c>
      <c r="J195" s="12" t="str">
        <f ca="1">IF($A195="","",IFERROR(SUMIF(INDIRECT("'"&amp;'Template Setup'!$C$7&amp;"'!C:C"),$A195,INDIRECT("'"&amp;'Template Setup'!$C$7&amp;"'!A:A")),0))</f>
        <v/>
      </c>
      <c r="K195" s="12" t="str">
        <f ca="1">IF($A195="","",IFERROR(SUMIF(INDIRECT("'"&amp;'Template Setup'!$C$8&amp;"'!C:C"),$A195,INDIRECT("'"&amp;'Template Setup'!$C$8&amp;"'!A:A")),0))</f>
        <v/>
      </c>
      <c r="L195" s="11" t="str">
        <f>IF($A195="","",IFERROR(VALUE(MID(TRIM('Template Setup'!$C$4),FIND("-",TRIM('Template Setup'!$C$4))+1,10)),0))</f>
        <v/>
      </c>
      <c r="M195" s="11" t="str">
        <f>IF($A195="","",IFERROR(VALUE(MID(TRIM('Template Setup'!$C$5),FIND("-",TRIM('Template Setup'!$C$5))+1,10)),0))</f>
        <v/>
      </c>
      <c r="N195" s="11" t="str">
        <f>IF($A195="","",IFERROR(VALUE(MID(TRIM('Template Setup'!$C$6),FIND("-",TRIM('Template Setup'!$C$6))+1,10)),0))</f>
        <v/>
      </c>
      <c r="O195" s="11" t="str">
        <f>IF($A195="","",IFERROR(VALUE(MID(TRIM('Template Setup'!$C$7),FIND("-",TRIM('Template Setup'!$C$7))+1,10)),0))</f>
        <v/>
      </c>
      <c r="P195" s="11" t="str">
        <f>IF($A195="","",IFERROR(VALUE(MID(TRIM('Template Setup'!$C$8),FIND("-",TRIM('Template Setup'!$C$8))+1,10)),0))</f>
        <v/>
      </c>
      <c r="Q195" s="9" t="str">
        <f>IF($A195="","",$A195&amp;"-"&amp;'Template Setup'!$C$16)</f>
        <v/>
      </c>
      <c r="R195" s="24" t="str">
        <f t="shared" si="13"/>
        <v/>
      </c>
      <c r="S195" s="24"/>
      <c r="T195" s="24" t="str">
        <f t="shared" si="14"/>
        <v/>
      </c>
      <c r="U195" s="6" t="str">
        <f t="shared" si="12"/>
        <v/>
      </c>
    </row>
    <row r="196" spans="1:21">
      <c r="A196" s="11"/>
      <c r="B196" s="11"/>
      <c r="C196" s="11"/>
      <c r="D196" s="11" t="str">
        <f>IF($A196="","",_xlfn.TEXTJOIN(", ",TRUE,IF($G196&gt;0,'Template Setup'!$C$4,""),IF($H196&gt;0,'Template Setup'!$C$5,""),IF($I196&gt;0,'Template Setup'!$C$6,""),IF($J196&gt;0,'Template Setup'!$C$7,""),IF($K196&gt;0,'Template Setup'!$C$8,"")))</f>
        <v/>
      </c>
      <c r="E196" s="6" t="str" cm="1">
        <f t="array" ref="E196">IF($A196="","",_xlfn.LET(_xlpm.sheets,CHOOSE({1,2,3,4,5},'Template Setup'!$C$4,'Template Setup'!$C$5,'Template Setup'!$C$6,'Template Setup'!$C$7,'Template Setup'!$C$8),_xlpm.nums,CHOOSE({1,2,3,4,5},$L196,$M196,$N196,$O196,$P196),_xlpm.qtys,CHOOSE({1,2,3,4,5},$G196,$H196,$I196,$J196,$K196),_xlpm.validNums,_xlfn._xlws.FILTER(_xlpm.nums,_xlpm.qtys&gt;0),_xlpm.validSheets,_xlfn._xlws.FILTER(_xlpm.sheets,_xlpm.qtys&gt;0),_xlpm.mx,IFERROR(MAX(_xlpm.validNums),0),IF(_xlpm.mx=0,"",INDEX(_xlpm.validSheets,MATCH(_xlpm.mx,_xlpm.validNums,0))&amp;" (+"&amp;$R196&amp;")")))</f>
        <v/>
      </c>
      <c r="F196" s="11" t="str">
        <f t="shared" si="15"/>
        <v/>
      </c>
      <c r="G196" s="12" t="str">
        <f ca="1">IF($A196="","",IFERROR(SUMIF(INDIRECT("'"&amp;'Template Setup'!$C$4&amp;"'!C:C"),$A196,INDIRECT("'"&amp;'Template Setup'!$C$4&amp;"'!A:A")),0))</f>
        <v/>
      </c>
      <c r="H196" s="12" t="str">
        <f ca="1">IF($A196="","",IFERROR(SUMIF(INDIRECT("'"&amp;'Template Setup'!$C$5&amp;"'!C:C"),$A196,INDIRECT("'"&amp;'Template Setup'!$C$5&amp;"'!A:A")),0))</f>
        <v/>
      </c>
      <c r="I196" s="12" t="str">
        <f ca="1">IF($A196="","",IFERROR(SUMIF(INDIRECT("'"&amp;'Template Setup'!$C$6&amp;"'!C:C"),$A196,INDIRECT("'"&amp;'Template Setup'!$C$6&amp;"'!A:A")),0))</f>
        <v/>
      </c>
      <c r="J196" s="12" t="str">
        <f ca="1">IF($A196="","",IFERROR(SUMIF(INDIRECT("'"&amp;'Template Setup'!$C$7&amp;"'!C:C"),$A196,INDIRECT("'"&amp;'Template Setup'!$C$7&amp;"'!A:A")),0))</f>
        <v/>
      </c>
      <c r="K196" s="12" t="str">
        <f ca="1">IF($A196="","",IFERROR(SUMIF(INDIRECT("'"&amp;'Template Setup'!$C$8&amp;"'!C:C"),$A196,INDIRECT("'"&amp;'Template Setup'!$C$8&amp;"'!A:A")),0))</f>
        <v/>
      </c>
      <c r="L196" s="11" t="str">
        <f>IF($A196="","",IFERROR(VALUE(MID(TRIM('Template Setup'!$C$4),FIND("-",TRIM('Template Setup'!$C$4))+1,10)),0))</f>
        <v/>
      </c>
      <c r="M196" s="11" t="str">
        <f>IF($A196="","",IFERROR(VALUE(MID(TRIM('Template Setup'!$C$5),FIND("-",TRIM('Template Setup'!$C$5))+1,10)),0))</f>
        <v/>
      </c>
      <c r="N196" s="11" t="str">
        <f>IF($A196="","",IFERROR(VALUE(MID(TRIM('Template Setup'!$C$6),FIND("-",TRIM('Template Setup'!$C$6))+1,10)),0))</f>
        <v/>
      </c>
      <c r="O196" s="11" t="str">
        <f>IF($A196="","",IFERROR(VALUE(MID(TRIM('Template Setup'!$C$7),FIND("-",TRIM('Template Setup'!$C$7))+1,10)),0))</f>
        <v/>
      </c>
      <c r="P196" s="11" t="str">
        <f>IF($A196="","",IFERROR(VALUE(MID(TRIM('Template Setup'!$C$8),FIND("-",TRIM('Template Setup'!$C$8))+1,10)),0))</f>
        <v/>
      </c>
      <c r="Q196" s="9" t="str">
        <f>IF($A196="","",$A196&amp;"-"&amp;'Template Setup'!$C$16)</f>
        <v/>
      </c>
      <c r="R196" s="24" t="str">
        <f t="shared" si="13"/>
        <v/>
      </c>
      <c r="S196" s="24"/>
      <c r="T196" s="24" t="str">
        <f t="shared" si="14"/>
        <v/>
      </c>
      <c r="U196" s="6" t="str">
        <f t="shared" si="12"/>
        <v/>
      </c>
    </row>
    <row r="197" spans="1:21">
      <c r="A197" s="11"/>
      <c r="B197" s="11"/>
      <c r="C197" s="11"/>
      <c r="D197" s="11" t="str">
        <f>IF($A197="","",_xlfn.TEXTJOIN(", ",TRUE,IF($G197&gt;0,'Template Setup'!$C$4,""),IF($H197&gt;0,'Template Setup'!$C$5,""),IF($I197&gt;0,'Template Setup'!$C$6,""),IF($J197&gt;0,'Template Setup'!$C$7,""),IF($K197&gt;0,'Template Setup'!$C$8,"")))</f>
        <v/>
      </c>
      <c r="E197" s="6" t="str" cm="1">
        <f t="array" ref="E197">IF($A197="","",_xlfn.LET(_xlpm.sheets,CHOOSE({1,2,3,4,5},'Template Setup'!$C$4,'Template Setup'!$C$5,'Template Setup'!$C$6,'Template Setup'!$C$7,'Template Setup'!$C$8),_xlpm.nums,CHOOSE({1,2,3,4,5},$L197,$M197,$N197,$O197,$P197),_xlpm.qtys,CHOOSE({1,2,3,4,5},$G197,$H197,$I197,$J197,$K197),_xlpm.validNums,_xlfn._xlws.FILTER(_xlpm.nums,_xlpm.qtys&gt;0),_xlpm.validSheets,_xlfn._xlws.FILTER(_xlpm.sheets,_xlpm.qtys&gt;0),_xlpm.mx,IFERROR(MAX(_xlpm.validNums),0),IF(_xlpm.mx=0,"",INDEX(_xlpm.validSheets,MATCH(_xlpm.mx,_xlpm.validNums,0))&amp;" (+"&amp;$R197&amp;")")))</f>
        <v/>
      </c>
      <c r="F197" s="11" t="str">
        <f t="shared" si="15"/>
        <v/>
      </c>
      <c r="G197" s="12" t="str">
        <f ca="1">IF($A197="","",IFERROR(SUMIF(INDIRECT("'"&amp;'Template Setup'!$C$4&amp;"'!C:C"),$A197,INDIRECT("'"&amp;'Template Setup'!$C$4&amp;"'!A:A")),0))</f>
        <v/>
      </c>
      <c r="H197" s="12" t="str">
        <f ca="1">IF($A197="","",IFERROR(SUMIF(INDIRECT("'"&amp;'Template Setup'!$C$5&amp;"'!C:C"),$A197,INDIRECT("'"&amp;'Template Setup'!$C$5&amp;"'!A:A")),0))</f>
        <v/>
      </c>
      <c r="I197" s="12" t="str">
        <f ca="1">IF($A197="","",IFERROR(SUMIF(INDIRECT("'"&amp;'Template Setup'!$C$6&amp;"'!C:C"),$A197,INDIRECT("'"&amp;'Template Setup'!$C$6&amp;"'!A:A")),0))</f>
        <v/>
      </c>
      <c r="J197" s="12" t="str">
        <f ca="1">IF($A197="","",IFERROR(SUMIF(INDIRECT("'"&amp;'Template Setup'!$C$7&amp;"'!C:C"),$A197,INDIRECT("'"&amp;'Template Setup'!$C$7&amp;"'!A:A")),0))</f>
        <v/>
      </c>
      <c r="K197" s="12" t="str">
        <f ca="1">IF($A197="","",IFERROR(SUMIF(INDIRECT("'"&amp;'Template Setup'!$C$8&amp;"'!C:C"),$A197,INDIRECT("'"&amp;'Template Setup'!$C$8&amp;"'!A:A")),0))</f>
        <v/>
      </c>
      <c r="L197" s="11" t="str">
        <f>IF($A197="","",IFERROR(VALUE(MID(TRIM('Template Setup'!$C$4),FIND("-",TRIM('Template Setup'!$C$4))+1,10)),0))</f>
        <v/>
      </c>
      <c r="M197" s="11" t="str">
        <f>IF($A197="","",IFERROR(VALUE(MID(TRIM('Template Setup'!$C$5),FIND("-",TRIM('Template Setup'!$C$5))+1,10)),0))</f>
        <v/>
      </c>
      <c r="N197" s="11" t="str">
        <f>IF($A197="","",IFERROR(VALUE(MID(TRIM('Template Setup'!$C$6),FIND("-",TRIM('Template Setup'!$C$6))+1,10)),0))</f>
        <v/>
      </c>
      <c r="O197" s="11" t="str">
        <f>IF($A197="","",IFERROR(VALUE(MID(TRIM('Template Setup'!$C$7),FIND("-",TRIM('Template Setup'!$C$7))+1,10)),0))</f>
        <v/>
      </c>
      <c r="P197" s="11" t="str">
        <f>IF($A197="","",IFERROR(VALUE(MID(TRIM('Template Setup'!$C$8),FIND("-",TRIM('Template Setup'!$C$8))+1,10)),0))</f>
        <v/>
      </c>
      <c r="Q197" s="9" t="str">
        <f>IF($A197="","",$A197&amp;"-"&amp;'Template Setup'!$C$16)</f>
        <v/>
      </c>
      <c r="R197" s="24" t="str">
        <f t="shared" si="13"/>
        <v/>
      </c>
      <c r="S197" s="24"/>
      <c r="T197" s="24" t="str">
        <f t="shared" si="14"/>
        <v/>
      </c>
      <c r="U197" s="6" t="str">
        <f t="shared" si="12"/>
        <v/>
      </c>
    </row>
    <row r="198" spans="1:21">
      <c r="A198" s="11"/>
      <c r="B198" s="11"/>
      <c r="C198" s="11"/>
      <c r="D198" s="11" t="str">
        <f>IF($A198="","",_xlfn.TEXTJOIN(", ",TRUE,IF($G198&gt;0,'Template Setup'!$C$4,""),IF($H198&gt;0,'Template Setup'!$C$5,""),IF($I198&gt;0,'Template Setup'!$C$6,""),IF($J198&gt;0,'Template Setup'!$C$7,""),IF($K198&gt;0,'Template Setup'!$C$8,"")))</f>
        <v/>
      </c>
      <c r="E198" s="6" t="str" cm="1">
        <f t="array" ref="E198">IF($A198="","",_xlfn.LET(_xlpm.sheets,CHOOSE({1,2,3,4,5},'Template Setup'!$C$4,'Template Setup'!$C$5,'Template Setup'!$C$6,'Template Setup'!$C$7,'Template Setup'!$C$8),_xlpm.nums,CHOOSE({1,2,3,4,5},$L198,$M198,$N198,$O198,$P198),_xlpm.qtys,CHOOSE({1,2,3,4,5},$G198,$H198,$I198,$J198,$K198),_xlpm.validNums,_xlfn._xlws.FILTER(_xlpm.nums,_xlpm.qtys&gt;0),_xlpm.validSheets,_xlfn._xlws.FILTER(_xlpm.sheets,_xlpm.qtys&gt;0),_xlpm.mx,IFERROR(MAX(_xlpm.validNums),0),IF(_xlpm.mx=0,"",INDEX(_xlpm.validSheets,MATCH(_xlpm.mx,_xlpm.validNums,0))&amp;" (+"&amp;$R198&amp;")")))</f>
        <v/>
      </c>
      <c r="F198" s="11" t="str">
        <f t="shared" si="15"/>
        <v/>
      </c>
      <c r="G198" s="12" t="str">
        <f ca="1">IF($A198="","",IFERROR(SUMIF(INDIRECT("'"&amp;'Template Setup'!$C$4&amp;"'!C:C"),$A198,INDIRECT("'"&amp;'Template Setup'!$C$4&amp;"'!A:A")),0))</f>
        <v/>
      </c>
      <c r="H198" s="12" t="str">
        <f ca="1">IF($A198="","",IFERROR(SUMIF(INDIRECT("'"&amp;'Template Setup'!$C$5&amp;"'!C:C"),$A198,INDIRECT("'"&amp;'Template Setup'!$C$5&amp;"'!A:A")),0))</f>
        <v/>
      </c>
      <c r="I198" s="12" t="str">
        <f ca="1">IF($A198="","",IFERROR(SUMIF(INDIRECT("'"&amp;'Template Setup'!$C$6&amp;"'!C:C"),$A198,INDIRECT("'"&amp;'Template Setup'!$C$6&amp;"'!A:A")),0))</f>
        <v/>
      </c>
      <c r="J198" s="12" t="str">
        <f ca="1">IF($A198="","",IFERROR(SUMIF(INDIRECT("'"&amp;'Template Setup'!$C$7&amp;"'!C:C"),$A198,INDIRECT("'"&amp;'Template Setup'!$C$7&amp;"'!A:A")),0))</f>
        <v/>
      </c>
      <c r="K198" s="12" t="str">
        <f ca="1">IF($A198="","",IFERROR(SUMIF(INDIRECT("'"&amp;'Template Setup'!$C$8&amp;"'!C:C"),$A198,INDIRECT("'"&amp;'Template Setup'!$C$8&amp;"'!A:A")),0))</f>
        <v/>
      </c>
      <c r="L198" s="11" t="str">
        <f>IF($A198="","",IFERROR(VALUE(MID(TRIM('Template Setup'!$C$4),FIND("-",TRIM('Template Setup'!$C$4))+1,10)),0))</f>
        <v/>
      </c>
      <c r="M198" s="11" t="str">
        <f>IF($A198="","",IFERROR(VALUE(MID(TRIM('Template Setup'!$C$5),FIND("-",TRIM('Template Setup'!$C$5))+1,10)),0))</f>
        <v/>
      </c>
      <c r="N198" s="11" t="str">
        <f>IF($A198="","",IFERROR(VALUE(MID(TRIM('Template Setup'!$C$6),FIND("-",TRIM('Template Setup'!$C$6))+1,10)),0))</f>
        <v/>
      </c>
      <c r="O198" s="11" t="str">
        <f>IF($A198="","",IFERROR(VALUE(MID(TRIM('Template Setup'!$C$7),FIND("-",TRIM('Template Setup'!$C$7))+1,10)),0))</f>
        <v/>
      </c>
      <c r="P198" s="11" t="str">
        <f>IF($A198="","",IFERROR(VALUE(MID(TRIM('Template Setup'!$C$8),FIND("-",TRIM('Template Setup'!$C$8))+1,10)),0))</f>
        <v/>
      </c>
      <c r="Q198" s="9" t="str">
        <f>IF($A198="","",$A198&amp;"-"&amp;'Template Setup'!$C$16)</f>
        <v/>
      </c>
      <c r="R198" s="24" t="str">
        <f t="shared" si="13"/>
        <v/>
      </c>
      <c r="S198" s="24"/>
      <c r="T198" s="24" t="str">
        <f t="shared" si="14"/>
        <v/>
      </c>
      <c r="U198" s="6" t="str">
        <f t="shared" si="12"/>
        <v/>
      </c>
    </row>
    <row r="199" spans="1:21">
      <c r="A199" s="11"/>
      <c r="B199" s="11"/>
      <c r="C199" s="11"/>
      <c r="D199" s="11" t="str">
        <f>IF($A199="","",_xlfn.TEXTJOIN(", ",TRUE,IF($G199&gt;0,'Template Setup'!$C$4,""),IF($H199&gt;0,'Template Setup'!$C$5,""),IF($I199&gt;0,'Template Setup'!$C$6,""),IF($J199&gt;0,'Template Setup'!$C$7,""),IF($K199&gt;0,'Template Setup'!$C$8,"")))</f>
        <v/>
      </c>
      <c r="E199" s="6" t="str" cm="1">
        <f t="array" ref="E199">IF($A199="","",_xlfn.LET(_xlpm.sheets,CHOOSE({1,2,3,4,5},'Template Setup'!$C$4,'Template Setup'!$C$5,'Template Setup'!$C$6,'Template Setup'!$C$7,'Template Setup'!$C$8),_xlpm.nums,CHOOSE({1,2,3,4,5},$L199,$M199,$N199,$O199,$P199),_xlpm.qtys,CHOOSE({1,2,3,4,5},$G199,$H199,$I199,$J199,$K199),_xlpm.validNums,_xlfn._xlws.FILTER(_xlpm.nums,_xlpm.qtys&gt;0),_xlpm.validSheets,_xlfn._xlws.FILTER(_xlpm.sheets,_xlpm.qtys&gt;0),_xlpm.mx,IFERROR(MAX(_xlpm.validNums),0),IF(_xlpm.mx=0,"",INDEX(_xlpm.validSheets,MATCH(_xlpm.mx,_xlpm.validNums,0))&amp;" (+"&amp;$R199&amp;")")))</f>
        <v/>
      </c>
      <c r="F199" s="11" t="str">
        <f t="shared" si="15"/>
        <v/>
      </c>
      <c r="G199" s="12" t="str">
        <f ca="1">IF($A199="","",IFERROR(SUMIF(INDIRECT("'"&amp;'Template Setup'!$C$4&amp;"'!C:C"),$A199,INDIRECT("'"&amp;'Template Setup'!$C$4&amp;"'!A:A")),0))</f>
        <v/>
      </c>
      <c r="H199" s="12" t="str">
        <f ca="1">IF($A199="","",IFERROR(SUMIF(INDIRECT("'"&amp;'Template Setup'!$C$5&amp;"'!C:C"),$A199,INDIRECT("'"&amp;'Template Setup'!$C$5&amp;"'!A:A")),0))</f>
        <v/>
      </c>
      <c r="I199" s="12" t="str">
        <f ca="1">IF($A199="","",IFERROR(SUMIF(INDIRECT("'"&amp;'Template Setup'!$C$6&amp;"'!C:C"),$A199,INDIRECT("'"&amp;'Template Setup'!$C$6&amp;"'!A:A")),0))</f>
        <v/>
      </c>
      <c r="J199" s="12" t="str">
        <f ca="1">IF($A199="","",IFERROR(SUMIF(INDIRECT("'"&amp;'Template Setup'!$C$7&amp;"'!C:C"),$A199,INDIRECT("'"&amp;'Template Setup'!$C$7&amp;"'!A:A")),0))</f>
        <v/>
      </c>
      <c r="K199" s="12" t="str">
        <f ca="1">IF($A199="","",IFERROR(SUMIF(INDIRECT("'"&amp;'Template Setup'!$C$8&amp;"'!C:C"),$A199,INDIRECT("'"&amp;'Template Setup'!$C$8&amp;"'!A:A")),0))</f>
        <v/>
      </c>
      <c r="L199" s="11" t="str">
        <f>IF($A199="","",IFERROR(VALUE(MID(TRIM('Template Setup'!$C$4),FIND("-",TRIM('Template Setup'!$C$4))+1,10)),0))</f>
        <v/>
      </c>
      <c r="M199" s="11" t="str">
        <f>IF($A199="","",IFERROR(VALUE(MID(TRIM('Template Setup'!$C$5),FIND("-",TRIM('Template Setup'!$C$5))+1,10)),0))</f>
        <v/>
      </c>
      <c r="N199" s="11" t="str">
        <f>IF($A199="","",IFERROR(VALUE(MID(TRIM('Template Setup'!$C$6),FIND("-",TRIM('Template Setup'!$C$6))+1,10)),0))</f>
        <v/>
      </c>
      <c r="O199" s="11" t="str">
        <f>IF($A199="","",IFERROR(VALUE(MID(TRIM('Template Setup'!$C$7),FIND("-",TRIM('Template Setup'!$C$7))+1,10)),0))</f>
        <v/>
      </c>
      <c r="P199" s="11" t="str">
        <f>IF($A199="","",IFERROR(VALUE(MID(TRIM('Template Setup'!$C$8),FIND("-",TRIM('Template Setup'!$C$8))+1,10)),0))</f>
        <v/>
      </c>
      <c r="Q199" s="9" t="str">
        <f>IF($A199="","",$A199&amp;"-"&amp;'Template Setup'!$C$16)</f>
        <v/>
      </c>
      <c r="R199" s="24" t="str">
        <f t="shared" si="13"/>
        <v/>
      </c>
      <c r="S199" s="24"/>
      <c r="T199" s="24" t="str">
        <f t="shared" si="14"/>
        <v/>
      </c>
      <c r="U199" s="6" t="str">
        <f t="shared" si="12"/>
        <v/>
      </c>
    </row>
    <row r="200" spans="1:21">
      <c r="A200" s="11"/>
      <c r="B200" s="11"/>
      <c r="C200" s="11"/>
      <c r="D200" s="11" t="str">
        <f>IF($A200="","",_xlfn.TEXTJOIN(", ",TRUE,IF($G200&gt;0,'Template Setup'!$C$4,""),IF($H200&gt;0,'Template Setup'!$C$5,""),IF($I200&gt;0,'Template Setup'!$C$6,""),IF($J200&gt;0,'Template Setup'!$C$7,""),IF($K200&gt;0,'Template Setup'!$C$8,"")))</f>
        <v/>
      </c>
      <c r="E200" s="6" t="str" cm="1">
        <f t="array" ref="E200">IF($A200="","",_xlfn.LET(_xlpm.sheets,CHOOSE({1,2,3,4,5},'Template Setup'!$C$4,'Template Setup'!$C$5,'Template Setup'!$C$6,'Template Setup'!$C$7,'Template Setup'!$C$8),_xlpm.nums,CHOOSE({1,2,3,4,5},$L200,$M200,$N200,$O200,$P200),_xlpm.qtys,CHOOSE({1,2,3,4,5},$G200,$H200,$I200,$J200,$K200),_xlpm.validNums,_xlfn._xlws.FILTER(_xlpm.nums,_xlpm.qtys&gt;0),_xlpm.validSheets,_xlfn._xlws.FILTER(_xlpm.sheets,_xlpm.qtys&gt;0),_xlpm.mx,IFERROR(MAX(_xlpm.validNums),0),IF(_xlpm.mx=0,"",INDEX(_xlpm.validSheets,MATCH(_xlpm.mx,_xlpm.validNums,0))&amp;" (+"&amp;$R200&amp;")")))</f>
        <v/>
      </c>
      <c r="F200" s="11" t="str">
        <f t="shared" si="15"/>
        <v/>
      </c>
      <c r="G200" s="12" t="str">
        <f ca="1">IF($A200="","",IFERROR(SUMIF(INDIRECT("'"&amp;'Template Setup'!$C$4&amp;"'!C:C"),$A200,INDIRECT("'"&amp;'Template Setup'!$C$4&amp;"'!A:A")),0))</f>
        <v/>
      </c>
      <c r="H200" s="12" t="str">
        <f ca="1">IF($A200="","",IFERROR(SUMIF(INDIRECT("'"&amp;'Template Setup'!$C$5&amp;"'!C:C"),$A200,INDIRECT("'"&amp;'Template Setup'!$C$5&amp;"'!A:A")),0))</f>
        <v/>
      </c>
      <c r="I200" s="12" t="str">
        <f ca="1">IF($A200="","",IFERROR(SUMIF(INDIRECT("'"&amp;'Template Setup'!$C$6&amp;"'!C:C"),$A200,INDIRECT("'"&amp;'Template Setup'!$C$6&amp;"'!A:A")),0))</f>
        <v/>
      </c>
      <c r="J200" s="12" t="str">
        <f ca="1">IF($A200="","",IFERROR(SUMIF(INDIRECT("'"&amp;'Template Setup'!$C$7&amp;"'!C:C"),$A200,INDIRECT("'"&amp;'Template Setup'!$C$7&amp;"'!A:A")),0))</f>
        <v/>
      </c>
      <c r="K200" s="12" t="str">
        <f ca="1">IF($A200="","",IFERROR(SUMIF(INDIRECT("'"&amp;'Template Setup'!$C$8&amp;"'!C:C"),$A200,INDIRECT("'"&amp;'Template Setup'!$C$8&amp;"'!A:A")),0))</f>
        <v/>
      </c>
      <c r="L200" s="11" t="str">
        <f>IF($A200="","",IFERROR(VALUE(MID(TRIM('Template Setup'!$C$4),FIND("-",TRIM('Template Setup'!$C$4))+1,10)),0))</f>
        <v/>
      </c>
      <c r="M200" s="11" t="str">
        <f>IF($A200="","",IFERROR(VALUE(MID(TRIM('Template Setup'!$C$5),FIND("-",TRIM('Template Setup'!$C$5))+1,10)),0))</f>
        <v/>
      </c>
      <c r="N200" s="11" t="str">
        <f>IF($A200="","",IFERROR(VALUE(MID(TRIM('Template Setup'!$C$6),FIND("-",TRIM('Template Setup'!$C$6))+1,10)),0))</f>
        <v/>
      </c>
      <c r="O200" s="11" t="str">
        <f>IF($A200="","",IFERROR(VALUE(MID(TRIM('Template Setup'!$C$7),FIND("-",TRIM('Template Setup'!$C$7))+1,10)),0))</f>
        <v/>
      </c>
      <c r="P200" s="11" t="str">
        <f>IF($A200="","",IFERROR(VALUE(MID(TRIM('Template Setup'!$C$8),FIND("-",TRIM('Template Setup'!$C$8))+1,10)),0))</f>
        <v/>
      </c>
      <c r="Q200" s="9" t="str">
        <f>IF($A200="","",$A200&amp;"-"&amp;'Template Setup'!$C$16)</f>
        <v/>
      </c>
      <c r="R200" s="24" t="str">
        <f t="shared" si="13"/>
        <v/>
      </c>
      <c r="S200" s="24"/>
      <c r="T200" s="24" t="str">
        <f t="shared" si="14"/>
        <v/>
      </c>
      <c r="U200" s="6" t="str">
        <f t="shared" si="12"/>
        <v/>
      </c>
    </row>
    <row r="201" spans="1:21">
      <c r="A201" s="11"/>
      <c r="B201" s="11"/>
      <c r="C201" s="11"/>
      <c r="D201" s="11" t="str">
        <f>IF($A201="","",_xlfn.TEXTJOIN(", ",TRUE,IF($G201&gt;0,'Template Setup'!$C$4,""),IF($H201&gt;0,'Template Setup'!$C$5,""),IF($I201&gt;0,'Template Setup'!$C$6,""),IF($J201&gt;0,'Template Setup'!$C$7,""),IF($K201&gt;0,'Template Setup'!$C$8,"")))</f>
        <v/>
      </c>
      <c r="E201" s="6" t="str" cm="1">
        <f t="array" ref="E201">IF($A201="","",_xlfn.LET(_xlpm.sheets,CHOOSE({1,2,3,4,5},'Template Setup'!$C$4,'Template Setup'!$C$5,'Template Setup'!$C$6,'Template Setup'!$C$7,'Template Setup'!$C$8),_xlpm.nums,CHOOSE({1,2,3,4,5},$L201,$M201,$N201,$O201,$P201),_xlpm.qtys,CHOOSE({1,2,3,4,5},$G201,$H201,$I201,$J201,$K201),_xlpm.validNums,_xlfn._xlws.FILTER(_xlpm.nums,_xlpm.qtys&gt;0),_xlpm.validSheets,_xlfn._xlws.FILTER(_xlpm.sheets,_xlpm.qtys&gt;0),_xlpm.mx,IFERROR(MAX(_xlpm.validNums),0),IF(_xlpm.mx=0,"",INDEX(_xlpm.validSheets,MATCH(_xlpm.mx,_xlpm.validNums,0))&amp;" (+"&amp;$R201&amp;")")))</f>
        <v/>
      </c>
      <c r="F201" s="11" t="str">
        <f t="shared" si="15"/>
        <v/>
      </c>
      <c r="G201" s="12" t="str">
        <f ca="1">IF($A201="","",IFERROR(SUMIF(INDIRECT("'"&amp;'Template Setup'!$C$4&amp;"'!C:C"),$A201,INDIRECT("'"&amp;'Template Setup'!$C$4&amp;"'!A:A")),0))</f>
        <v/>
      </c>
      <c r="H201" s="12" t="str">
        <f ca="1">IF($A201="","",IFERROR(SUMIF(INDIRECT("'"&amp;'Template Setup'!$C$5&amp;"'!C:C"),$A201,INDIRECT("'"&amp;'Template Setup'!$C$5&amp;"'!A:A")),0))</f>
        <v/>
      </c>
      <c r="I201" s="12" t="str">
        <f ca="1">IF($A201="","",IFERROR(SUMIF(INDIRECT("'"&amp;'Template Setup'!$C$6&amp;"'!C:C"),$A201,INDIRECT("'"&amp;'Template Setup'!$C$6&amp;"'!A:A")),0))</f>
        <v/>
      </c>
      <c r="J201" s="12" t="str">
        <f ca="1">IF($A201="","",IFERROR(SUMIF(INDIRECT("'"&amp;'Template Setup'!$C$7&amp;"'!C:C"),$A201,INDIRECT("'"&amp;'Template Setup'!$C$7&amp;"'!A:A")),0))</f>
        <v/>
      </c>
      <c r="K201" s="12" t="str">
        <f ca="1">IF($A201="","",IFERROR(SUMIF(INDIRECT("'"&amp;'Template Setup'!$C$8&amp;"'!C:C"),$A201,INDIRECT("'"&amp;'Template Setup'!$C$8&amp;"'!A:A")),0))</f>
        <v/>
      </c>
      <c r="L201" s="11" t="str">
        <f>IF($A201="","",IFERROR(VALUE(MID(TRIM('Template Setup'!$C$4),FIND("-",TRIM('Template Setup'!$C$4))+1,10)),0))</f>
        <v/>
      </c>
      <c r="M201" s="11" t="str">
        <f>IF($A201="","",IFERROR(VALUE(MID(TRIM('Template Setup'!$C$5),FIND("-",TRIM('Template Setup'!$C$5))+1,10)),0))</f>
        <v/>
      </c>
      <c r="N201" s="11" t="str">
        <f>IF($A201="","",IFERROR(VALUE(MID(TRIM('Template Setup'!$C$6),FIND("-",TRIM('Template Setup'!$C$6))+1,10)),0))</f>
        <v/>
      </c>
      <c r="O201" s="11" t="str">
        <f>IF($A201="","",IFERROR(VALUE(MID(TRIM('Template Setup'!$C$7),FIND("-",TRIM('Template Setup'!$C$7))+1,10)),0))</f>
        <v/>
      </c>
      <c r="P201" s="11" t="str">
        <f>IF($A201="","",IFERROR(VALUE(MID(TRIM('Template Setup'!$C$8),FIND("-",TRIM('Template Setup'!$C$8))+1,10)),0))</f>
        <v/>
      </c>
      <c r="Q201" s="9" t="str">
        <f>IF($A201="","",$A201&amp;"-"&amp;'Template Setup'!$C$16)</f>
        <v/>
      </c>
      <c r="R201" s="24" t="str">
        <f t="shared" si="13"/>
        <v/>
      </c>
      <c r="S201" s="24"/>
      <c r="T201" s="24" t="str">
        <f t="shared" si="14"/>
        <v/>
      </c>
      <c r="U201" s="6" t="str">
        <f t="shared" si="12"/>
        <v/>
      </c>
    </row>
    <row r="202" spans="1:21">
      <c r="A202" s="11"/>
      <c r="B202" s="11"/>
      <c r="C202" s="11"/>
      <c r="D202" s="11" t="str">
        <f>IF($A202="","",_xlfn.TEXTJOIN(", ",TRUE,IF($G202&gt;0,'Template Setup'!$C$4,""),IF($H202&gt;0,'Template Setup'!$C$5,""),IF($I202&gt;0,'Template Setup'!$C$6,""),IF($J202&gt;0,'Template Setup'!$C$7,""),IF($K202&gt;0,'Template Setup'!$C$8,"")))</f>
        <v/>
      </c>
      <c r="E202" s="6" t="str" cm="1">
        <f t="array" ref="E202">IF($A202="","",_xlfn.LET(_xlpm.sheets,CHOOSE({1,2,3,4,5},'Template Setup'!$C$4,'Template Setup'!$C$5,'Template Setup'!$C$6,'Template Setup'!$C$7,'Template Setup'!$C$8),_xlpm.nums,CHOOSE({1,2,3,4,5},$L202,$M202,$N202,$O202,$P202),_xlpm.qtys,CHOOSE({1,2,3,4,5},$G202,$H202,$I202,$J202,$K202),_xlpm.validNums,_xlfn._xlws.FILTER(_xlpm.nums,_xlpm.qtys&gt;0),_xlpm.validSheets,_xlfn._xlws.FILTER(_xlpm.sheets,_xlpm.qtys&gt;0),_xlpm.mx,IFERROR(MAX(_xlpm.validNums),0),IF(_xlpm.mx=0,"",INDEX(_xlpm.validSheets,MATCH(_xlpm.mx,_xlpm.validNums,0))&amp;" (+"&amp;$R202&amp;")")))</f>
        <v/>
      </c>
      <c r="F202" s="11" t="str">
        <f t="shared" si="15"/>
        <v/>
      </c>
      <c r="G202" s="12" t="str">
        <f ca="1">IF($A202="","",IFERROR(SUMIF(INDIRECT("'"&amp;'Template Setup'!$C$4&amp;"'!C:C"),$A202,INDIRECT("'"&amp;'Template Setup'!$C$4&amp;"'!A:A")),0))</f>
        <v/>
      </c>
      <c r="H202" s="12" t="str">
        <f ca="1">IF($A202="","",IFERROR(SUMIF(INDIRECT("'"&amp;'Template Setup'!$C$5&amp;"'!C:C"),$A202,INDIRECT("'"&amp;'Template Setup'!$C$5&amp;"'!A:A")),0))</f>
        <v/>
      </c>
      <c r="I202" s="12" t="str">
        <f ca="1">IF($A202="","",IFERROR(SUMIF(INDIRECT("'"&amp;'Template Setup'!$C$6&amp;"'!C:C"),$A202,INDIRECT("'"&amp;'Template Setup'!$C$6&amp;"'!A:A")),0))</f>
        <v/>
      </c>
      <c r="J202" s="12" t="str">
        <f ca="1">IF($A202="","",IFERROR(SUMIF(INDIRECT("'"&amp;'Template Setup'!$C$7&amp;"'!C:C"),$A202,INDIRECT("'"&amp;'Template Setup'!$C$7&amp;"'!A:A")),0))</f>
        <v/>
      </c>
      <c r="K202" s="12" t="str">
        <f ca="1">IF($A202="","",IFERROR(SUMIF(INDIRECT("'"&amp;'Template Setup'!$C$8&amp;"'!C:C"),$A202,INDIRECT("'"&amp;'Template Setup'!$C$8&amp;"'!A:A")),0))</f>
        <v/>
      </c>
      <c r="L202" s="11" t="str">
        <f>IF($A202="","",IFERROR(VALUE(MID(TRIM('Template Setup'!$C$4),FIND("-",TRIM('Template Setup'!$C$4))+1,10)),0))</f>
        <v/>
      </c>
      <c r="M202" s="11" t="str">
        <f>IF($A202="","",IFERROR(VALUE(MID(TRIM('Template Setup'!$C$5),FIND("-",TRIM('Template Setup'!$C$5))+1,10)),0))</f>
        <v/>
      </c>
      <c r="N202" s="11" t="str">
        <f>IF($A202="","",IFERROR(VALUE(MID(TRIM('Template Setup'!$C$6),FIND("-",TRIM('Template Setup'!$C$6))+1,10)),0))</f>
        <v/>
      </c>
      <c r="O202" s="11" t="str">
        <f>IF($A202="","",IFERROR(VALUE(MID(TRIM('Template Setup'!$C$7),FIND("-",TRIM('Template Setup'!$C$7))+1,10)),0))</f>
        <v/>
      </c>
      <c r="P202" s="11" t="str">
        <f>IF($A202="","",IFERROR(VALUE(MID(TRIM('Template Setup'!$C$8),FIND("-",TRIM('Template Setup'!$C$8))+1,10)),0))</f>
        <v/>
      </c>
      <c r="Q202" s="9" t="str">
        <f>IF($A202="","",$A202&amp;"-"&amp;'Template Setup'!$C$16)</f>
        <v/>
      </c>
      <c r="R202" s="24" t="str">
        <f t="shared" si="13"/>
        <v/>
      </c>
      <c r="S202" s="24"/>
      <c r="T202" s="24" t="str">
        <f t="shared" si="14"/>
        <v/>
      </c>
      <c r="U202" s="6" t="str">
        <f t="shared" si="12"/>
        <v/>
      </c>
    </row>
    <row r="203" spans="1:21">
      <c r="A203" s="11"/>
      <c r="B203" s="11"/>
      <c r="C203" s="11"/>
      <c r="D203" s="11" t="str">
        <f>IF($A203="","",_xlfn.TEXTJOIN(", ",TRUE,IF($G203&gt;0,'Template Setup'!$C$4,""),IF($H203&gt;0,'Template Setup'!$C$5,""),IF($I203&gt;0,'Template Setup'!$C$6,""),IF($J203&gt;0,'Template Setup'!$C$7,""),IF($K203&gt;0,'Template Setup'!$C$8,"")))</f>
        <v/>
      </c>
      <c r="E203" s="6" t="str" cm="1">
        <f t="array" ref="E203">IF($A203="","",_xlfn.LET(_xlpm.sheets,CHOOSE({1,2,3,4,5},'Template Setup'!$C$4,'Template Setup'!$C$5,'Template Setup'!$C$6,'Template Setup'!$C$7,'Template Setup'!$C$8),_xlpm.nums,CHOOSE({1,2,3,4,5},$L203,$M203,$N203,$O203,$P203),_xlpm.qtys,CHOOSE({1,2,3,4,5},$G203,$H203,$I203,$J203,$K203),_xlpm.validNums,_xlfn._xlws.FILTER(_xlpm.nums,_xlpm.qtys&gt;0),_xlpm.validSheets,_xlfn._xlws.FILTER(_xlpm.sheets,_xlpm.qtys&gt;0),_xlpm.mx,IFERROR(MAX(_xlpm.validNums),0),IF(_xlpm.mx=0,"",INDEX(_xlpm.validSheets,MATCH(_xlpm.mx,_xlpm.validNums,0))&amp;" (+"&amp;$R203&amp;")")))</f>
        <v/>
      </c>
      <c r="F203" s="11" t="str">
        <f t="shared" si="15"/>
        <v/>
      </c>
      <c r="G203" s="12" t="str">
        <f ca="1">IF($A203="","",IFERROR(SUMIF(INDIRECT("'"&amp;'Template Setup'!$C$4&amp;"'!C:C"),$A203,INDIRECT("'"&amp;'Template Setup'!$C$4&amp;"'!A:A")),0))</f>
        <v/>
      </c>
      <c r="H203" s="12" t="str">
        <f ca="1">IF($A203="","",IFERROR(SUMIF(INDIRECT("'"&amp;'Template Setup'!$C$5&amp;"'!C:C"),$A203,INDIRECT("'"&amp;'Template Setup'!$C$5&amp;"'!A:A")),0))</f>
        <v/>
      </c>
      <c r="I203" s="12" t="str">
        <f ca="1">IF($A203="","",IFERROR(SUMIF(INDIRECT("'"&amp;'Template Setup'!$C$6&amp;"'!C:C"),$A203,INDIRECT("'"&amp;'Template Setup'!$C$6&amp;"'!A:A")),0))</f>
        <v/>
      </c>
      <c r="J203" s="12" t="str">
        <f ca="1">IF($A203="","",IFERROR(SUMIF(INDIRECT("'"&amp;'Template Setup'!$C$7&amp;"'!C:C"),$A203,INDIRECT("'"&amp;'Template Setup'!$C$7&amp;"'!A:A")),0))</f>
        <v/>
      </c>
      <c r="K203" s="12" t="str">
        <f ca="1">IF($A203="","",IFERROR(SUMIF(INDIRECT("'"&amp;'Template Setup'!$C$8&amp;"'!C:C"),$A203,INDIRECT("'"&amp;'Template Setup'!$C$8&amp;"'!A:A")),0))</f>
        <v/>
      </c>
      <c r="L203" s="11" t="str">
        <f>IF($A203="","",IFERROR(VALUE(MID(TRIM('Template Setup'!$C$4),FIND("-",TRIM('Template Setup'!$C$4))+1,10)),0))</f>
        <v/>
      </c>
      <c r="M203" s="11" t="str">
        <f>IF($A203="","",IFERROR(VALUE(MID(TRIM('Template Setup'!$C$5),FIND("-",TRIM('Template Setup'!$C$5))+1,10)),0))</f>
        <v/>
      </c>
      <c r="N203" s="11" t="str">
        <f>IF($A203="","",IFERROR(VALUE(MID(TRIM('Template Setup'!$C$6),FIND("-",TRIM('Template Setup'!$C$6))+1,10)),0))</f>
        <v/>
      </c>
      <c r="O203" s="11" t="str">
        <f>IF($A203="","",IFERROR(VALUE(MID(TRIM('Template Setup'!$C$7),FIND("-",TRIM('Template Setup'!$C$7))+1,10)),0))</f>
        <v/>
      </c>
      <c r="P203" s="11" t="str">
        <f>IF($A203="","",IFERROR(VALUE(MID(TRIM('Template Setup'!$C$8),FIND("-",TRIM('Template Setup'!$C$8))+1,10)),0))</f>
        <v/>
      </c>
      <c r="Q203" s="9" t="str">
        <f>IF($A203="","",$A203&amp;"-"&amp;'Template Setup'!$C$16)</f>
        <v/>
      </c>
      <c r="R203" s="24" t="str">
        <f t="shared" si="13"/>
        <v/>
      </c>
      <c r="S203" s="24"/>
      <c r="T203" s="24" t="str">
        <f t="shared" si="14"/>
        <v/>
      </c>
      <c r="U203" s="6" t="str">
        <f t="shared" si="12"/>
        <v/>
      </c>
    </row>
    <row r="204" spans="1:21">
      <c r="A204" s="11"/>
      <c r="B204" s="11"/>
      <c r="C204" s="11"/>
      <c r="D204" s="11" t="str">
        <f>IF($A204="","",_xlfn.TEXTJOIN(", ",TRUE,IF($G204&gt;0,'Template Setup'!$C$4,""),IF($H204&gt;0,'Template Setup'!$C$5,""),IF($I204&gt;0,'Template Setup'!$C$6,""),IF($J204&gt;0,'Template Setup'!$C$7,""),IF($K204&gt;0,'Template Setup'!$C$8,"")))</f>
        <v/>
      </c>
      <c r="E204" s="6" t="str" cm="1">
        <f t="array" ref="E204">IF($A204="","",_xlfn.LET(_xlpm.sheets,CHOOSE({1,2,3,4,5},'Template Setup'!$C$4,'Template Setup'!$C$5,'Template Setup'!$C$6,'Template Setup'!$C$7,'Template Setup'!$C$8),_xlpm.nums,CHOOSE({1,2,3,4,5},$L204,$M204,$N204,$O204,$P204),_xlpm.qtys,CHOOSE({1,2,3,4,5},$G204,$H204,$I204,$J204,$K204),_xlpm.validNums,_xlfn._xlws.FILTER(_xlpm.nums,_xlpm.qtys&gt;0),_xlpm.validSheets,_xlfn._xlws.FILTER(_xlpm.sheets,_xlpm.qtys&gt;0),_xlpm.mx,IFERROR(MAX(_xlpm.validNums),0),IF(_xlpm.mx=0,"",INDEX(_xlpm.validSheets,MATCH(_xlpm.mx,_xlpm.validNums,0))&amp;" (+"&amp;$R204&amp;")")))</f>
        <v/>
      </c>
      <c r="F204" s="11" t="str">
        <f t="shared" si="15"/>
        <v/>
      </c>
      <c r="G204" s="12" t="str">
        <f ca="1">IF($A204="","",IFERROR(SUMIF(INDIRECT("'"&amp;'Template Setup'!$C$4&amp;"'!C:C"),$A204,INDIRECT("'"&amp;'Template Setup'!$C$4&amp;"'!A:A")),0))</f>
        <v/>
      </c>
      <c r="H204" s="12" t="str">
        <f ca="1">IF($A204="","",IFERROR(SUMIF(INDIRECT("'"&amp;'Template Setup'!$C$5&amp;"'!C:C"),$A204,INDIRECT("'"&amp;'Template Setup'!$C$5&amp;"'!A:A")),0))</f>
        <v/>
      </c>
      <c r="I204" s="12" t="str">
        <f ca="1">IF($A204="","",IFERROR(SUMIF(INDIRECT("'"&amp;'Template Setup'!$C$6&amp;"'!C:C"),$A204,INDIRECT("'"&amp;'Template Setup'!$C$6&amp;"'!A:A")),0))</f>
        <v/>
      </c>
      <c r="J204" s="12" t="str">
        <f ca="1">IF($A204="","",IFERROR(SUMIF(INDIRECT("'"&amp;'Template Setup'!$C$7&amp;"'!C:C"),$A204,INDIRECT("'"&amp;'Template Setup'!$C$7&amp;"'!A:A")),0))</f>
        <v/>
      </c>
      <c r="K204" s="12" t="str">
        <f ca="1">IF($A204="","",IFERROR(SUMIF(INDIRECT("'"&amp;'Template Setup'!$C$8&amp;"'!C:C"),$A204,INDIRECT("'"&amp;'Template Setup'!$C$8&amp;"'!A:A")),0))</f>
        <v/>
      </c>
      <c r="L204" s="11" t="str">
        <f>IF($A204="","",IFERROR(VALUE(MID(TRIM('Template Setup'!$C$4),FIND("-",TRIM('Template Setup'!$C$4))+1,10)),0))</f>
        <v/>
      </c>
      <c r="M204" s="11" t="str">
        <f>IF($A204="","",IFERROR(VALUE(MID(TRIM('Template Setup'!$C$5),FIND("-",TRIM('Template Setup'!$C$5))+1,10)),0))</f>
        <v/>
      </c>
      <c r="N204" s="11" t="str">
        <f>IF($A204="","",IFERROR(VALUE(MID(TRIM('Template Setup'!$C$6),FIND("-",TRIM('Template Setup'!$C$6))+1,10)),0))</f>
        <v/>
      </c>
      <c r="O204" s="11" t="str">
        <f>IF($A204="","",IFERROR(VALUE(MID(TRIM('Template Setup'!$C$7),FIND("-",TRIM('Template Setup'!$C$7))+1,10)),0))</f>
        <v/>
      </c>
      <c r="P204" s="11" t="str">
        <f>IF($A204="","",IFERROR(VALUE(MID(TRIM('Template Setup'!$C$8),FIND("-",TRIM('Template Setup'!$C$8))+1,10)),0))</f>
        <v/>
      </c>
      <c r="Q204" s="9" t="str">
        <f>IF($A204="","",$A204&amp;"-"&amp;'Template Setup'!$C$16)</f>
        <v/>
      </c>
      <c r="R204" s="24" t="str">
        <f t="shared" si="13"/>
        <v/>
      </c>
      <c r="S204" s="24"/>
      <c r="T204" s="24" t="str">
        <f t="shared" si="14"/>
        <v/>
      </c>
      <c r="U204" s="6" t="str">
        <f t="shared" si="12"/>
        <v/>
      </c>
    </row>
    <row r="205" spans="1:21">
      <c r="A205" s="11"/>
      <c r="B205" s="11"/>
      <c r="C205" s="11"/>
      <c r="D205" s="11" t="str">
        <f>IF($A205="","",_xlfn.TEXTJOIN(", ",TRUE,IF($G205&gt;0,'Template Setup'!$C$4,""),IF($H205&gt;0,'Template Setup'!$C$5,""),IF($I205&gt;0,'Template Setup'!$C$6,""),IF($J205&gt;0,'Template Setup'!$C$7,""),IF($K205&gt;0,'Template Setup'!$C$8,"")))</f>
        <v/>
      </c>
      <c r="E205" s="6" t="str" cm="1">
        <f t="array" ref="E205">IF($A205="","",_xlfn.LET(_xlpm.sheets,CHOOSE({1,2,3,4,5},'Template Setup'!$C$4,'Template Setup'!$C$5,'Template Setup'!$C$6,'Template Setup'!$C$7,'Template Setup'!$C$8),_xlpm.nums,CHOOSE({1,2,3,4,5},$L205,$M205,$N205,$O205,$P205),_xlpm.qtys,CHOOSE({1,2,3,4,5},$G205,$H205,$I205,$J205,$K205),_xlpm.validNums,_xlfn._xlws.FILTER(_xlpm.nums,_xlpm.qtys&gt;0),_xlpm.validSheets,_xlfn._xlws.FILTER(_xlpm.sheets,_xlpm.qtys&gt;0),_xlpm.mx,IFERROR(MAX(_xlpm.validNums),0),IF(_xlpm.mx=0,"",INDEX(_xlpm.validSheets,MATCH(_xlpm.mx,_xlpm.validNums,0))&amp;" (+"&amp;$R205&amp;")")))</f>
        <v/>
      </c>
      <c r="F205" s="11" t="str">
        <f t="shared" si="15"/>
        <v/>
      </c>
      <c r="G205" s="12" t="str">
        <f ca="1">IF($A205="","",IFERROR(SUMIF(INDIRECT("'"&amp;'Template Setup'!$C$4&amp;"'!C:C"),$A205,INDIRECT("'"&amp;'Template Setup'!$C$4&amp;"'!A:A")),0))</f>
        <v/>
      </c>
      <c r="H205" s="12" t="str">
        <f ca="1">IF($A205="","",IFERROR(SUMIF(INDIRECT("'"&amp;'Template Setup'!$C$5&amp;"'!C:C"),$A205,INDIRECT("'"&amp;'Template Setup'!$C$5&amp;"'!A:A")),0))</f>
        <v/>
      </c>
      <c r="I205" s="12" t="str">
        <f ca="1">IF($A205="","",IFERROR(SUMIF(INDIRECT("'"&amp;'Template Setup'!$C$6&amp;"'!C:C"),$A205,INDIRECT("'"&amp;'Template Setup'!$C$6&amp;"'!A:A")),0))</f>
        <v/>
      </c>
      <c r="J205" s="12" t="str">
        <f ca="1">IF($A205="","",IFERROR(SUMIF(INDIRECT("'"&amp;'Template Setup'!$C$7&amp;"'!C:C"),$A205,INDIRECT("'"&amp;'Template Setup'!$C$7&amp;"'!A:A")),0))</f>
        <v/>
      </c>
      <c r="K205" s="12" t="str">
        <f ca="1">IF($A205="","",IFERROR(SUMIF(INDIRECT("'"&amp;'Template Setup'!$C$8&amp;"'!C:C"),$A205,INDIRECT("'"&amp;'Template Setup'!$C$8&amp;"'!A:A")),0))</f>
        <v/>
      </c>
      <c r="L205" s="11" t="str">
        <f>IF($A205="","",IFERROR(VALUE(MID(TRIM('Template Setup'!$C$4),FIND("-",TRIM('Template Setup'!$C$4))+1,10)),0))</f>
        <v/>
      </c>
      <c r="M205" s="11" t="str">
        <f>IF($A205="","",IFERROR(VALUE(MID(TRIM('Template Setup'!$C$5),FIND("-",TRIM('Template Setup'!$C$5))+1,10)),0))</f>
        <v/>
      </c>
      <c r="N205" s="11" t="str">
        <f>IF($A205="","",IFERROR(VALUE(MID(TRIM('Template Setup'!$C$6),FIND("-",TRIM('Template Setup'!$C$6))+1,10)),0))</f>
        <v/>
      </c>
      <c r="O205" s="11" t="str">
        <f>IF($A205="","",IFERROR(VALUE(MID(TRIM('Template Setup'!$C$7),FIND("-",TRIM('Template Setup'!$C$7))+1,10)),0))</f>
        <v/>
      </c>
      <c r="P205" s="11" t="str">
        <f>IF($A205="","",IFERROR(VALUE(MID(TRIM('Template Setup'!$C$8),FIND("-",TRIM('Template Setup'!$C$8))+1,10)),0))</f>
        <v/>
      </c>
      <c r="Q205" s="9" t="str">
        <f>IF($A205="","",$A205&amp;"-"&amp;'Template Setup'!$C$16)</f>
        <v/>
      </c>
      <c r="R205" s="24" t="str">
        <f t="shared" si="13"/>
        <v/>
      </c>
      <c r="S205" s="24"/>
      <c r="T205" s="24" t="str">
        <f t="shared" si="14"/>
        <v/>
      </c>
      <c r="U205" s="6" t="str">
        <f t="shared" si="12"/>
        <v/>
      </c>
    </row>
    <row r="206" spans="1:21">
      <c r="A206" s="11"/>
      <c r="B206" s="11"/>
      <c r="C206" s="11"/>
      <c r="D206" s="11" t="str">
        <f>IF($A206="","",_xlfn.TEXTJOIN(", ",TRUE,IF($G206&gt;0,'Template Setup'!$C$4,""),IF($H206&gt;0,'Template Setup'!$C$5,""),IF($I206&gt;0,'Template Setup'!$C$6,""),IF($J206&gt;0,'Template Setup'!$C$7,""),IF($K206&gt;0,'Template Setup'!$C$8,"")))</f>
        <v/>
      </c>
      <c r="E206" s="6" t="str" cm="1">
        <f t="array" ref="E206">IF($A206="","",_xlfn.LET(_xlpm.sheets,CHOOSE({1,2,3,4,5},'Template Setup'!$C$4,'Template Setup'!$C$5,'Template Setup'!$C$6,'Template Setup'!$C$7,'Template Setup'!$C$8),_xlpm.nums,CHOOSE({1,2,3,4,5},$L206,$M206,$N206,$O206,$P206),_xlpm.qtys,CHOOSE({1,2,3,4,5},$G206,$H206,$I206,$J206,$K206),_xlpm.validNums,_xlfn._xlws.FILTER(_xlpm.nums,_xlpm.qtys&gt;0),_xlpm.validSheets,_xlfn._xlws.FILTER(_xlpm.sheets,_xlpm.qtys&gt;0),_xlpm.mx,IFERROR(MAX(_xlpm.validNums),0),IF(_xlpm.mx=0,"",INDEX(_xlpm.validSheets,MATCH(_xlpm.mx,_xlpm.validNums,0))&amp;" (+"&amp;$R206&amp;")")))</f>
        <v/>
      </c>
      <c r="F206" s="11" t="str">
        <f t="shared" si="15"/>
        <v/>
      </c>
      <c r="G206" s="12" t="str">
        <f ca="1">IF($A206="","",IFERROR(SUMIF(INDIRECT("'"&amp;'Template Setup'!$C$4&amp;"'!C:C"),$A206,INDIRECT("'"&amp;'Template Setup'!$C$4&amp;"'!A:A")),0))</f>
        <v/>
      </c>
      <c r="H206" s="12" t="str">
        <f ca="1">IF($A206="","",IFERROR(SUMIF(INDIRECT("'"&amp;'Template Setup'!$C$5&amp;"'!C:C"),$A206,INDIRECT("'"&amp;'Template Setup'!$C$5&amp;"'!A:A")),0))</f>
        <v/>
      </c>
      <c r="I206" s="12" t="str">
        <f ca="1">IF($A206="","",IFERROR(SUMIF(INDIRECT("'"&amp;'Template Setup'!$C$6&amp;"'!C:C"),$A206,INDIRECT("'"&amp;'Template Setup'!$C$6&amp;"'!A:A")),0))</f>
        <v/>
      </c>
      <c r="J206" s="12" t="str">
        <f ca="1">IF($A206="","",IFERROR(SUMIF(INDIRECT("'"&amp;'Template Setup'!$C$7&amp;"'!C:C"),$A206,INDIRECT("'"&amp;'Template Setup'!$C$7&amp;"'!A:A")),0))</f>
        <v/>
      </c>
      <c r="K206" s="12" t="str">
        <f ca="1">IF($A206="","",IFERROR(SUMIF(INDIRECT("'"&amp;'Template Setup'!$C$8&amp;"'!C:C"),$A206,INDIRECT("'"&amp;'Template Setup'!$C$8&amp;"'!A:A")),0))</f>
        <v/>
      </c>
      <c r="L206" s="11" t="str">
        <f>IF($A206="","",IFERROR(VALUE(MID(TRIM('Template Setup'!$C$4),FIND("-",TRIM('Template Setup'!$C$4))+1,10)),0))</f>
        <v/>
      </c>
      <c r="M206" s="11" t="str">
        <f>IF($A206="","",IFERROR(VALUE(MID(TRIM('Template Setup'!$C$5),FIND("-",TRIM('Template Setup'!$C$5))+1,10)),0))</f>
        <v/>
      </c>
      <c r="N206" s="11" t="str">
        <f>IF($A206="","",IFERROR(VALUE(MID(TRIM('Template Setup'!$C$6),FIND("-",TRIM('Template Setup'!$C$6))+1,10)),0))</f>
        <v/>
      </c>
      <c r="O206" s="11" t="str">
        <f>IF($A206="","",IFERROR(VALUE(MID(TRIM('Template Setup'!$C$7),FIND("-",TRIM('Template Setup'!$C$7))+1,10)),0))</f>
        <v/>
      </c>
      <c r="P206" s="11" t="str">
        <f>IF($A206="","",IFERROR(VALUE(MID(TRIM('Template Setup'!$C$8),FIND("-",TRIM('Template Setup'!$C$8))+1,10)),0))</f>
        <v/>
      </c>
      <c r="Q206" s="9" t="str">
        <f>IF($A206="","",$A206&amp;"-"&amp;'Template Setup'!$C$16)</f>
        <v/>
      </c>
      <c r="R206" s="24" t="str">
        <f t="shared" si="13"/>
        <v/>
      </c>
      <c r="S206" s="24"/>
      <c r="T206" s="24" t="str">
        <f t="shared" si="14"/>
        <v/>
      </c>
      <c r="U206" s="6" t="str">
        <f t="shared" si="12"/>
        <v/>
      </c>
    </row>
    <row r="207" spans="1:21">
      <c r="A207" s="11"/>
      <c r="B207" s="11"/>
      <c r="C207" s="11"/>
      <c r="D207" s="11" t="str">
        <f>IF($A207="","",_xlfn.TEXTJOIN(", ",TRUE,IF($G207&gt;0,'Template Setup'!$C$4,""),IF($H207&gt;0,'Template Setup'!$C$5,""),IF($I207&gt;0,'Template Setup'!$C$6,""),IF($J207&gt;0,'Template Setup'!$C$7,""),IF($K207&gt;0,'Template Setup'!$C$8,"")))</f>
        <v/>
      </c>
      <c r="E207" s="6" t="str" cm="1">
        <f t="array" ref="E207">IF($A207="","",_xlfn.LET(_xlpm.sheets,CHOOSE({1,2,3,4,5},'Template Setup'!$C$4,'Template Setup'!$C$5,'Template Setup'!$C$6,'Template Setup'!$C$7,'Template Setup'!$C$8),_xlpm.nums,CHOOSE({1,2,3,4,5},$L207,$M207,$N207,$O207,$P207),_xlpm.qtys,CHOOSE({1,2,3,4,5},$G207,$H207,$I207,$J207,$K207),_xlpm.validNums,_xlfn._xlws.FILTER(_xlpm.nums,_xlpm.qtys&gt;0),_xlpm.validSheets,_xlfn._xlws.FILTER(_xlpm.sheets,_xlpm.qtys&gt;0),_xlpm.mx,IFERROR(MAX(_xlpm.validNums),0),IF(_xlpm.mx=0,"",INDEX(_xlpm.validSheets,MATCH(_xlpm.mx,_xlpm.validNums,0))&amp;" (+"&amp;$R207&amp;")")))</f>
        <v/>
      </c>
      <c r="F207" s="11" t="str">
        <f t="shared" si="15"/>
        <v/>
      </c>
      <c r="G207" s="12" t="str">
        <f ca="1">IF($A207="","",IFERROR(SUMIF(INDIRECT("'"&amp;'Template Setup'!$C$4&amp;"'!C:C"),$A207,INDIRECT("'"&amp;'Template Setup'!$C$4&amp;"'!A:A")),0))</f>
        <v/>
      </c>
      <c r="H207" s="12" t="str">
        <f ca="1">IF($A207="","",IFERROR(SUMIF(INDIRECT("'"&amp;'Template Setup'!$C$5&amp;"'!C:C"),$A207,INDIRECT("'"&amp;'Template Setup'!$C$5&amp;"'!A:A")),0))</f>
        <v/>
      </c>
      <c r="I207" s="12" t="str">
        <f ca="1">IF($A207="","",IFERROR(SUMIF(INDIRECT("'"&amp;'Template Setup'!$C$6&amp;"'!C:C"),$A207,INDIRECT("'"&amp;'Template Setup'!$C$6&amp;"'!A:A")),0))</f>
        <v/>
      </c>
      <c r="J207" s="12" t="str">
        <f ca="1">IF($A207="","",IFERROR(SUMIF(INDIRECT("'"&amp;'Template Setup'!$C$7&amp;"'!C:C"),$A207,INDIRECT("'"&amp;'Template Setup'!$C$7&amp;"'!A:A")),0))</f>
        <v/>
      </c>
      <c r="K207" s="12" t="str">
        <f ca="1">IF($A207="","",IFERROR(SUMIF(INDIRECT("'"&amp;'Template Setup'!$C$8&amp;"'!C:C"),$A207,INDIRECT("'"&amp;'Template Setup'!$C$8&amp;"'!A:A")),0))</f>
        <v/>
      </c>
      <c r="L207" s="11" t="str">
        <f>IF($A207="","",IFERROR(VALUE(MID(TRIM('Template Setup'!$C$4),FIND("-",TRIM('Template Setup'!$C$4))+1,10)),0))</f>
        <v/>
      </c>
      <c r="M207" s="11" t="str">
        <f>IF($A207="","",IFERROR(VALUE(MID(TRIM('Template Setup'!$C$5),FIND("-",TRIM('Template Setup'!$C$5))+1,10)),0))</f>
        <v/>
      </c>
      <c r="N207" s="11" t="str">
        <f>IF($A207="","",IFERROR(VALUE(MID(TRIM('Template Setup'!$C$6),FIND("-",TRIM('Template Setup'!$C$6))+1,10)),0))</f>
        <v/>
      </c>
      <c r="O207" s="11" t="str">
        <f>IF($A207="","",IFERROR(VALUE(MID(TRIM('Template Setup'!$C$7),FIND("-",TRIM('Template Setup'!$C$7))+1,10)),0))</f>
        <v/>
      </c>
      <c r="P207" s="11" t="str">
        <f>IF($A207="","",IFERROR(VALUE(MID(TRIM('Template Setup'!$C$8),FIND("-",TRIM('Template Setup'!$C$8))+1,10)),0))</f>
        <v/>
      </c>
      <c r="Q207" s="9" t="str">
        <f>IF($A207="","",$A207&amp;"-"&amp;'Template Setup'!$C$16)</f>
        <v/>
      </c>
      <c r="R207" s="24" t="str">
        <f t="shared" si="13"/>
        <v/>
      </c>
      <c r="S207" s="24"/>
      <c r="T207" s="24" t="str">
        <f t="shared" si="14"/>
        <v/>
      </c>
      <c r="U207" s="6" t="str">
        <f t="shared" si="12"/>
        <v/>
      </c>
    </row>
    <row r="208" spans="1:21">
      <c r="A208" s="11"/>
      <c r="B208" s="11"/>
      <c r="C208" s="11"/>
      <c r="D208" s="11" t="str">
        <f>IF($A208="","",_xlfn.TEXTJOIN(", ",TRUE,IF($G208&gt;0,'Template Setup'!$C$4,""),IF($H208&gt;0,'Template Setup'!$C$5,""),IF($I208&gt;0,'Template Setup'!$C$6,""),IF($J208&gt;0,'Template Setup'!$C$7,""),IF($K208&gt;0,'Template Setup'!$C$8,"")))</f>
        <v/>
      </c>
      <c r="E208" s="6" t="str" cm="1">
        <f t="array" ref="E208">IF($A208="","",_xlfn.LET(_xlpm.sheets,CHOOSE({1,2,3,4,5},'Template Setup'!$C$4,'Template Setup'!$C$5,'Template Setup'!$C$6,'Template Setup'!$C$7,'Template Setup'!$C$8),_xlpm.nums,CHOOSE({1,2,3,4,5},$L208,$M208,$N208,$O208,$P208),_xlpm.qtys,CHOOSE({1,2,3,4,5},$G208,$H208,$I208,$J208,$K208),_xlpm.validNums,_xlfn._xlws.FILTER(_xlpm.nums,_xlpm.qtys&gt;0),_xlpm.validSheets,_xlfn._xlws.FILTER(_xlpm.sheets,_xlpm.qtys&gt;0),_xlpm.mx,IFERROR(MAX(_xlpm.validNums),0),IF(_xlpm.mx=0,"",INDEX(_xlpm.validSheets,MATCH(_xlpm.mx,_xlpm.validNums,0))&amp;" (+"&amp;$R208&amp;")")))</f>
        <v/>
      </c>
      <c r="F208" s="11" t="str">
        <f t="shared" si="15"/>
        <v/>
      </c>
      <c r="G208" s="12" t="str">
        <f ca="1">IF($A208="","",IFERROR(SUMIF(INDIRECT("'"&amp;'Template Setup'!$C$4&amp;"'!C:C"),$A208,INDIRECT("'"&amp;'Template Setup'!$C$4&amp;"'!A:A")),0))</f>
        <v/>
      </c>
      <c r="H208" s="12" t="str">
        <f ca="1">IF($A208="","",IFERROR(SUMIF(INDIRECT("'"&amp;'Template Setup'!$C$5&amp;"'!C:C"),$A208,INDIRECT("'"&amp;'Template Setup'!$C$5&amp;"'!A:A")),0))</f>
        <v/>
      </c>
      <c r="I208" s="12" t="str">
        <f ca="1">IF($A208="","",IFERROR(SUMIF(INDIRECT("'"&amp;'Template Setup'!$C$6&amp;"'!C:C"),$A208,INDIRECT("'"&amp;'Template Setup'!$C$6&amp;"'!A:A")),0))</f>
        <v/>
      </c>
      <c r="J208" s="12" t="str">
        <f ca="1">IF($A208="","",IFERROR(SUMIF(INDIRECT("'"&amp;'Template Setup'!$C$7&amp;"'!C:C"),$A208,INDIRECT("'"&amp;'Template Setup'!$C$7&amp;"'!A:A")),0))</f>
        <v/>
      </c>
      <c r="K208" s="12" t="str">
        <f ca="1">IF($A208="","",IFERROR(SUMIF(INDIRECT("'"&amp;'Template Setup'!$C$8&amp;"'!C:C"),$A208,INDIRECT("'"&amp;'Template Setup'!$C$8&amp;"'!A:A")),0))</f>
        <v/>
      </c>
      <c r="L208" s="11" t="str">
        <f>IF($A208="","",IFERROR(VALUE(MID(TRIM('Template Setup'!$C$4),FIND("-",TRIM('Template Setup'!$C$4))+1,10)),0))</f>
        <v/>
      </c>
      <c r="M208" s="11" t="str">
        <f>IF($A208="","",IFERROR(VALUE(MID(TRIM('Template Setup'!$C$5),FIND("-",TRIM('Template Setup'!$C$5))+1,10)),0))</f>
        <v/>
      </c>
      <c r="N208" s="11" t="str">
        <f>IF($A208="","",IFERROR(VALUE(MID(TRIM('Template Setup'!$C$6),FIND("-",TRIM('Template Setup'!$C$6))+1,10)),0))</f>
        <v/>
      </c>
      <c r="O208" s="11" t="str">
        <f>IF($A208="","",IFERROR(VALUE(MID(TRIM('Template Setup'!$C$7),FIND("-",TRIM('Template Setup'!$C$7))+1,10)),0))</f>
        <v/>
      </c>
      <c r="P208" s="11" t="str">
        <f>IF($A208="","",IFERROR(VALUE(MID(TRIM('Template Setup'!$C$8),FIND("-",TRIM('Template Setup'!$C$8))+1,10)),0))</f>
        <v/>
      </c>
      <c r="Q208" s="9" t="str">
        <f>IF($A208="","",$A208&amp;"-"&amp;'Template Setup'!$C$16)</f>
        <v/>
      </c>
      <c r="R208" s="24" t="str">
        <f t="shared" si="13"/>
        <v/>
      </c>
      <c r="S208" s="24"/>
      <c r="T208" s="24" t="str">
        <f t="shared" si="14"/>
        <v/>
      </c>
      <c r="U208" s="6" t="str">
        <f t="shared" si="12"/>
        <v/>
      </c>
    </row>
    <row r="209" spans="1:21">
      <c r="A209" s="11"/>
      <c r="B209" s="11"/>
      <c r="C209" s="11"/>
      <c r="D209" s="11" t="str">
        <f>IF($A209="","",_xlfn.TEXTJOIN(", ",TRUE,IF($G209&gt;0,'Template Setup'!$C$4,""),IF($H209&gt;0,'Template Setup'!$C$5,""),IF($I209&gt;0,'Template Setup'!$C$6,""),IF($J209&gt;0,'Template Setup'!$C$7,""),IF($K209&gt;0,'Template Setup'!$C$8,"")))</f>
        <v/>
      </c>
      <c r="E209" s="6" t="str" cm="1">
        <f t="array" ref="E209">IF($A209="","",_xlfn.LET(_xlpm.sheets,CHOOSE({1,2,3,4,5},'Template Setup'!$C$4,'Template Setup'!$C$5,'Template Setup'!$C$6,'Template Setup'!$C$7,'Template Setup'!$C$8),_xlpm.nums,CHOOSE({1,2,3,4,5},$L209,$M209,$N209,$O209,$P209),_xlpm.qtys,CHOOSE({1,2,3,4,5},$G209,$H209,$I209,$J209,$K209),_xlpm.validNums,_xlfn._xlws.FILTER(_xlpm.nums,_xlpm.qtys&gt;0),_xlpm.validSheets,_xlfn._xlws.FILTER(_xlpm.sheets,_xlpm.qtys&gt;0),_xlpm.mx,IFERROR(MAX(_xlpm.validNums),0),IF(_xlpm.mx=0,"",INDEX(_xlpm.validSheets,MATCH(_xlpm.mx,_xlpm.validNums,0))&amp;" (+"&amp;$R209&amp;")")))</f>
        <v/>
      </c>
      <c r="F209" s="11" t="str">
        <f t="shared" si="15"/>
        <v/>
      </c>
      <c r="G209" s="12" t="str">
        <f ca="1">IF($A209="","",IFERROR(SUMIF(INDIRECT("'"&amp;'Template Setup'!$C$4&amp;"'!C:C"),$A209,INDIRECT("'"&amp;'Template Setup'!$C$4&amp;"'!A:A")),0))</f>
        <v/>
      </c>
      <c r="H209" s="12" t="str">
        <f ca="1">IF($A209="","",IFERROR(SUMIF(INDIRECT("'"&amp;'Template Setup'!$C$5&amp;"'!C:C"),$A209,INDIRECT("'"&amp;'Template Setup'!$C$5&amp;"'!A:A")),0))</f>
        <v/>
      </c>
      <c r="I209" s="12" t="str">
        <f ca="1">IF($A209="","",IFERROR(SUMIF(INDIRECT("'"&amp;'Template Setup'!$C$6&amp;"'!C:C"),$A209,INDIRECT("'"&amp;'Template Setup'!$C$6&amp;"'!A:A")),0))</f>
        <v/>
      </c>
      <c r="J209" s="12" t="str">
        <f ca="1">IF($A209="","",IFERROR(SUMIF(INDIRECT("'"&amp;'Template Setup'!$C$7&amp;"'!C:C"),$A209,INDIRECT("'"&amp;'Template Setup'!$C$7&amp;"'!A:A")),0))</f>
        <v/>
      </c>
      <c r="K209" s="12" t="str">
        <f ca="1">IF($A209="","",IFERROR(SUMIF(INDIRECT("'"&amp;'Template Setup'!$C$8&amp;"'!C:C"),$A209,INDIRECT("'"&amp;'Template Setup'!$C$8&amp;"'!A:A")),0))</f>
        <v/>
      </c>
      <c r="L209" s="11" t="str">
        <f>IF($A209="","",IFERROR(VALUE(MID(TRIM('Template Setup'!$C$4),FIND("-",TRIM('Template Setup'!$C$4))+1,10)),0))</f>
        <v/>
      </c>
      <c r="M209" s="11" t="str">
        <f>IF($A209="","",IFERROR(VALUE(MID(TRIM('Template Setup'!$C$5),FIND("-",TRIM('Template Setup'!$C$5))+1,10)),0))</f>
        <v/>
      </c>
      <c r="N209" s="11" t="str">
        <f>IF($A209="","",IFERROR(VALUE(MID(TRIM('Template Setup'!$C$6),FIND("-",TRIM('Template Setup'!$C$6))+1,10)),0))</f>
        <v/>
      </c>
      <c r="O209" s="11" t="str">
        <f>IF($A209="","",IFERROR(VALUE(MID(TRIM('Template Setup'!$C$7),FIND("-",TRIM('Template Setup'!$C$7))+1,10)),0))</f>
        <v/>
      </c>
      <c r="P209" s="11" t="str">
        <f>IF($A209="","",IFERROR(VALUE(MID(TRIM('Template Setup'!$C$8),FIND("-",TRIM('Template Setup'!$C$8))+1,10)),0))</f>
        <v/>
      </c>
      <c r="Q209" s="9" t="str">
        <f>IF($A209="","",$A209&amp;"-"&amp;'Template Setup'!$C$16)</f>
        <v/>
      </c>
      <c r="R209" s="24" t="str">
        <f t="shared" si="13"/>
        <v/>
      </c>
      <c r="S209" s="24"/>
      <c r="T209" s="24" t="str">
        <f t="shared" si="14"/>
        <v/>
      </c>
      <c r="U209" s="6" t="str">
        <f t="shared" si="12"/>
        <v/>
      </c>
    </row>
    <row r="210" spans="1:21">
      <c r="A210" s="11"/>
      <c r="B210" s="11"/>
      <c r="C210" s="11"/>
      <c r="D210" s="11" t="str">
        <f>IF($A210="","",_xlfn.TEXTJOIN(", ",TRUE,IF($G210&gt;0,'Template Setup'!$C$4,""),IF($H210&gt;0,'Template Setup'!$C$5,""),IF($I210&gt;0,'Template Setup'!$C$6,""),IF($J210&gt;0,'Template Setup'!$C$7,""),IF($K210&gt;0,'Template Setup'!$C$8,"")))</f>
        <v/>
      </c>
      <c r="E210" s="6" t="str" cm="1">
        <f t="array" ref="E210">IF($A210="","",_xlfn.LET(_xlpm.sheets,CHOOSE({1,2,3,4,5},'Template Setup'!$C$4,'Template Setup'!$C$5,'Template Setup'!$C$6,'Template Setup'!$C$7,'Template Setup'!$C$8),_xlpm.nums,CHOOSE({1,2,3,4,5},$L210,$M210,$N210,$O210,$P210),_xlpm.qtys,CHOOSE({1,2,3,4,5},$G210,$H210,$I210,$J210,$K210),_xlpm.validNums,_xlfn._xlws.FILTER(_xlpm.nums,_xlpm.qtys&gt;0),_xlpm.validSheets,_xlfn._xlws.FILTER(_xlpm.sheets,_xlpm.qtys&gt;0),_xlpm.mx,IFERROR(MAX(_xlpm.validNums),0),IF(_xlpm.mx=0,"",INDEX(_xlpm.validSheets,MATCH(_xlpm.mx,_xlpm.validNums,0))&amp;" (+"&amp;$R210&amp;")")))</f>
        <v/>
      </c>
      <c r="F210" s="11" t="str">
        <f t="shared" si="15"/>
        <v/>
      </c>
      <c r="G210" s="12" t="str">
        <f ca="1">IF($A210="","",IFERROR(SUMIF(INDIRECT("'"&amp;'Template Setup'!$C$4&amp;"'!C:C"),$A210,INDIRECT("'"&amp;'Template Setup'!$C$4&amp;"'!A:A")),0))</f>
        <v/>
      </c>
      <c r="H210" s="12" t="str">
        <f ca="1">IF($A210="","",IFERROR(SUMIF(INDIRECT("'"&amp;'Template Setup'!$C$5&amp;"'!C:C"),$A210,INDIRECT("'"&amp;'Template Setup'!$C$5&amp;"'!A:A")),0))</f>
        <v/>
      </c>
      <c r="I210" s="12" t="str">
        <f ca="1">IF($A210="","",IFERROR(SUMIF(INDIRECT("'"&amp;'Template Setup'!$C$6&amp;"'!C:C"),$A210,INDIRECT("'"&amp;'Template Setup'!$C$6&amp;"'!A:A")),0))</f>
        <v/>
      </c>
      <c r="J210" s="12" t="str">
        <f ca="1">IF($A210="","",IFERROR(SUMIF(INDIRECT("'"&amp;'Template Setup'!$C$7&amp;"'!C:C"),$A210,INDIRECT("'"&amp;'Template Setup'!$C$7&amp;"'!A:A")),0))</f>
        <v/>
      </c>
      <c r="K210" s="12" t="str">
        <f ca="1">IF($A210="","",IFERROR(SUMIF(INDIRECT("'"&amp;'Template Setup'!$C$8&amp;"'!C:C"),$A210,INDIRECT("'"&amp;'Template Setup'!$C$8&amp;"'!A:A")),0))</f>
        <v/>
      </c>
      <c r="L210" s="11" t="str">
        <f>IF($A210="","",IFERROR(VALUE(MID(TRIM('Template Setup'!$C$4),FIND("-",TRIM('Template Setup'!$C$4))+1,10)),0))</f>
        <v/>
      </c>
      <c r="M210" s="11" t="str">
        <f>IF($A210="","",IFERROR(VALUE(MID(TRIM('Template Setup'!$C$5),FIND("-",TRIM('Template Setup'!$C$5))+1,10)),0))</f>
        <v/>
      </c>
      <c r="N210" s="11" t="str">
        <f>IF($A210="","",IFERROR(VALUE(MID(TRIM('Template Setup'!$C$6),FIND("-",TRIM('Template Setup'!$C$6))+1,10)),0))</f>
        <v/>
      </c>
      <c r="O210" s="11" t="str">
        <f>IF($A210="","",IFERROR(VALUE(MID(TRIM('Template Setup'!$C$7),FIND("-",TRIM('Template Setup'!$C$7))+1,10)),0))</f>
        <v/>
      </c>
      <c r="P210" s="11" t="str">
        <f>IF($A210="","",IFERROR(VALUE(MID(TRIM('Template Setup'!$C$8),FIND("-",TRIM('Template Setup'!$C$8))+1,10)),0))</f>
        <v/>
      </c>
      <c r="Q210" s="9" t="str">
        <f>IF($A210="","",$A210&amp;"-"&amp;'Template Setup'!$C$16)</f>
        <v/>
      </c>
      <c r="R210" s="24" t="str">
        <f t="shared" si="13"/>
        <v/>
      </c>
      <c r="S210" s="24"/>
      <c r="T210" s="24" t="str">
        <f t="shared" si="14"/>
        <v/>
      </c>
      <c r="U210" s="6" t="str">
        <f t="shared" ref="U210:U273" si="16">IF($A210="","","☐")</f>
        <v/>
      </c>
    </row>
    <row r="211" spans="1:21">
      <c r="A211" s="11"/>
      <c r="B211" s="11"/>
      <c r="C211" s="11"/>
      <c r="D211" s="11" t="str">
        <f>IF($A211="","",_xlfn.TEXTJOIN(", ",TRUE,IF($G211&gt;0,'Template Setup'!$C$4,""),IF($H211&gt;0,'Template Setup'!$C$5,""),IF($I211&gt;0,'Template Setup'!$C$6,""),IF($J211&gt;0,'Template Setup'!$C$7,""),IF($K211&gt;0,'Template Setup'!$C$8,"")))</f>
        <v/>
      </c>
      <c r="E211" s="6" t="str" cm="1">
        <f t="array" ref="E211">IF($A211="","",_xlfn.LET(_xlpm.sheets,CHOOSE({1,2,3,4,5},'Template Setup'!$C$4,'Template Setup'!$C$5,'Template Setup'!$C$6,'Template Setup'!$C$7,'Template Setup'!$C$8),_xlpm.nums,CHOOSE({1,2,3,4,5},$L211,$M211,$N211,$O211,$P211),_xlpm.qtys,CHOOSE({1,2,3,4,5},$G211,$H211,$I211,$J211,$K211),_xlpm.validNums,_xlfn._xlws.FILTER(_xlpm.nums,_xlpm.qtys&gt;0),_xlpm.validSheets,_xlfn._xlws.FILTER(_xlpm.sheets,_xlpm.qtys&gt;0),_xlpm.mx,IFERROR(MAX(_xlpm.validNums),0),IF(_xlpm.mx=0,"",INDEX(_xlpm.validSheets,MATCH(_xlpm.mx,_xlpm.validNums,0))&amp;" (+"&amp;$R211&amp;")")))</f>
        <v/>
      </c>
      <c r="F211" s="11" t="str">
        <f t="shared" si="15"/>
        <v/>
      </c>
      <c r="G211" s="12" t="str">
        <f ca="1">IF($A211="","",IFERROR(SUMIF(INDIRECT("'"&amp;'Template Setup'!$C$4&amp;"'!C:C"),$A211,INDIRECT("'"&amp;'Template Setup'!$C$4&amp;"'!A:A")),0))</f>
        <v/>
      </c>
      <c r="H211" s="12" t="str">
        <f ca="1">IF($A211="","",IFERROR(SUMIF(INDIRECT("'"&amp;'Template Setup'!$C$5&amp;"'!C:C"),$A211,INDIRECT("'"&amp;'Template Setup'!$C$5&amp;"'!A:A")),0))</f>
        <v/>
      </c>
      <c r="I211" s="12" t="str">
        <f ca="1">IF($A211="","",IFERROR(SUMIF(INDIRECT("'"&amp;'Template Setup'!$C$6&amp;"'!C:C"),$A211,INDIRECT("'"&amp;'Template Setup'!$C$6&amp;"'!A:A")),0))</f>
        <v/>
      </c>
      <c r="J211" s="12" t="str">
        <f ca="1">IF($A211="","",IFERROR(SUMIF(INDIRECT("'"&amp;'Template Setup'!$C$7&amp;"'!C:C"),$A211,INDIRECT("'"&amp;'Template Setup'!$C$7&amp;"'!A:A")),0))</f>
        <v/>
      </c>
      <c r="K211" s="12" t="str">
        <f ca="1">IF($A211="","",IFERROR(SUMIF(INDIRECT("'"&amp;'Template Setup'!$C$8&amp;"'!C:C"),$A211,INDIRECT("'"&amp;'Template Setup'!$C$8&amp;"'!A:A")),0))</f>
        <v/>
      </c>
      <c r="L211" s="11" t="str">
        <f>IF($A211="","",IFERROR(VALUE(MID(TRIM('Template Setup'!$C$4),FIND("-",TRIM('Template Setup'!$C$4))+1,10)),0))</f>
        <v/>
      </c>
      <c r="M211" s="11" t="str">
        <f>IF($A211="","",IFERROR(VALUE(MID(TRIM('Template Setup'!$C$5),FIND("-",TRIM('Template Setup'!$C$5))+1,10)),0))</f>
        <v/>
      </c>
      <c r="N211" s="11" t="str">
        <f>IF($A211="","",IFERROR(VALUE(MID(TRIM('Template Setup'!$C$6),FIND("-",TRIM('Template Setup'!$C$6))+1,10)),0))</f>
        <v/>
      </c>
      <c r="O211" s="11" t="str">
        <f>IF($A211="","",IFERROR(VALUE(MID(TRIM('Template Setup'!$C$7),FIND("-",TRIM('Template Setup'!$C$7))+1,10)),0))</f>
        <v/>
      </c>
      <c r="P211" s="11" t="str">
        <f>IF($A211="","",IFERROR(VALUE(MID(TRIM('Template Setup'!$C$8),FIND("-",TRIM('Template Setup'!$C$8))+1,10)),0))</f>
        <v/>
      </c>
      <c r="Q211" s="9" t="str">
        <f>IF($A211="","",$A211&amp;"-"&amp;'Template Setup'!$C$16)</f>
        <v/>
      </c>
      <c r="R211" s="24" t="str">
        <f t="shared" si="13"/>
        <v/>
      </c>
      <c r="S211" s="24"/>
      <c r="T211" s="24" t="str">
        <f t="shared" si="14"/>
        <v/>
      </c>
      <c r="U211" s="6" t="str">
        <f t="shared" si="16"/>
        <v/>
      </c>
    </row>
    <row r="212" spans="1:21">
      <c r="A212" s="11"/>
      <c r="B212" s="11"/>
      <c r="C212" s="11"/>
      <c r="D212" s="11" t="str">
        <f>IF($A212="","",_xlfn.TEXTJOIN(", ",TRUE,IF($G212&gt;0,'Template Setup'!$C$4,""),IF($H212&gt;0,'Template Setup'!$C$5,""),IF($I212&gt;0,'Template Setup'!$C$6,""),IF($J212&gt;0,'Template Setup'!$C$7,""),IF($K212&gt;0,'Template Setup'!$C$8,"")))</f>
        <v/>
      </c>
      <c r="E212" s="6" t="str" cm="1">
        <f t="array" ref="E212">IF($A212="","",_xlfn.LET(_xlpm.sheets,CHOOSE({1,2,3,4,5},'Template Setup'!$C$4,'Template Setup'!$C$5,'Template Setup'!$C$6,'Template Setup'!$C$7,'Template Setup'!$C$8),_xlpm.nums,CHOOSE({1,2,3,4,5},$L212,$M212,$N212,$O212,$P212),_xlpm.qtys,CHOOSE({1,2,3,4,5},$G212,$H212,$I212,$J212,$K212),_xlpm.validNums,_xlfn._xlws.FILTER(_xlpm.nums,_xlpm.qtys&gt;0),_xlpm.validSheets,_xlfn._xlws.FILTER(_xlpm.sheets,_xlpm.qtys&gt;0),_xlpm.mx,IFERROR(MAX(_xlpm.validNums),0),IF(_xlpm.mx=0,"",INDEX(_xlpm.validSheets,MATCH(_xlpm.mx,_xlpm.validNums,0))&amp;" (+"&amp;$R212&amp;")")))</f>
        <v/>
      </c>
      <c r="F212" s="11" t="str">
        <f t="shared" si="15"/>
        <v/>
      </c>
      <c r="G212" s="12" t="str">
        <f ca="1">IF($A212="","",IFERROR(SUMIF(INDIRECT("'"&amp;'Template Setup'!$C$4&amp;"'!C:C"),$A212,INDIRECT("'"&amp;'Template Setup'!$C$4&amp;"'!A:A")),0))</f>
        <v/>
      </c>
      <c r="H212" s="12" t="str">
        <f ca="1">IF($A212="","",IFERROR(SUMIF(INDIRECT("'"&amp;'Template Setup'!$C$5&amp;"'!C:C"),$A212,INDIRECT("'"&amp;'Template Setup'!$C$5&amp;"'!A:A")),0))</f>
        <v/>
      </c>
      <c r="I212" s="12" t="str">
        <f ca="1">IF($A212="","",IFERROR(SUMIF(INDIRECT("'"&amp;'Template Setup'!$C$6&amp;"'!C:C"),$A212,INDIRECT("'"&amp;'Template Setup'!$C$6&amp;"'!A:A")),0))</f>
        <v/>
      </c>
      <c r="J212" s="12" t="str">
        <f ca="1">IF($A212="","",IFERROR(SUMIF(INDIRECT("'"&amp;'Template Setup'!$C$7&amp;"'!C:C"),$A212,INDIRECT("'"&amp;'Template Setup'!$C$7&amp;"'!A:A")),0))</f>
        <v/>
      </c>
      <c r="K212" s="12" t="str">
        <f ca="1">IF($A212="","",IFERROR(SUMIF(INDIRECT("'"&amp;'Template Setup'!$C$8&amp;"'!C:C"),$A212,INDIRECT("'"&amp;'Template Setup'!$C$8&amp;"'!A:A")),0))</f>
        <v/>
      </c>
      <c r="L212" s="11" t="str">
        <f>IF($A212="","",IFERROR(VALUE(MID(TRIM('Template Setup'!$C$4),FIND("-",TRIM('Template Setup'!$C$4))+1,10)),0))</f>
        <v/>
      </c>
      <c r="M212" s="11" t="str">
        <f>IF($A212="","",IFERROR(VALUE(MID(TRIM('Template Setup'!$C$5),FIND("-",TRIM('Template Setup'!$C$5))+1,10)),0))</f>
        <v/>
      </c>
      <c r="N212" s="11" t="str">
        <f>IF($A212="","",IFERROR(VALUE(MID(TRIM('Template Setup'!$C$6),FIND("-",TRIM('Template Setup'!$C$6))+1,10)),0))</f>
        <v/>
      </c>
      <c r="O212" s="11" t="str">
        <f>IF($A212="","",IFERROR(VALUE(MID(TRIM('Template Setup'!$C$7),FIND("-",TRIM('Template Setup'!$C$7))+1,10)),0))</f>
        <v/>
      </c>
      <c r="P212" s="11" t="str">
        <f>IF($A212="","",IFERROR(VALUE(MID(TRIM('Template Setup'!$C$8),FIND("-",TRIM('Template Setup'!$C$8))+1,10)),0))</f>
        <v/>
      </c>
      <c r="Q212" s="9" t="str">
        <f>IF($A212="","",$A212&amp;"-"&amp;'Template Setup'!$C$16)</f>
        <v/>
      </c>
      <c r="R212" s="24" t="str">
        <f t="shared" si="13"/>
        <v/>
      </c>
      <c r="S212" s="24"/>
      <c r="T212" s="24" t="str">
        <f t="shared" si="14"/>
        <v/>
      </c>
      <c r="U212" s="6" t="str">
        <f t="shared" si="16"/>
        <v/>
      </c>
    </row>
    <row r="213" spans="1:21">
      <c r="A213" s="11"/>
      <c r="B213" s="11"/>
      <c r="C213" s="11"/>
      <c r="D213" s="11" t="str">
        <f>IF($A213="","",_xlfn.TEXTJOIN(", ",TRUE,IF($G213&gt;0,'Template Setup'!$C$4,""),IF($H213&gt;0,'Template Setup'!$C$5,""),IF($I213&gt;0,'Template Setup'!$C$6,""),IF($J213&gt;0,'Template Setup'!$C$7,""),IF($K213&gt;0,'Template Setup'!$C$8,"")))</f>
        <v/>
      </c>
      <c r="E213" s="6" t="str" cm="1">
        <f t="array" ref="E213">IF($A213="","",_xlfn.LET(_xlpm.sheets,CHOOSE({1,2,3,4,5},'Template Setup'!$C$4,'Template Setup'!$C$5,'Template Setup'!$C$6,'Template Setup'!$C$7,'Template Setup'!$C$8),_xlpm.nums,CHOOSE({1,2,3,4,5},$L213,$M213,$N213,$O213,$P213),_xlpm.qtys,CHOOSE({1,2,3,4,5},$G213,$H213,$I213,$J213,$K213),_xlpm.validNums,_xlfn._xlws.FILTER(_xlpm.nums,_xlpm.qtys&gt;0),_xlpm.validSheets,_xlfn._xlws.FILTER(_xlpm.sheets,_xlpm.qtys&gt;0),_xlpm.mx,IFERROR(MAX(_xlpm.validNums),0),IF(_xlpm.mx=0,"",INDEX(_xlpm.validSheets,MATCH(_xlpm.mx,_xlpm.validNums,0))&amp;" (+"&amp;$R213&amp;")")))</f>
        <v/>
      </c>
      <c r="F213" s="11" t="str">
        <f t="shared" si="15"/>
        <v/>
      </c>
      <c r="G213" s="12" t="str">
        <f ca="1">IF($A213="","",IFERROR(SUMIF(INDIRECT("'"&amp;'Template Setup'!$C$4&amp;"'!C:C"),$A213,INDIRECT("'"&amp;'Template Setup'!$C$4&amp;"'!A:A")),0))</f>
        <v/>
      </c>
      <c r="H213" s="12" t="str">
        <f ca="1">IF($A213="","",IFERROR(SUMIF(INDIRECT("'"&amp;'Template Setup'!$C$5&amp;"'!C:C"),$A213,INDIRECT("'"&amp;'Template Setup'!$C$5&amp;"'!A:A")),0))</f>
        <v/>
      </c>
      <c r="I213" s="12" t="str">
        <f ca="1">IF($A213="","",IFERROR(SUMIF(INDIRECT("'"&amp;'Template Setup'!$C$6&amp;"'!C:C"),$A213,INDIRECT("'"&amp;'Template Setup'!$C$6&amp;"'!A:A")),0))</f>
        <v/>
      </c>
      <c r="J213" s="12" t="str">
        <f ca="1">IF($A213="","",IFERROR(SUMIF(INDIRECT("'"&amp;'Template Setup'!$C$7&amp;"'!C:C"),$A213,INDIRECT("'"&amp;'Template Setup'!$C$7&amp;"'!A:A")),0))</f>
        <v/>
      </c>
      <c r="K213" s="12" t="str">
        <f ca="1">IF($A213="","",IFERROR(SUMIF(INDIRECT("'"&amp;'Template Setup'!$C$8&amp;"'!C:C"),$A213,INDIRECT("'"&amp;'Template Setup'!$C$8&amp;"'!A:A")),0))</f>
        <v/>
      </c>
      <c r="L213" s="11" t="str">
        <f>IF($A213="","",IFERROR(VALUE(MID(TRIM('Template Setup'!$C$4),FIND("-",TRIM('Template Setup'!$C$4))+1,10)),0))</f>
        <v/>
      </c>
      <c r="M213" s="11" t="str">
        <f>IF($A213="","",IFERROR(VALUE(MID(TRIM('Template Setup'!$C$5),FIND("-",TRIM('Template Setup'!$C$5))+1,10)),0))</f>
        <v/>
      </c>
      <c r="N213" s="11" t="str">
        <f>IF($A213="","",IFERROR(VALUE(MID(TRIM('Template Setup'!$C$6),FIND("-",TRIM('Template Setup'!$C$6))+1,10)),0))</f>
        <v/>
      </c>
      <c r="O213" s="11" t="str">
        <f>IF($A213="","",IFERROR(VALUE(MID(TRIM('Template Setup'!$C$7),FIND("-",TRIM('Template Setup'!$C$7))+1,10)),0))</f>
        <v/>
      </c>
      <c r="P213" s="11" t="str">
        <f>IF($A213="","",IFERROR(VALUE(MID(TRIM('Template Setup'!$C$8),FIND("-",TRIM('Template Setup'!$C$8))+1,10)),0))</f>
        <v/>
      </c>
      <c r="Q213" s="9" t="str">
        <f>IF($A213="","",$A213&amp;"-"&amp;'Template Setup'!$C$16)</f>
        <v/>
      </c>
      <c r="R213" s="24" t="str">
        <f t="shared" si="13"/>
        <v/>
      </c>
      <c r="S213" s="24"/>
      <c r="T213" s="24" t="str">
        <f t="shared" si="14"/>
        <v/>
      </c>
      <c r="U213" s="6" t="str">
        <f t="shared" si="16"/>
        <v/>
      </c>
    </row>
    <row r="214" spans="1:21">
      <c r="A214" s="11"/>
      <c r="B214" s="11"/>
      <c r="C214" s="11"/>
      <c r="D214" s="11" t="str">
        <f>IF($A214="","",_xlfn.TEXTJOIN(", ",TRUE,IF($G214&gt;0,'Template Setup'!$C$4,""),IF($H214&gt;0,'Template Setup'!$C$5,""),IF($I214&gt;0,'Template Setup'!$C$6,""),IF($J214&gt;0,'Template Setup'!$C$7,""),IF($K214&gt;0,'Template Setup'!$C$8,"")))</f>
        <v/>
      </c>
      <c r="E214" s="6" t="str" cm="1">
        <f t="array" ref="E214">IF($A214="","",_xlfn.LET(_xlpm.sheets,CHOOSE({1,2,3,4,5},'Template Setup'!$C$4,'Template Setup'!$C$5,'Template Setup'!$C$6,'Template Setup'!$C$7,'Template Setup'!$C$8),_xlpm.nums,CHOOSE({1,2,3,4,5},$L214,$M214,$N214,$O214,$P214),_xlpm.qtys,CHOOSE({1,2,3,4,5},$G214,$H214,$I214,$J214,$K214),_xlpm.validNums,_xlfn._xlws.FILTER(_xlpm.nums,_xlpm.qtys&gt;0),_xlpm.validSheets,_xlfn._xlws.FILTER(_xlpm.sheets,_xlpm.qtys&gt;0),_xlpm.mx,IFERROR(MAX(_xlpm.validNums),0),IF(_xlpm.mx=0,"",INDEX(_xlpm.validSheets,MATCH(_xlpm.mx,_xlpm.validNums,0))&amp;" (+"&amp;$R214&amp;")")))</f>
        <v/>
      </c>
      <c r="F214" s="11" t="str">
        <f t="shared" si="15"/>
        <v/>
      </c>
      <c r="G214" s="12" t="str">
        <f ca="1">IF($A214="","",IFERROR(SUMIF(INDIRECT("'"&amp;'Template Setup'!$C$4&amp;"'!C:C"),$A214,INDIRECT("'"&amp;'Template Setup'!$C$4&amp;"'!A:A")),0))</f>
        <v/>
      </c>
      <c r="H214" s="12" t="str">
        <f ca="1">IF($A214="","",IFERROR(SUMIF(INDIRECT("'"&amp;'Template Setup'!$C$5&amp;"'!C:C"),$A214,INDIRECT("'"&amp;'Template Setup'!$C$5&amp;"'!A:A")),0))</f>
        <v/>
      </c>
      <c r="I214" s="12" t="str">
        <f ca="1">IF($A214="","",IFERROR(SUMIF(INDIRECT("'"&amp;'Template Setup'!$C$6&amp;"'!C:C"),$A214,INDIRECT("'"&amp;'Template Setup'!$C$6&amp;"'!A:A")),0))</f>
        <v/>
      </c>
      <c r="J214" s="12" t="str">
        <f ca="1">IF($A214="","",IFERROR(SUMIF(INDIRECT("'"&amp;'Template Setup'!$C$7&amp;"'!C:C"),$A214,INDIRECT("'"&amp;'Template Setup'!$C$7&amp;"'!A:A")),0))</f>
        <v/>
      </c>
      <c r="K214" s="12" t="str">
        <f ca="1">IF($A214="","",IFERROR(SUMIF(INDIRECT("'"&amp;'Template Setup'!$C$8&amp;"'!C:C"),$A214,INDIRECT("'"&amp;'Template Setup'!$C$8&amp;"'!A:A")),0))</f>
        <v/>
      </c>
      <c r="L214" s="11" t="str">
        <f>IF($A214="","",IFERROR(VALUE(MID(TRIM('Template Setup'!$C$4),FIND("-",TRIM('Template Setup'!$C$4))+1,10)),0))</f>
        <v/>
      </c>
      <c r="M214" s="11" t="str">
        <f>IF($A214="","",IFERROR(VALUE(MID(TRIM('Template Setup'!$C$5),FIND("-",TRIM('Template Setup'!$C$5))+1,10)),0))</f>
        <v/>
      </c>
      <c r="N214" s="11" t="str">
        <f>IF($A214="","",IFERROR(VALUE(MID(TRIM('Template Setup'!$C$6),FIND("-",TRIM('Template Setup'!$C$6))+1,10)),0))</f>
        <v/>
      </c>
      <c r="O214" s="11" t="str">
        <f>IF($A214="","",IFERROR(VALUE(MID(TRIM('Template Setup'!$C$7),FIND("-",TRIM('Template Setup'!$C$7))+1,10)),0))</f>
        <v/>
      </c>
      <c r="P214" s="11" t="str">
        <f>IF($A214="","",IFERROR(VALUE(MID(TRIM('Template Setup'!$C$8),FIND("-",TRIM('Template Setup'!$C$8))+1,10)),0))</f>
        <v/>
      </c>
      <c r="Q214" s="9" t="str">
        <f>IF($A214="","",$A214&amp;"-"&amp;'Template Setup'!$C$16)</f>
        <v/>
      </c>
      <c r="R214" s="24" t="str">
        <f t="shared" si="13"/>
        <v/>
      </c>
      <c r="S214" s="24"/>
      <c r="T214" s="24" t="str">
        <f t="shared" si="14"/>
        <v/>
      </c>
      <c r="U214" s="6" t="str">
        <f t="shared" si="16"/>
        <v/>
      </c>
    </row>
    <row r="215" spans="1:21">
      <c r="A215" s="11"/>
      <c r="B215" s="11"/>
      <c r="C215" s="11"/>
      <c r="D215" s="11" t="str">
        <f>IF($A215="","",_xlfn.TEXTJOIN(", ",TRUE,IF($G215&gt;0,'Template Setup'!$C$4,""),IF($H215&gt;0,'Template Setup'!$C$5,""),IF($I215&gt;0,'Template Setup'!$C$6,""),IF($J215&gt;0,'Template Setup'!$C$7,""),IF($K215&gt;0,'Template Setup'!$C$8,"")))</f>
        <v/>
      </c>
      <c r="E215" s="6" t="str" cm="1">
        <f t="array" ref="E215">IF($A215="","",_xlfn.LET(_xlpm.sheets,CHOOSE({1,2,3,4,5},'Template Setup'!$C$4,'Template Setup'!$C$5,'Template Setup'!$C$6,'Template Setup'!$C$7,'Template Setup'!$C$8),_xlpm.nums,CHOOSE({1,2,3,4,5},$L215,$M215,$N215,$O215,$P215),_xlpm.qtys,CHOOSE({1,2,3,4,5},$G215,$H215,$I215,$J215,$K215),_xlpm.validNums,_xlfn._xlws.FILTER(_xlpm.nums,_xlpm.qtys&gt;0),_xlpm.validSheets,_xlfn._xlws.FILTER(_xlpm.sheets,_xlpm.qtys&gt;0),_xlpm.mx,IFERROR(MAX(_xlpm.validNums),0),IF(_xlpm.mx=0,"",INDEX(_xlpm.validSheets,MATCH(_xlpm.mx,_xlpm.validNums,0))&amp;" (+"&amp;$R215&amp;")")))</f>
        <v/>
      </c>
      <c r="F215" s="11" t="str">
        <f t="shared" si="15"/>
        <v/>
      </c>
      <c r="G215" s="12" t="str">
        <f ca="1">IF($A215="","",IFERROR(SUMIF(INDIRECT("'"&amp;'Template Setup'!$C$4&amp;"'!C:C"),$A215,INDIRECT("'"&amp;'Template Setup'!$C$4&amp;"'!A:A")),0))</f>
        <v/>
      </c>
      <c r="H215" s="12" t="str">
        <f ca="1">IF($A215="","",IFERROR(SUMIF(INDIRECT("'"&amp;'Template Setup'!$C$5&amp;"'!C:C"),$A215,INDIRECT("'"&amp;'Template Setup'!$C$5&amp;"'!A:A")),0))</f>
        <v/>
      </c>
      <c r="I215" s="12" t="str">
        <f ca="1">IF($A215="","",IFERROR(SUMIF(INDIRECT("'"&amp;'Template Setup'!$C$6&amp;"'!C:C"),$A215,INDIRECT("'"&amp;'Template Setup'!$C$6&amp;"'!A:A")),0))</f>
        <v/>
      </c>
      <c r="J215" s="12" t="str">
        <f ca="1">IF($A215="","",IFERROR(SUMIF(INDIRECT("'"&amp;'Template Setup'!$C$7&amp;"'!C:C"),$A215,INDIRECT("'"&amp;'Template Setup'!$C$7&amp;"'!A:A")),0))</f>
        <v/>
      </c>
      <c r="K215" s="12" t="str">
        <f ca="1">IF($A215="","",IFERROR(SUMIF(INDIRECT("'"&amp;'Template Setup'!$C$8&amp;"'!C:C"),$A215,INDIRECT("'"&amp;'Template Setup'!$C$8&amp;"'!A:A")),0))</f>
        <v/>
      </c>
      <c r="L215" s="11" t="str">
        <f>IF($A215="","",IFERROR(VALUE(MID(TRIM('Template Setup'!$C$4),FIND("-",TRIM('Template Setup'!$C$4))+1,10)),0))</f>
        <v/>
      </c>
      <c r="M215" s="11" t="str">
        <f>IF($A215="","",IFERROR(VALUE(MID(TRIM('Template Setup'!$C$5),FIND("-",TRIM('Template Setup'!$C$5))+1,10)),0))</f>
        <v/>
      </c>
      <c r="N215" s="11" t="str">
        <f>IF($A215="","",IFERROR(VALUE(MID(TRIM('Template Setup'!$C$6),FIND("-",TRIM('Template Setup'!$C$6))+1,10)),0))</f>
        <v/>
      </c>
      <c r="O215" s="11" t="str">
        <f>IF($A215="","",IFERROR(VALUE(MID(TRIM('Template Setup'!$C$7),FIND("-",TRIM('Template Setup'!$C$7))+1,10)),0))</f>
        <v/>
      </c>
      <c r="P215" s="11" t="str">
        <f>IF($A215="","",IFERROR(VALUE(MID(TRIM('Template Setup'!$C$8),FIND("-",TRIM('Template Setup'!$C$8))+1,10)),0))</f>
        <v/>
      </c>
      <c r="Q215" s="9" t="str">
        <f>IF($A215="","",$A215&amp;"-"&amp;'Template Setup'!$C$16)</f>
        <v/>
      </c>
      <c r="R215" s="24" t="str">
        <f t="shared" si="13"/>
        <v/>
      </c>
      <c r="S215" s="24"/>
      <c r="T215" s="24" t="str">
        <f t="shared" si="14"/>
        <v/>
      </c>
      <c r="U215" s="6" t="str">
        <f t="shared" si="16"/>
        <v/>
      </c>
    </row>
    <row r="216" spans="1:21">
      <c r="A216" s="11"/>
      <c r="B216" s="11"/>
      <c r="C216" s="11"/>
      <c r="D216" s="11" t="str">
        <f>IF($A216="","",_xlfn.TEXTJOIN(", ",TRUE,IF($G216&gt;0,'Template Setup'!$C$4,""),IF($H216&gt;0,'Template Setup'!$C$5,""),IF($I216&gt;0,'Template Setup'!$C$6,""),IF($J216&gt;0,'Template Setup'!$C$7,""),IF($K216&gt;0,'Template Setup'!$C$8,"")))</f>
        <v/>
      </c>
      <c r="E216" s="6" t="str" cm="1">
        <f t="array" ref="E216">IF($A216="","",_xlfn.LET(_xlpm.sheets,CHOOSE({1,2,3,4,5},'Template Setup'!$C$4,'Template Setup'!$C$5,'Template Setup'!$C$6,'Template Setup'!$C$7,'Template Setup'!$C$8),_xlpm.nums,CHOOSE({1,2,3,4,5},$L216,$M216,$N216,$O216,$P216),_xlpm.qtys,CHOOSE({1,2,3,4,5},$G216,$H216,$I216,$J216,$K216),_xlpm.validNums,_xlfn._xlws.FILTER(_xlpm.nums,_xlpm.qtys&gt;0),_xlpm.validSheets,_xlfn._xlws.FILTER(_xlpm.sheets,_xlpm.qtys&gt;0),_xlpm.mx,IFERROR(MAX(_xlpm.validNums),0),IF(_xlpm.mx=0,"",INDEX(_xlpm.validSheets,MATCH(_xlpm.mx,_xlpm.validNums,0))&amp;" (+"&amp;$R216&amp;")")))</f>
        <v/>
      </c>
      <c r="F216" s="11" t="str">
        <f t="shared" si="15"/>
        <v/>
      </c>
      <c r="G216" s="12" t="str">
        <f ca="1">IF($A216="","",IFERROR(SUMIF(INDIRECT("'"&amp;'Template Setup'!$C$4&amp;"'!C:C"),$A216,INDIRECT("'"&amp;'Template Setup'!$C$4&amp;"'!A:A")),0))</f>
        <v/>
      </c>
      <c r="H216" s="12" t="str">
        <f ca="1">IF($A216="","",IFERROR(SUMIF(INDIRECT("'"&amp;'Template Setup'!$C$5&amp;"'!C:C"),$A216,INDIRECT("'"&amp;'Template Setup'!$C$5&amp;"'!A:A")),0))</f>
        <v/>
      </c>
      <c r="I216" s="12" t="str">
        <f ca="1">IF($A216="","",IFERROR(SUMIF(INDIRECT("'"&amp;'Template Setup'!$C$6&amp;"'!C:C"),$A216,INDIRECT("'"&amp;'Template Setup'!$C$6&amp;"'!A:A")),0))</f>
        <v/>
      </c>
      <c r="J216" s="12" t="str">
        <f ca="1">IF($A216="","",IFERROR(SUMIF(INDIRECT("'"&amp;'Template Setup'!$C$7&amp;"'!C:C"),$A216,INDIRECT("'"&amp;'Template Setup'!$C$7&amp;"'!A:A")),0))</f>
        <v/>
      </c>
      <c r="K216" s="12" t="str">
        <f ca="1">IF($A216="","",IFERROR(SUMIF(INDIRECT("'"&amp;'Template Setup'!$C$8&amp;"'!C:C"),$A216,INDIRECT("'"&amp;'Template Setup'!$C$8&amp;"'!A:A")),0))</f>
        <v/>
      </c>
      <c r="L216" s="11" t="str">
        <f>IF($A216="","",IFERROR(VALUE(MID(TRIM('Template Setup'!$C$4),FIND("-",TRIM('Template Setup'!$C$4))+1,10)),0))</f>
        <v/>
      </c>
      <c r="M216" s="11" t="str">
        <f>IF($A216="","",IFERROR(VALUE(MID(TRIM('Template Setup'!$C$5),FIND("-",TRIM('Template Setup'!$C$5))+1,10)),0))</f>
        <v/>
      </c>
      <c r="N216" s="11" t="str">
        <f>IF($A216="","",IFERROR(VALUE(MID(TRIM('Template Setup'!$C$6),FIND("-",TRIM('Template Setup'!$C$6))+1,10)),0))</f>
        <v/>
      </c>
      <c r="O216" s="11" t="str">
        <f>IF($A216="","",IFERROR(VALUE(MID(TRIM('Template Setup'!$C$7),FIND("-",TRIM('Template Setup'!$C$7))+1,10)),0))</f>
        <v/>
      </c>
      <c r="P216" s="11" t="str">
        <f>IF($A216="","",IFERROR(VALUE(MID(TRIM('Template Setup'!$C$8),FIND("-",TRIM('Template Setup'!$C$8))+1,10)),0))</f>
        <v/>
      </c>
      <c r="Q216" s="9" t="str">
        <f>IF($A216="","",$A216&amp;"-"&amp;'Template Setup'!$C$16)</f>
        <v/>
      </c>
      <c r="R216" s="24" t="str">
        <f t="shared" si="13"/>
        <v/>
      </c>
      <c r="S216" s="24"/>
      <c r="T216" s="24" t="str">
        <f t="shared" si="14"/>
        <v/>
      </c>
      <c r="U216" s="6" t="str">
        <f t="shared" si="16"/>
        <v/>
      </c>
    </row>
    <row r="217" spans="1:21">
      <c r="A217" s="11"/>
      <c r="B217" s="11"/>
      <c r="C217" s="11"/>
      <c r="D217" s="11" t="str">
        <f>IF($A217="","",_xlfn.TEXTJOIN(", ",TRUE,IF($G217&gt;0,'Template Setup'!$C$4,""),IF($H217&gt;0,'Template Setup'!$C$5,""),IF($I217&gt;0,'Template Setup'!$C$6,""),IF($J217&gt;0,'Template Setup'!$C$7,""),IF($K217&gt;0,'Template Setup'!$C$8,"")))</f>
        <v/>
      </c>
      <c r="E217" s="6" t="str" cm="1">
        <f t="array" ref="E217">IF($A217="","",_xlfn.LET(_xlpm.sheets,CHOOSE({1,2,3,4,5},'Template Setup'!$C$4,'Template Setup'!$C$5,'Template Setup'!$C$6,'Template Setup'!$C$7,'Template Setup'!$C$8),_xlpm.nums,CHOOSE({1,2,3,4,5},$L217,$M217,$N217,$O217,$P217),_xlpm.qtys,CHOOSE({1,2,3,4,5},$G217,$H217,$I217,$J217,$K217),_xlpm.validNums,_xlfn._xlws.FILTER(_xlpm.nums,_xlpm.qtys&gt;0),_xlpm.validSheets,_xlfn._xlws.FILTER(_xlpm.sheets,_xlpm.qtys&gt;0),_xlpm.mx,IFERROR(MAX(_xlpm.validNums),0),IF(_xlpm.mx=0,"",INDEX(_xlpm.validSheets,MATCH(_xlpm.mx,_xlpm.validNums,0))&amp;" (+"&amp;$R217&amp;")")))</f>
        <v/>
      </c>
      <c r="F217" s="11" t="str">
        <f t="shared" si="15"/>
        <v/>
      </c>
      <c r="G217" s="12" t="str">
        <f ca="1">IF($A217="","",IFERROR(SUMIF(INDIRECT("'"&amp;'Template Setup'!$C$4&amp;"'!C:C"),$A217,INDIRECT("'"&amp;'Template Setup'!$C$4&amp;"'!A:A")),0))</f>
        <v/>
      </c>
      <c r="H217" s="12" t="str">
        <f ca="1">IF($A217="","",IFERROR(SUMIF(INDIRECT("'"&amp;'Template Setup'!$C$5&amp;"'!C:C"),$A217,INDIRECT("'"&amp;'Template Setup'!$C$5&amp;"'!A:A")),0))</f>
        <v/>
      </c>
      <c r="I217" s="12" t="str">
        <f ca="1">IF($A217="","",IFERROR(SUMIF(INDIRECT("'"&amp;'Template Setup'!$C$6&amp;"'!C:C"),$A217,INDIRECT("'"&amp;'Template Setup'!$C$6&amp;"'!A:A")),0))</f>
        <v/>
      </c>
      <c r="J217" s="12" t="str">
        <f ca="1">IF($A217="","",IFERROR(SUMIF(INDIRECT("'"&amp;'Template Setup'!$C$7&amp;"'!C:C"),$A217,INDIRECT("'"&amp;'Template Setup'!$C$7&amp;"'!A:A")),0))</f>
        <v/>
      </c>
      <c r="K217" s="12" t="str">
        <f ca="1">IF($A217="","",IFERROR(SUMIF(INDIRECT("'"&amp;'Template Setup'!$C$8&amp;"'!C:C"),$A217,INDIRECT("'"&amp;'Template Setup'!$C$8&amp;"'!A:A")),0))</f>
        <v/>
      </c>
      <c r="L217" s="11" t="str">
        <f>IF($A217="","",IFERROR(VALUE(MID(TRIM('Template Setup'!$C$4),FIND("-",TRIM('Template Setup'!$C$4))+1,10)),0))</f>
        <v/>
      </c>
      <c r="M217" s="11" t="str">
        <f>IF($A217="","",IFERROR(VALUE(MID(TRIM('Template Setup'!$C$5),FIND("-",TRIM('Template Setup'!$C$5))+1,10)),0))</f>
        <v/>
      </c>
      <c r="N217" s="11" t="str">
        <f>IF($A217="","",IFERROR(VALUE(MID(TRIM('Template Setup'!$C$6),FIND("-",TRIM('Template Setup'!$C$6))+1,10)),0))</f>
        <v/>
      </c>
      <c r="O217" s="11" t="str">
        <f>IF($A217="","",IFERROR(VALUE(MID(TRIM('Template Setup'!$C$7),FIND("-",TRIM('Template Setup'!$C$7))+1,10)),0))</f>
        <v/>
      </c>
      <c r="P217" s="11" t="str">
        <f>IF($A217="","",IFERROR(VALUE(MID(TRIM('Template Setup'!$C$8),FIND("-",TRIM('Template Setup'!$C$8))+1,10)),0))</f>
        <v/>
      </c>
      <c r="Q217" s="9" t="str">
        <f>IF($A217="","",$A217&amp;"-"&amp;'Template Setup'!$C$16)</f>
        <v/>
      </c>
      <c r="R217" s="24" t="str">
        <f t="shared" si="13"/>
        <v/>
      </c>
      <c r="S217" s="24"/>
      <c r="T217" s="24" t="str">
        <f t="shared" si="14"/>
        <v/>
      </c>
      <c r="U217" s="6" t="str">
        <f t="shared" si="16"/>
        <v/>
      </c>
    </row>
    <row r="218" spans="1:21">
      <c r="A218" s="11"/>
      <c r="B218" s="11"/>
      <c r="C218" s="11"/>
      <c r="D218" s="11" t="str">
        <f>IF($A218="","",_xlfn.TEXTJOIN(", ",TRUE,IF($G218&gt;0,'Template Setup'!$C$4,""),IF($H218&gt;0,'Template Setup'!$C$5,""),IF($I218&gt;0,'Template Setup'!$C$6,""),IF($J218&gt;0,'Template Setup'!$C$7,""),IF($K218&gt;0,'Template Setup'!$C$8,"")))</f>
        <v/>
      </c>
      <c r="E218" s="6" t="str" cm="1">
        <f t="array" ref="E218">IF($A218="","",_xlfn.LET(_xlpm.sheets,CHOOSE({1,2,3,4,5},'Template Setup'!$C$4,'Template Setup'!$C$5,'Template Setup'!$C$6,'Template Setup'!$C$7,'Template Setup'!$C$8),_xlpm.nums,CHOOSE({1,2,3,4,5},$L218,$M218,$N218,$O218,$P218),_xlpm.qtys,CHOOSE({1,2,3,4,5},$G218,$H218,$I218,$J218,$K218),_xlpm.validNums,_xlfn._xlws.FILTER(_xlpm.nums,_xlpm.qtys&gt;0),_xlpm.validSheets,_xlfn._xlws.FILTER(_xlpm.sheets,_xlpm.qtys&gt;0),_xlpm.mx,IFERROR(MAX(_xlpm.validNums),0),IF(_xlpm.mx=0,"",INDEX(_xlpm.validSheets,MATCH(_xlpm.mx,_xlpm.validNums,0))&amp;" (+"&amp;$R218&amp;")")))</f>
        <v/>
      </c>
      <c r="F218" s="11" t="str">
        <f t="shared" si="15"/>
        <v/>
      </c>
      <c r="G218" s="12" t="str">
        <f ca="1">IF($A218="","",IFERROR(SUMIF(INDIRECT("'"&amp;'Template Setup'!$C$4&amp;"'!C:C"),$A218,INDIRECT("'"&amp;'Template Setup'!$C$4&amp;"'!A:A")),0))</f>
        <v/>
      </c>
      <c r="H218" s="12" t="str">
        <f ca="1">IF($A218="","",IFERROR(SUMIF(INDIRECT("'"&amp;'Template Setup'!$C$5&amp;"'!C:C"),$A218,INDIRECT("'"&amp;'Template Setup'!$C$5&amp;"'!A:A")),0))</f>
        <v/>
      </c>
      <c r="I218" s="12" t="str">
        <f ca="1">IF($A218="","",IFERROR(SUMIF(INDIRECT("'"&amp;'Template Setup'!$C$6&amp;"'!C:C"),$A218,INDIRECT("'"&amp;'Template Setup'!$C$6&amp;"'!A:A")),0))</f>
        <v/>
      </c>
      <c r="J218" s="12" t="str">
        <f ca="1">IF($A218="","",IFERROR(SUMIF(INDIRECT("'"&amp;'Template Setup'!$C$7&amp;"'!C:C"),$A218,INDIRECT("'"&amp;'Template Setup'!$C$7&amp;"'!A:A")),0))</f>
        <v/>
      </c>
      <c r="K218" s="12" t="str">
        <f ca="1">IF($A218="","",IFERROR(SUMIF(INDIRECT("'"&amp;'Template Setup'!$C$8&amp;"'!C:C"),$A218,INDIRECT("'"&amp;'Template Setup'!$C$8&amp;"'!A:A")),0))</f>
        <v/>
      </c>
      <c r="L218" s="11" t="str">
        <f>IF($A218="","",IFERROR(VALUE(MID(TRIM('Template Setup'!$C$4),FIND("-",TRIM('Template Setup'!$C$4))+1,10)),0))</f>
        <v/>
      </c>
      <c r="M218" s="11" t="str">
        <f>IF($A218="","",IFERROR(VALUE(MID(TRIM('Template Setup'!$C$5),FIND("-",TRIM('Template Setup'!$C$5))+1,10)),0))</f>
        <v/>
      </c>
      <c r="N218" s="11" t="str">
        <f>IF($A218="","",IFERROR(VALUE(MID(TRIM('Template Setup'!$C$6),FIND("-",TRIM('Template Setup'!$C$6))+1,10)),0))</f>
        <v/>
      </c>
      <c r="O218" s="11" t="str">
        <f>IF($A218="","",IFERROR(VALUE(MID(TRIM('Template Setup'!$C$7),FIND("-",TRIM('Template Setup'!$C$7))+1,10)),0))</f>
        <v/>
      </c>
      <c r="P218" s="11" t="str">
        <f>IF($A218="","",IFERROR(VALUE(MID(TRIM('Template Setup'!$C$8),FIND("-",TRIM('Template Setup'!$C$8))+1,10)),0))</f>
        <v/>
      </c>
      <c r="Q218" s="9" t="str">
        <f>IF($A218="","",$A218&amp;"-"&amp;'Template Setup'!$C$16)</f>
        <v/>
      </c>
      <c r="R218" s="24" t="str">
        <f t="shared" si="13"/>
        <v/>
      </c>
      <c r="S218" s="24"/>
      <c r="T218" s="24" t="str">
        <f t="shared" si="14"/>
        <v/>
      </c>
      <c r="U218" s="6" t="str">
        <f t="shared" si="16"/>
        <v/>
      </c>
    </row>
    <row r="219" spans="1:21">
      <c r="A219" s="11"/>
      <c r="B219" s="11"/>
      <c r="C219" s="11"/>
      <c r="D219" s="11" t="str">
        <f>IF($A219="","",_xlfn.TEXTJOIN(", ",TRUE,IF($G219&gt;0,'Template Setup'!$C$4,""),IF($H219&gt;0,'Template Setup'!$C$5,""),IF($I219&gt;0,'Template Setup'!$C$6,""),IF($J219&gt;0,'Template Setup'!$C$7,""),IF($K219&gt;0,'Template Setup'!$C$8,"")))</f>
        <v/>
      </c>
      <c r="E219" s="6" t="str" cm="1">
        <f t="array" ref="E219">IF($A219="","",_xlfn.LET(_xlpm.sheets,CHOOSE({1,2,3,4,5},'Template Setup'!$C$4,'Template Setup'!$C$5,'Template Setup'!$C$6,'Template Setup'!$C$7,'Template Setup'!$C$8),_xlpm.nums,CHOOSE({1,2,3,4,5},$L219,$M219,$N219,$O219,$P219),_xlpm.qtys,CHOOSE({1,2,3,4,5},$G219,$H219,$I219,$J219,$K219),_xlpm.validNums,_xlfn._xlws.FILTER(_xlpm.nums,_xlpm.qtys&gt;0),_xlpm.validSheets,_xlfn._xlws.FILTER(_xlpm.sheets,_xlpm.qtys&gt;0),_xlpm.mx,IFERROR(MAX(_xlpm.validNums),0),IF(_xlpm.mx=0,"",INDEX(_xlpm.validSheets,MATCH(_xlpm.mx,_xlpm.validNums,0))&amp;" (+"&amp;$R219&amp;")")))</f>
        <v/>
      </c>
      <c r="F219" s="11" t="str">
        <f t="shared" si="15"/>
        <v/>
      </c>
      <c r="G219" s="12" t="str">
        <f ca="1">IF($A219="","",IFERROR(SUMIF(INDIRECT("'"&amp;'Template Setup'!$C$4&amp;"'!C:C"),$A219,INDIRECT("'"&amp;'Template Setup'!$C$4&amp;"'!A:A")),0))</f>
        <v/>
      </c>
      <c r="H219" s="12" t="str">
        <f ca="1">IF($A219="","",IFERROR(SUMIF(INDIRECT("'"&amp;'Template Setup'!$C$5&amp;"'!C:C"),$A219,INDIRECT("'"&amp;'Template Setup'!$C$5&amp;"'!A:A")),0))</f>
        <v/>
      </c>
      <c r="I219" s="12" t="str">
        <f ca="1">IF($A219="","",IFERROR(SUMIF(INDIRECT("'"&amp;'Template Setup'!$C$6&amp;"'!C:C"),$A219,INDIRECT("'"&amp;'Template Setup'!$C$6&amp;"'!A:A")),0))</f>
        <v/>
      </c>
      <c r="J219" s="12" t="str">
        <f ca="1">IF($A219="","",IFERROR(SUMIF(INDIRECT("'"&amp;'Template Setup'!$C$7&amp;"'!C:C"),$A219,INDIRECT("'"&amp;'Template Setup'!$C$7&amp;"'!A:A")),0))</f>
        <v/>
      </c>
      <c r="K219" s="12" t="str">
        <f ca="1">IF($A219="","",IFERROR(SUMIF(INDIRECT("'"&amp;'Template Setup'!$C$8&amp;"'!C:C"),$A219,INDIRECT("'"&amp;'Template Setup'!$C$8&amp;"'!A:A")),0))</f>
        <v/>
      </c>
      <c r="L219" s="11" t="str">
        <f>IF($A219="","",IFERROR(VALUE(MID(TRIM('Template Setup'!$C$4),FIND("-",TRIM('Template Setup'!$C$4))+1,10)),0))</f>
        <v/>
      </c>
      <c r="M219" s="11" t="str">
        <f>IF($A219="","",IFERROR(VALUE(MID(TRIM('Template Setup'!$C$5),FIND("-",TRIM('Template Setup'!$C$5))+1,10)),0))</f>
        <v/>
      </c>
      <c r="N219" s="11" t="str">
        <f>IF($A219="","",IFERROR(VALUE(MID(TRIM('Template Setup'!$C$6),FIND("-",TRIM('Template Setup'!$C$6))+1,10)),0))</f>
        <v/>
      </c>
      <c r="O219" s="11" t="str">
        <f>IF($A219="","",IFERROR(VALUE(MID(TRIM('Template Setup'!$C$7),FIND("-",TRIM('Template Setup'!$C$7))+1,10)),0))</f>
        <v/>
      </c>
      <c r="P219" s="11" t="str">
        <f>IF($A219="","",IFERROR(VALUE(MID(TRIM('Template Setup'!$C$8),FIND("-",TRIM('Template Setup'!$C$8))+1,10)),0))</f>
        <v/>
      </c>
      <c r="Q219" s="9" t="str">
        <f>IF($A219="","",$A219&amp;"-"&amp;'Template Setup'!$C$16)</f>
        <v/>
      </c>
      <c r="R219" s="24" t="str">
        <f t="shared" si="13"/>
        <v/>
      </c>
      <c r="S219" s="24"/>
      <c r="T219" s="24" t="str">
        <f t="shared" si="14"/>
        <v/>
      </c>
      <c r="U219" s="6" t="str">
        <f t="shared" si="16"/>
        <v/>
      </c>
    </row>
    <row r="220" spans="1:21">
      <c r="A220" s="11"/>
      <c r="B220" s="11"/>
      <c r="C220" s="11"/>
      <c r="D220" s="11" t="str">
        <f>IF($A220="","",_xlfn.TEXTJOIN(", ",TRUE,IF($G220&gt;0,'Template Setup'!$C$4,""),IF($H220&gt;0,'Template Setup'!$C$5,""),IF($I220&gt;0,'Template Setup'!$C$6,""),IF($J220&gt;0,'Template Setup'!$C$7,""),IF($K220&gt;0,'Template Setup'!$C$8,"")))</f>
        <v/>
      </c>
      <c r="E220" s="6" t="str" cm="1">
        <f t="array" ref="E220">IF($A220="","",_xlfn.LET(_xlpm.sheets,CHOOSE({1,2,3,4,5},'Template Setup'!$C$4,'Template Setup'!$C$5,'Template Setup'!$C$6,'Template Setup'!$C$7,'Template Setup'!$C$8),_xlpm.nums,CHOOSE({1,2,3,4,5},$L220,$M220,$N220,$O220,$P220),_xlpm.qtys,CHOOSE({1,2,3,4,5},$G220,$H220,$I220,$J220,$K220),_xlpm.validNums,_xlfn._xlws.FILTER(_xlpm.nums,_xlpm.qtys&gt;0),_xlpm.validSheets,_xlfn._xlws.FILTER(_xlpm.sheets,_xlpm.qtys&gt;0),_xlpm.mx,IFERROR(MAX(_xlpm.validNums),0),IF(_xlpm.mx=0,"",INDEX(_xlpm.validSheets,MATCH(_xlpm.mx,_xlpm.validNums,0))&amp;" (+"&amp;$R220&amp;")")))</f>
        <v/>
      </c>
      <c r="F220" s="11" t="str">
        <f t="shared" si="15"/>
        <v/>
      </c>
      <c r="G220" s="12" t="str">
        <f ca="1">IF($A220="","",IFERROR(SUMIF(INDIRECT("'"&amp;'Template Setup'!$C$4&amp;"'!C:C"),$A220,INDIRECT("'"&amp;'Template Setup'!$C$4&amp;"'!A:A")),0))</f>
        <v/>
      </c>
      <c r="H220" s="12" t="str">
        <f ca="1">IF($A220="","",IFERROR(SUMIF(INDIRECT("'"&amp;'Template Setup'!$C$5&amp;"'!C:C"),$A220,INDIRECT("'"&amp;'Template Setup'!$C$5&amp;"'!A:A")),0))</f>
        <v/>
      </c>
      <c r="I220" s="12" t="str">
        <f ca="1">IF($A220="","",IFERROR(SUMIF(INDIRECT("'"&amp;'Template Setup'!$C$6&amp;"'!C:C"),$A220,INDIRECT("'"&amp;'Template Setup'!$C$6&amp;"'!A:A")),0))</f>
        <v/>
      </c>
      <c r="J220" s="12" t="str">
        <f ca="1">IF($A220="","",IFERROR(SUMIF(INDIRECT("'"&amp;'Template Setup'!$C$7&amp;"'!C:C"),$A220,INDIRECT("'"&amp;'Template Setup'!$C$7&amp;"'!A:A")),0))</f>
        <v/>
      </c>
      <c r="K220" s="12" t="str">
        <f ca="1">IF($A220="","",IFERROR(SUMIF(INDIRECT("'"&amp;'Template Setup'!$C$8&amp;"'!C:C"),$A220,INDIRECT("'"&amp;'Template Setup'!$C$8&amp;"'!A:A")),0))</f>
        <v/>
      </c>
      <c r="L220" s="11" t="str">
        <f>IF($A220="","",IFERROR(VALUE(MID(TRIM('Template Setup'!$C$4),FIND("-",TRIM('Template Setup'!$C$4))+1,10)),0))</f>
        <v/>
      </c>
      <c r="M220" s="11" t="str">
        <f>IF($A220="","",IFERROR(VALUE(MID(TRIM('Template Setup'!$C$5),FIND("-",TRIM('Template Setup'!$C$5))+1,10)),0))</f>
        <v/>
      </c>
      <c r="N220" s="11" t="str">
        <f>IF($A220="","",IFERROR(VALUE(MID(TRIM('Template Setup'!$C$6),FIND("-",TRIM('Template Setup'!$C$6))+1,10)),0))</f>
        <v/>
      </c>
      <c r="O220" s="11" t="str">
        <f>IF($A220="","",IFERROR(VALUE(MID(TRIM('Template Setup'!$C$7),FIND("-",TRIM('Template Setup'!$C$7))+1,10)),0))</f>
        <v/>
      </c>
      <c r="P220" s="11" t="str">
        <f>IF($A220="","",IFERROR(VALUE(MID(TRIM('Template Setup'!$C$8),FIND("-",TRIM('Template Setup'!$C$8))+1,10)),0))</f>
        <v/>
      </c>
      <c r="Q220" s="9" t="str">
        <f>IF($A220="","",$A220&amp;"-"&amp;'Template Setup'!$C$16)</f>
        <v/>
      </c>
      <c r="R220" s="24" t="str">
        <f t="shared" si="13"/>
        <v/>
      </c>
      <c r="S220" s="24"/>
      <c r="T220" s="24" t="str">
        <f t="shared" si="14"/>
        <v/>
      </c>
      <c r="U220" s="6" t="str">
        <f t="shared" si="16"/>
        <v/>
      </c>
    </row>
    <row r="221" spans="1:21">
      <c r="A221" s="11"/>
      <c r="B221" s="11"/>
      <c r="C221" s="11"/>
      <c r="D221" s="11" t="str">
        <f>IF($A221="","",_xlfn.TEXTJOIN(", ",TRUE,IF($G221&gt;0,'Template Setup'!$C$4,""),IF($H221&gt;0,'Template Setup'!$C$5,""),IF($I221&gt;0,'Template Setup'!$C$6,""),IF($J221&gt;0,'Template Setup'!$C$7,""),IF($K221&gt;0,'Template Setup'!$C$8,"")))</f>
        <v/>
      </c>
      <c r="E221" s="6" t="str" cm="1">
        <f t="array" ref="E221">IF($A221="","",_xlfn.LET(_xlpm.sheets,CHOOSE({1,2,3,4,5},'Template Setup'!$C$4,'Template Setup'!$C$5,'Template Setup'!$C$6,'Template Setup'!$C$7,'Template Setup'!$C$8),_xlpm.nums,CHOOSE({1,2,3,4,5},$L221,$M221,$N221,$O221,$P221),_xlpm.qtys,CHOOSE({1,2,3,4,5},$G221,$H221,$I221,$J221,$K221),_xlpm.validNums,_xlfn._xlws.FILTER(_xlpm.nums,_xlpm.qtys&gt;0),_xlpm.validSheets,_xlfn._xlws.FILTER(_xlpm.sheets,_xlpm.qtys&gt;0),_xlpm.mx,IFERROR(MAX(_xlpm.validNums),0),IF(_xlpm.mx=0,"",INDEX(_xlpm.validSheets,MATCH(_xlpm.mx,_xlpm.validNums,0))&amp;" (+"&amp;$R221&amp;")")))</f>
        <v/>
      </c>
      <c r="F221" s="11" t="str">
        <f t="shared" si="15"/>
        <v/>
      </c>
      <c r="G221" s="12" t="str">
        <f ca="1">IF($A221="","",IFERROR(SUMIF(INDIRECT("'"&amp;'Template Setup'!$C$4&amp;"'!C:C"),$A221,INDIRECT("'"&amp;'Template Setup'!$C$4&amp;"'!A:A")),0))</f>
        <v/>
      </c>
      <c r="H221" s="12" t="str">
        <f ca="1">IF($A221="","",IFERROR(SUMIF(INDIRECT("'"&amp;'Template Setup'!$C$5&amp;"'!C:C"),$A221,INDIRECT("'"&amp;'Template Setup'!$C$5&amp;"'!A:A")),0))</f>
        <v/>
      </c>
      <c r="I221" s="12" t="str">
        <f ca="1">IF($A221="","",IFERROR(SUMIF(INDIRECT("'"&amp;'Template Setup'!$C$6&amp;"'!C:C"),$A221,INDIRECT("'"&amp;'Template Setup'!$C$6&amp;"'!A:A")),0))</f>
        <v/>
      </c>
      <c r="J221" s="12" t="str">
        <f ca="1">IF($A221="","",IFERROR(SUMIF(INDIRECT("'"&amp;'Template Setup'!$C$7&amp;"'!C:C"),$A221,INDIRECT("'"&amp;'Template Setup'!$C$7&amp;"'!A:A")),0))</f>
        <v/>
      </c>
      <c r="K221" s="12" t="str">
        <f ca="1">IF($A221="","",IFERROR(SUMIF(INDIRECT("'"&amp;'Template Setup'!$C$8&amp;"'!C:C"),$A221,INDIRECT("'"&amp;'Template Setup'!$C$8&amp;"'!A:A")),0))</f>
        <v/>
      </c>
      <c r="L221" s="11" t="str">
        <f>IF($A221="","",IFERROR(VALUE(MID(TRIM('Template Setup'!$C$4),FIND("-",TRIM('Template Setup'!$C$4))+1,10)),0))</f>
        <v/>
      </c>
      <c r="M221" s="11" t="str">
        <f>IF($A221="","",IFERROR(VALUE(MID(TRIM('Template Setup'!$C$5),FIND("-",TRIM('Template Setup'!$C$5))+1,10)),0))</f>
        <v/>
      </c>
      <c r="N221" s="11" t="str">
        <f>IF($A221="","",IFERROR(VALUE(MID(TRIM('Template Setup'!$C$6),FIND("-",TRIM('Template Setup'!$C$6))+1,10)),0))</f>
        <v/>
      </c>
      <c r="O221" s="11" t="str">
        <f>IF($A221="","",IFERROR(VALUE(MID(TRIM('Template Setup'!$C$7),FIND("-",TRIM('Template Setup'!$C$7))+1,10)),0))</f>
        <v/>
      </c>
      <c r="P221" s="11" t="str">
        <f>IF($A221="","",IFERROR(VALUE(MID(TRIM('Template Setup'!$C$8),FIND("-",TRIM('Template Setup'!$C$8))+1,10)),0))</f>
        <v/>
      </c>
      <c r="Q221" s="9" t="str">
        <f>IF($A221="","",$A221&amp;"-"&amp;'Template Setup'!$C$16)</f>
        <v/>
      </c>
      <c r="R221" s="24" t="str">
        <f t="shared" si="13"/>
        <v/>
      </c>
      <c r="S221" s="24"/>
      <c r="T221" s="24" t="str">
        <f t="shared" si="14"/>
        <v/>
      </c>
      <c r="U221" s="6" t="str">
        <f t="shared" si="16"/>
        <v/>
      </c>
    </row>
    <row r="222" spans="1:21">
      <c r="A222" s="11"/>
      <c r="B222" s="11"/>
      <c r="C222" s="11"/>
      <c r="D222" s="11" t="str">
        <f>IF($A222="","",_xlfn.TEXTJOIN(", ",TRUE,IF($G222&gt;0,'Template Setup'!$C$4,""),IF($H222&gt;0,'Template Setup'!$C$5,""),IF($I222&gt;0,'Template Setup'!$C$6,""),IF($J222&gt;0,'Template Setup'!$C$7,""),IF($K222&gt;0,'Template Setup'!$C$8,"")))</f>
        <v/>
      </c>
      <c r="E222" s="6" t="str" cm="1">
        <f t="array" ref="E222">IF($A222="","",_xlfn.LET(_xlpm.sheets,CHOOSE({1,2,3,4,5},'Template Setup'!$C$4,'Template Setup'!$C$5,'Template Setup'!$C$6,'Template Setup'!$C$7,'Template Setup'!$C$8),_xlpm.nums,CHOOSE({1,2,3,4,5},$L222,$M222,$N222,$O222,$P222),_xlpm.qtys,CHOOSE({1,2,3,4,5},$G222,$H222,$I222,$J222,$K222),_xlpm.validNums,_xlfn._xlws.FILTER(_xlpm.nums,_xlpm.qtys&gt;0),_xlpm.validSheets,_xlfn._xlws.FILTER(_xlpm.sheets,_xlpm.qtys&gt;0),_xlpm.mx,IFERROR(MAX(_xlpm.validNums),0),IF(_xlpm.mx=0,"",INDEX(_xlpm.validSheets,MATCH(_xlpm.mx,_xlpm.validNums,0))&amp;" (+"&amp;$R222&amp;")")))</f>
        <v/>
      </c>
      <c r="F222" s="11" t="str">
        <f t="shared" si="15"/>
        <v/>
      </c>
      <c r="G222" s="12" t="str">
        <f ca="1">IF($A222="","",IFERROR(SUMIF(INDIRECT("'"&amp;'Template Setup'!$C$4&amp;"'!C:C"),$A222,INDIRECT("'"&amp;'Template Setup'!$C$4&amp;"'!A:A")),0))</f>
        <v/>
      </c>
      <c r="H222" s="12" t="str">
        <f ca="1">IF($A222="","",IFERROR(SUMIF(INDIRECT("'"&amp;'Template Setup'!$C$5&amp;"'!C:C"),$A222,INDIRECT("'"&amp;'Template Setup'!$C$5&amp;"'!A:A")),0))</f>
        <v/>
      </c>
      <c r="I222" s="12" t="str">
        <f ca="1">IF($A222="","",IFERROR(SUMIF(INDIRECT("'"&amp;'Template Setup'!$C$6&amp;"'!C:C"),$A222,INDIRECT("'"&amp;'Template Setup'!$C$6&amp;"'!A:A")),0))</f>
        <v/>
      </c>
      <c r="J222" s="12" t="str">
        <f ca="1">IF($A222="","",IFERROR(SUMIF(INDIRECT("'"&amp;'Template Setup'!$C$7&amp;"'!C:C"),$A222,INDIRECT("'"&amp;'Template Setup'!$C$7&amp;"'!A:A")),0))</f>
        <v/>
      </c>
      <c r="K222" s="12" t="str">
        <f ca="1">IF($A222="","",IFERROR(SUMIF(INDIRECT("'"&amp;'Template Setup'!$C$8&amp;"'!C:C"),$A222,INDIRECT("'"&amp;'Template Setup'!$C$8&amp;"'!A:A")),0))</f>
        <v/>
      </c>
      <c r="L222" s="11" t="str">
        <f>IF($A222="","",IFERROR(VALUE(MID(TRIM('Template Setup'!$C$4),FIND("-",TRIM('Template Setup'!$C$4))+1,10)),0))</f>
        <v/>
      </c>
      <c r="M222" s="11" t="str">
        <f>IF($A222="","",IFERROR(VALUE(MID(TRIM('Template Setup'!$C$5),FIND("-",TRIM('Template Setup'!$C$5))+1,10)),0))</f>
        <v/>
      </c>
      <c r="N222" s="11" t="str">
        <f>IF($A222="","",IFERROR(VALUE(MID(TRIM('Template Setup'!$C$6),FIND("-",TRIM('Template Setup'!$C$6))+1,10)),0))</f>
        <v/>
      </c>
      <c r="O222" s="11" t="str">
        <f>IF($A222="","",IFERROR(VALUE(MID(TRIM('Template Setup'!$C$7),FIND("-",TRIM('Template Setup'!$C$7))+1,10)),0))</f>
        <v/>
      </c>
      <c r="P222" s="11" t="str">
        <f>IF($A222="","",IFERROR(VALUE(MID(TRIM('Template Setup'!$C$8),FIND("-",TRIM('Template Setup'!$C$8))+1,10)),0))</f>
        <v/>
      </c>
      <c r="Q222" s="9" t="str">
        <f>IF($A222="","",$A222&amp;"-"&amp;'Template Setup'!$C$16)</f>
        <v/>
      </c>
      <c r="R222" s="24" t="str">
        <f t="shared" si="13"/>
        <v/>
      </c>
      <c r="S222" s="24"/>
      <c r="T222" s="24" t="str">
        <f t="shared" si="14"/>
        <v/>
      </c>
      <c r="U222" s="6" t="str">
        <f t="shared" si="16"/>
        <v/>
      </c>
    </row>
    <row r="223" spans="1:21">
      <c r="A223" s="11"/>
      <c r="B223" s="11"/>
      <c r="C223" s="11"/>
      <c r="D223" s="11" t="str">
        <f>IF($A223="","",_xlfn.TEXTJOIN(", ",TRUE,IF($G223&gt;0,'Template Setup'!$C$4,""),IF($H223&gt;0,'Template Setup'!$C$5,""),IF($I223&gt;0,'Template Setup'!$C$6,""),IF($J223&gt;0,'Template Setup'!$C$7,""),IF($K223&gt;0,'Template Setup'!$C$8,"")))</f>
        <v/>
      </c>
      <c r="E223" s="6" t="str" cm="1">
        <f t="array" ref="E223">IF($A223="","",_xlfn.LET(_xlpm.sheets,CHOOSE({1,2,3,4,5},'Template Setup'!$C$4,'Template Setup'!$C$5,'Template Setup'!$C$6,'Template Setup'!$C$7,'Template Setup'!$C$8),_xlpm.nums,CHOOSE({1,2,3,4,5},$L223,$M223,$N223,$O223,$P223),_xlpm.qtys,CHOOSE({1,2,3,4,5},$G223,$H223,$I223,$J223,$K223),_xlpm.validNums,_xlfn._xlws.FILTER(_xlpm.nums,_xlpm.qtys&gt;0),_xlpm.validSheets,_xlfn._xlws.FILTER(_xlpm.sheets,_xlpm.qtys&gt;0),_xlpm.mx,IFERROR(MAX(_xlpm.validNums),0),IF(_xlpm.mx=0,"",INDEX(_xlpm.validSheets,MATCH(_xlpm.mx,_xlpm.validNums,0))&amp;" (+"&amp;$R223&amp;")")))</f>
        <v/>
      </c>
      <c r="F223" s="11" t="str">
        <f t="shared" si="15"/>
        <v/>
      </c>
      <c r="G223" s="12" t="str">
        <f ca="1">IF($A223="","",IFERROR(SUMIF(INDIRECT("'"&amp;'Template Setup'!$C$4&amp;"'!C:C"),$A223,INDIRECT("'"&amp;'Template Setup'!$C$4&amp;"'!A:A")),0))</f>
        <v/>
      </c>
      <c r="H223" s="12" t="str">
        <f ca="1">IF($A223="","",IFERROR(SUMIF(INDIRECT("'"&amp;'Template Setup'!$C$5&amp;"'!C:C"),$A223,INDIRECT("'"&amp;'Template Setup'!$C$5&amp;"'!A:A")),0))</f>
        <v/>
      </c>
      <c r="I223" s="12" t="str">
        <f ca="1">IF($A223="","",IFERROR(SUMIF(INDIRECT("'"&amp;'Template Setup'!$C$6&amp;"'!C:C"),$A223,INDIRECT("'"&amp;'Template Setup'!$C$6&amp;"'!A:A")),0))</f>
        <v/>
      </c>
      <c r="J223" s="12" t="str">
        <f ca="1">IF($A223="","",IFERROR(SUMIF(INDIRECT("'"&amp;'Template Setup'!$C$7&amp;"'!C:C"),$A223,INDIRECT("'"&amp;'Template Setup'!$C$7&amp;"'!A:A")),0))</f>
        <v/>
      </c>
      <c r="K223" s="12" t="str">
        <f ca="1">IF($A223="","",IFERROR(SUMIF(INDIRECT("'"&amp;'Template Setup'!$C$8&amp;"'!C:C"),$A223,INDIRECT("'"&amp;'Template Setup'!$C$8&amp;"'!A:A")),0))</f>
        <v/>
      </c>
      <c r="L223" s="11" t="str">
        <f>IF($A223="","",IFERROR(VALUE(MID(TRIM('Template Setup'!$C$4),FIND("-",TRIM('Template Setup'!$C$4))+1,10)),0))</f>
        <v/>
      </c>
      <c r="M223" s="11" t="str">
        <f>IF($A223="","",IFERROR(VALUE(MID(TRIM('Template Setup'!$C$5),FIND("-",TRIM('Template Setup'!$C$5))+1,10)),0))</f>
        <v/>
      </c>
      <c r="N223" s="11" t="str">
        <f>IF($A223="","",IFERROR(VALUE(MID(TRIM('Template Setup'!$C$6),FIND("-",TRIM('Template Setup'!$C$6))+1,10)),0))</f>
        <v/>
      </c>
      <c r="O223" s="11" t="str">
        <f>IF($A223="","",IFERROR(VALUE(MID(TRIM('Template Setup'!$C$7),FIND("-",TRIM('Template Setup'!$C$7))+1,10)),0))</f>
        <v/>
      </c>
      <c r="P223" s="11" t="str">
        <f>IF($A223="","",IFERROR(VALUE(MID(TRIM('Template Setup'!$C$8),FIND("-",TRIM('Template Setup'!$C$8))+1,10)),0))</f>
        <v/>
      </c>
      <c r="Q223" s="9" t="str">
        <f>IF($A223="","",$A223&amp;"-"&amp;'Template Setup'!$C$16)</f>
        <v/>
      </c>
      <c r="R223" s="24" t="str">
        <f t="shared" si="13"/>
        <v/>
      </c>
      <c r="S223" s="24"/>
      <c r="T223" s="24" t="str">
        <f t="shared" si="14"/>
        <v/>
      </c>
      <c r="U223" s="6" t="str">
        <f t="shared" si="16"/>
        <v/>
      </c>
    </row>
    <row r="224" spans="1:21">
      <c r="A224" s="11"/>
      <c r="B224" s="11"/>
      <c r="C224" s="11"/>
      <c r="D224" s="11" t="str">
        <f>IF($A224="","",_xlfn.TEXTJOIN(", ",TRUE,IF($G224&gt;0,'Template Setup'!$C$4,""),IF($H224&gt;0,'Template Setup'!$C$5,""),IF($I224&gt;0,'Template Setup'!$C$6,""),IF($J224&gt;0,'Template Setup'!$C$7,""),IF($K224&gt;0,'Template Setup'!$C$8,"")))</f>
        <v/>
      </c>
      <c r="E224" s="6" t="str" cm="1">
        <f t="array" ref="E224">IF($A224="","",_xlfn.LET(_xlpm.sheets,CHOOSE({1,2,3,4,5},'Template Setup'!$C$4,'Template Setup'!$C$5,'Template Setup'!$C$6,'Template Setup'!$C$7,'Template Setup'!$C$8),_xlpm.nums,CHOOSE({1,2,3,4,5},$L224,$M224,$N224,$O224,$P224),_xlpm.qtys,CHOOSE({1,2,3,4,5},$G224,$H224,$I224,$J224,$K224),_xlpm.validNums,_xlfn._xlws.FILTER(_xlpm.nums,_xlpm.qtys&gt;0),_xlpm.validSheets,_xlfn._xlws.FILTER(_xlpm.sheets,_xlpm.qtys&gt;0),_xlpm.mx,IFERROR(MAX(_xlpm.validNums),0),IF(_xlpm.mx=0,"",INDEX(_xlpm.validSheets,MATCH(_xlpm.mx,_xlpm.validNums,0))&amp;" (+"&amp;$R224&amp;")")))</f>
        <v/>
      </c>
      <c r="F224" s="11" t="str">
        <f t="shared" si="15"/>
        <v/>
      </c>
      <c r="G224" s="12" t="str">
        <f ca="1">IF($A224="","",IFERROR(SUMIF(INDIRECT("'"&amp;'Template Setup'!$C$4&amp;"'!C:C"),$A224,INDIRECT("'"&amp;'Template Setup'!$C$4&amp;"'!A:A")),0))</f>
        <v/>
      </c>
      <c r="H224" s="12" t="str">
        <f ca="1">IF($A224="","",IFERROR(SUMIF(INDIRECT("'"&amp;'Template Setup'!$C$5&amp;"'!C:C"),$A224,INDIRECT("'"&amp;'Template Setup'!$C$5&amp;"'!A:A")),0))</f>
        <v/>
      </c>
      <c r="I224" s="12" t="str">
        <f ca="1">IF($A224="","",IFERROR(SUMIF(INDIRECT("'"&amp;'Template Setup'!$C$6&amp;"'!C:C"),$A224,INDIRECT("'"&amp;'Template Setup'!$C$6&amp;"'!A:A")),0))</f>
        <v/>
      </c>
      <c r="J224" s="12" t="str">
        <f ca="1">IF($A224="","",IFERROR(SUMIF(INDIRECT("'"&amp;'Template Setup'!$C$7&amp;"'!C:C"),$A224,INDIRECT("'"&amp;'Template Setup'!$C$7&amp;"'!A:A")),0))</f>
        <v/>
      </c>
      <c r="K224" s="12" t="str">
        <f ca="1">IF($A224="","",IFERROR(SUMIF(INDIRECT("'"&amp;'Template Setup'!$C$8&amp;"'!C:C"),$A224,INDIRECT("'"&amp;'Template Setup'!$C$8&amp;"'!A:A")),0))</f>
        <v/>
      </c>
      <c r="L224" s="11" t="str">
        <f>IF($A224="","",IFERROR(VALUE(MID(TRIM('Template Setup'!$C$4),FIND("-",TRIM('Template Setup'!$C$4))+1,10)),0))</f>
        <v/>
      </c>
      <c r="M224" s="11" t="str">
        <f>IF($A224="","",IFERROR(VALUE(MID(TRIM('Template Setup'!$C$5),FIND("-",TRIM('Template Setup'!$C$5))+1,10)),0))</f>
        <v/>
      </c>
      <c r="N224" s="11" t="str">
        <f>IF($A224="","",IFERROR(VALUE(MID(TRIM('Template Setup'!$C$6),FIND("-",TRIM('Template Setup'!$C$6))+1,10)),0))</f>
        <v/>
      </c>
      <c r="O224" s="11" t="str">
        <f>IF($A224="","",IFERROR(VALUE(MID(TRIM('Template Setup'!$C$7),FIND("-",TRIM('Template Setup'!$C$7))+1,10)),0))</f>
        <v/>
      </c>
      <c r="P224" s="11" t="str">
        <f>IF($A224="","",IFERROR(VALUE(MID(TRIM('Template Setup'!$C$8),FIND("-",TRIM('Template Setup'!$C$8))+1,10)),0))</f>
        <v/>
      </c>
      <c r="Q224" s="9" t="str">
        <f>IF($A224="","",$A224&amp;"-"&amp;'Template Setup'!$C$16)</f>
        <v/>
      </c>
      <c r="R224" s="24" t="str">
        <f t="shared" si="13"/>
        <v/>
      </c>
      <c r="S224" s="24"/>
      <c r="T224" s="24" t="str">
        <f t="shared" si="14"/>
        <v/>
      </c>
      <c r="U224" s="6" t="str">
        <f t="shared" si="16"/>
        <v/>
      </c>
    </row>
    <row r="225" spans="1:21">
      <c r="A225" s="11"/>
      <c r="B225" s="11"/>
      <c r="C225" s="11"/>
      <c r="D225" s="11" t="str">
        <f>IF($A225="","",_xlfn.TEXTJOIN(", ",TRUE,IF($G225&gt;0,'Template Setup'!$C$4,""),IF($H225&gt;0,'Template Setup'!$C$5,""),IF($I225&gt;0,'Template Setup'!$C$6,""),IF($J225&gt;0,'Template Setup'!$C$7,""),IF($K225&gt;0,'Template Setup'!$C$8,"")))</f>
        <v/>
      </c>
      <c r="E225" s="6" t="str" cm="1">
        <f t="array" ref="E225">IF($A225="","",_xlfn.LET(_xlpm.sheets,CHOOSE({1,2,3,4,5},'Template Setup'!$C$4,'Template Setup'!$C$5,'Template Setup'!$C$6,'Template Setup'!$C$7,'Template Setup'!$C$8),_xlpm.nums,CHOOSE({1,2,3,4,5},$L225,$M225,$N225,$O225,$P225),_xlpm.qtys,CHOOSE({1,2,3,4,5},$G225,$H225,$I225,$J225,$K225),_xlpm.validNums,_xlfn._xlws.FILTER(_xlpm.nums,_xlpm.qtys&gt;0),_xlpm.validSheets,_xlfn._xlws.FILTER(_xlpm.sheets,_xlpm.qtys&gt;0),_xlpm.mx,IFERROR(MAX(_xlpm.validNums),0),IF(_xlpm.mx=0,"",INDEX(_xlpm.validSheets,MATCH(_xlpm.mx,_xlpm.validNums,0))&amp;" (+"&amp;$R225&amp;")")))</f>
        <v/>
      </c>
      <c r="F225" s="11" t="str">
        <f t="shared" si="15"/>
        <v/>
      </c>
      <c r="G225" s="12" t="str">
        <f ca="1">IF($A225="","",IFERROR(SUMIF(INDIRECT("'"&amp;'Template Setup'!$C$4&amp;"'!C:C"),$A225,INDIRECT("'"&amp;'Template Setup'!$C$4&amp;"'!A:A")),0))</f>
        <v/>
      </c>
      <c r="H225" s="12" t="str">
        <f ca="1">IF($A225="","",IFERROR(SUMIF(INDIRECT("'"&amp;'Template Setup'!$C$5&amp;"'!C:C"),$A225,INDIRECT("'"&amp;'Template Setup'!$C$5&amp;"'!A:A")),0))</f>
        <v/>
      </c>
      <c r="I225" s="12" t="str">
        <f ca="1">IF($A225="","",IFERROR(SUMIF(INDIRECT("'"&amp;'Template Setup'!$C$6&amp;"'!C:C"),$A225,INDIRECT("'"&amp;'Template Setup'!$C$6&amp;"'!A:A")),0))</f>
        <v/>
      </c>
      <c r="J225" s="12" t="str">
        <f ca="1">IF($A225="","",IFERROR(SUMIF(INDIRECT("'"&amp;'Template Setup'!$C$7&amp;"'!C:C"),$A225,INDIRECT("'"&amp;'Template Setup'!$C$7&amp;"'!A:A")),0))</f>
        <v/>
      </c>
      <c r="K225" s="12" t="str">
        <f ca="1">IF($A225="","",IFERROR(SUMIF(INDIRECT("'"&amp;'Template Setup'!$C$8&amp;"'!C:C"),$A225,INDIRECT("'"&amp;'Template Setup'!$C$8&amp;"'!A:A")),0))</f>
        <v/>
      </c>
      <c r="L225" s="11" t="str">
        <f>IF($A225="","",IFERROR(VALUE(MID(TRIM('Template Setup'!$C$4),FIND("-",TRIM('Template Setup'!$C$4))+1,10)),0))</f>
        <v/>
      </c>
      <c r="M225" s="11" t="str">
        <f>IF($A225="","",IFERROR(VALUE(MID(TRIM('Template Setup'!$C$5),FIND("-",TRIM('Template Setup'!$C$5))+1,10)),0))</f>
        <v/>
      </c>
      <c r="N225" s="11" t="str">
        <f>IF($A225="","",IFERROR(VALUE(MID(TRIM('Template Setup'!$C$6),FIND("-",TRIM('Template Setup'!$C$6))+1,10)),0))</f>
        <v/>
      </c>
      <c r="O225" s="11" t="str">
        <f>IF($A225="","",IFERROR(VALUE(MID(TRIM('Template Setup'!$C$7),FIND("-",TRIM('Template Setup'!$C$7))+1,10)),0))</f>
        <v/>
      </c>
      <c r="P225" s="11" t="str">
        <f>IF($A225="","",IFERROR(VALUE(MID(TRIM('Template Setup'!$C$8),FIND("-",TRIM('Template Setup'!$C$8))+1,10)),0))</f>
        <v/>
      </c>
      <c r="Q225" s="9" t="str">
        <f>IF($A225="","",$A225&amp;"-"&amp;'Template Setup'!$C$16)</f>
        <v/>
      </c>
      <c r="R225" s="24" t="str">
        <f t="shared" si="13"/>
        <v/>
      </c>
      <c r="S225" s="24"/>
      <c r="T225" s="24" t="str">
        <f t="shared" si="14"/>
        <v/>
      </c>
      <c r="U225" s="6" t="str">
        <f t="shared" si="16"/>
        <v/>
      </c>
    </row>
    <row r="226" spans="1:21">
      <c r="A226" s="11"/>
      <c r="B226" s="11"/>
      <c r="C226" s="11"/>
      <c r="D226" s="11" t="str">
        <f>IF($A226="","",_xlfn.TEXTJOIN(", ",TRUE,IF($G226&gt;0,'Template Setup'!$C$4,""),IF($H226&gt;0,'Template Setup'!$C$5,""),IF($I226&gt;0,'Template Setup'!$C$6,""),IF($J226&gt;0,'Template Setup'!$C$7,""),IF($K226&gt;0,'Template Setup'!$C$8,"")))</f>
        <v/>
      </c>
      <c r="E226" s="6" t="str" cm="1">
        <f t="array" ref="E226">IF($A226="","",_xlfn.LET(_xlpm.sheets,CHOOSE({1,2,3,4,5},'Template Setup'!$C$4,'Template Setup'!$C$5,'Template Setup'!$C$6,'Template Setup'!$C$7,'Template Setup'!$C$8),_xlpm.nums,CHOOSE({1,2,3,4,5},$L226,$M226,$N226,$O226,$P226),_xlpm.qtys,CHOOSE({1,2,3,4,5},$G226,$H226,$I226,$J226,$K226),_xlpm.validNums,_xlfn._xlws.FILTER(_xlpm.nums,_xlpm.qtys&gt;0),_xlpm.validSheets,_xlfn._xlws.FILTER(_xlpm.sheets,_xlpm.qtys&gt;0),_xlpm.mx,IFERROR(MAX(_xlpm.validNums),0),IF(_xlpm.mx=0,"",INDEX(_xlpm.validSheets,MATCH(_xlpm.mx,_xlpm.validNums,0))&amp;" (+"&amp;$R226&amp;")")))</f>
        <v/>
      </c>
      <c r="F226" s="11" t="str">
        <f t="shared" si="15"/>
        <v/>
      </c>
      <c r="G226" s="12" t="str">
        <f ca="1">IF($A226="","",IFERROR(SUMIF(INDIRECT("'"&amp;'Template Setup'!$C$4&amp;"'!C:C"),$A226,INDIRECT("'"&amp;'Template Setup'!$C$4&amp;"'!A:A")),0))</f>
        <v/>
      </c>
      <c r="H226" s="12" t="str">
        <f ca="1">IF($A226="","",IFERROR(SUMIF(INDIRECT("'"&amp;'Template Setup'!$C$5&amp;"'!C:C"),$A226,INDIRECT("'"&amp;'Template Setup'!$C$5&amp;"'!A:A")),0))</f>
        <v/>
      </c>
      <c r="I226" s="12" t="str">
        <f ca="1">IF($A226="","",IFERROR(SUMIF(INDIRECT("'"&amp;'Template Setup'!$C$6&amp;"'!C:C"),$A226,INDIRECT("'"&amp;'Template Setup'!$C$6&amp;"'!A:A")),0))</f>
        <v/>
      </c>
      <c r="J226" s="12" t="str">
        <f ca="1">IF($A226="","",IFERROR(SUMIF(INDIRECT("'"&amp;'Template Setup'!$C$7&amp;"'!C:C"),$A226,INDIRECT("'"&amp;'Template Setup'!$C$7&amp;"'!A:A")),0))</f>
        <v/>
      </c>
      <c r="K226" s="12" t="str">
        <f ca="1">IF($A226="","",IFERROR(SUMIF(INDIRECT("'"&amp;'Template Setup'!$C$8&amp;"'!C:C"),$A226,INDIRECT("'"&amp;'Template Setup'!$C$8&amp;"'!A:A")),0))</f>
        <v/>
      </c>
      <c r="L226" s="11" t="str">
        <f>IF($A226="","",IFERROR(VALUE(MID(TRIM('Template Setup'!$C$4),FIND("-",TRIM('Template Setup'!$C$4))+1,10)),0))</f>
        <v/>
      </c>
      <c r="M226" s="11" t="str">
        <f>IF($A226="","",IFERROR(VALUE(MID(TRIM('Template Setup'!$C$5),FIND("-",TRIM('Template Setup'!$C$5))+1,10)),0))</f>
        <v/>
      </c>
      <c r="N226" s="11" t="str">
        <f>IF($A226="","",IFERROR(VALUE(MID(TRIM('Template Setup'!$C$6),FIND("-",TRIM('Template Setup'!$C$6))+1,10)),0))</f>
        <v/>
      </c>
      <c r="O226" s="11" t="str">
        <f>IF($A226="","",IFERROR(VALUE(MID(TRIM('Template Setup'!$C$7),FIND("-",TRIM('Template Setup'!$C$7))+1,10)),0))</f>
        <v/>
      </c>
      <c r="P226" s="11" t="str">
        <f>IF($A226="","",IFERROR(VALUE(MID(TRIM('Template Setup'!$C$8),FIND("-",TRIM('Template Setup'!$C$8))+1,10)),0))</f>
        <v/>
      </c>
      <c r="Q226" s="9" t="str">
        <f>IF($A226="","",$A226&amp;"-"&amp;'Template Setup'!$C$16)</f>
        <v/>
      </c>
      <c r="R226" s="24" t="str">
        <f t="shared" si="13"/>
        <v/>
      </c>
      <c r="S226" s="24"/>
      <c r="T226" s="24" t="str">
        <f t="shared" si="14"/>
        <v/>
      </c>
      <c r="U226" s="6" t="str">
        <f t="shared" si="16"/>
        <v/>
      </c>
    </row>
    <row r="227" spans="1:21">
      <c r="A227" s="11"/>
      <c r="B227" s="11"/>
      <c r="C227" s="11"/>
      <c r="D227" s="11" t="str">
        <f>IF($A227="","",_xlfn.TEXTJOIN(", ",TRUE,IF($G227&gt;0,'Template Setup'!$C$4,""),IF($H227&gt;0,'Template Setup'!$C$5,""),IF($I227&gt;0,'Template Setup'!$C$6,""),IF($J227&gt;0,'Template Setup'!$C$7,""),IF($K227&gt;0,'Template Setup'!$C$8,"")))</f>
        <v/>
      </c>
      <c r="E227" s="6" t="str" cm="1">
        <f t="array" ref="E227">IF($A227="","",_xlfn.LET(_xlpm.sheets,CHOOSE({1,2,3,4,5},'Template Setup'!$C$4,'Template Setup'!$C$5,'Template Setup'!$C$6,'Template Setup'!$C$7,'Template Setup'!$C$8),_xlpm.nums,CHOOSE({1,2,3,4,5},$L227,$M227,$N227,$O227,$P227),_xlpm.qtys,CHOOSE({1,2,3,4,5},$G227,$H227,$I227,$J227,$K227),_xlpm.validNums,_xlfn._xlws.FILTER(_xlpm.nums,_xlpm.qtys&gt;0),_xlpm.validSheets,_xlfn._xlws.FILTER(_xlpm.sheets,_xlpm.qtys&gt;0),_xlpm.mx,IFERROR(MAX(_xlpm.validNums),0),IF(_xlpm.mx=0,"",INDEX(_xlpm.validSheets,MATCH(_xlpm.mx,_xlpm.validNums,0))&amp;" (+"&amp;$R227&amp;")")))</f>
        <v/>
      </c>
      <c r="F227" s="11" t="str">
        <f t="shared" si="15"/>
        <v/>
      </c>
      <c r="G227" s="12" t="str">
        <f ca="1">IF($A227="","",IFERROR(SUMIF(INDIRECT("'"&amp;'Template Setup'!$C$4&amp;"'!C:C"),$A227,INDIRECT("'"&amp;'Template Setup'!$C$4&amp;"'!A:A")),0))</f>
        <v/>
      </c>
      <c r="H227" s="12" t="str">
        <f ca="1">IF($A227="","",IFERROR(SUMIF(INDIRECT("'"&amp;'Template Setup'!$C$5&amp;"'!C:C"),$A227,INDIRECT("'"&amp;'Template Setup'!$C$5&amp;"'!A:A")),0))</f>
        <v/>
      </c>
      <c r="I227" s="12" t="str">
        <f ca="1">IF($A227="","",IFERROR(SUMIF(INDIRECT("'"&amp;'Template Setup'!$C$6&amp;"'!C:C"),$A227,INDIRECT("'"&amp;'Template Setup'!$C$6&amp;"'!A:A")),0))</f>
        <v/>
      </c>
      <c r="J227" s="12" t="str">
        <f ca="1">IF($A227="","",IFERROR(SUMIF(INDIRECT("'"&amp;'Template Setup'!$C$7&amp;"'!C:C"),$A227,INDIRECT("'"&amp;'Template Setup'!$C$7&amp;"'!A:A")),0))</f>
        <v/>
      </c>
      <c r="K227" s="12" t="str">
        <f ca="1">IF($A227="","",IFERROR(SUMIF(INDIRECT("'"&amp;'Template Setup'!$C$8&amp;"'!C:C"),$A227,INDIRECT("'"&amp;'Template Setup'!$C$8&amp;"'!A:A")),0))</f>
        <v/>
      </c>
      <c r="L227" s="11" t="str">
        <f>IF($A227="","",IFERROR(VALUE(MID(TRIM('Template Setup'!$C$4),FIND("-",TRIM('Template Setup'!$C$4))+1,10)),0))</f>
        <v/>
      </c>
      <c r="M227" s="11" t="str">
        <f>IF($A227="","",IFERROR(VALUE(MID(TRIM('Template Setup'!$C$5),FIND("-",TRIM('Template Setup'!$C$5))+1,10)),0))</f>
        <v/>
      </c>
      <c r="N227" s="11" t="str">
        <f>IF($A227="","",IFERROR(VALUE(MID(TRIM('Template Setup'!$C$6),FIND("-",TRIM('Template Setup'!$C$6))+1,10)),0))</f>
        <v/>
      </c>
      <c r="O227" s="11" t="str">
        <f>IF($A227="","",IFERROR(VALUE(MID(TRIM('Template Setup'!$C$7),FIND("-",TRIM('Template Setup'!$C$7))+1,10)),0))</f>
        <v/>
      </c>
      <c r="P227" s="11" t="str">
        <f>IF($A227="","",IFERROR(VALUE(MID(TRIM('Template Setup'!$C$8),FIND("-",TRIM('Template Setup'!$C$8))+1,10)),0))</f>
        <v/>
      </c>
      <c r="Q227" s="9" t="str">
        <f>IF($A227="","",$A227&amp;"-"&amp;'Template Setup'!$C$16)</f>
        <v/>
      </c>
      <c r="R227" s="24" t="str">
        <f t="shared" si="13"/>
        <v/>
      </c>
      <c r="S227" s="24"/>
      <c r="T227" s="24" t="str">
        <f t="shared" si="14"/>
        <v/>
      </c>
      <c r="U227" s="6" t="str">
        <f t="shared" si="16"/>
        <v/>
      </c>
    </row>
    <row r="228" spans="1:21">
      <c r="A228" s="11"/>
      <c r="B228" s="11"/>
      <c r="C228" s="11"/>
      <c r="D228" s="11" t="str">
        <f>IF($A228="","",_xlfn.TEXTJOIN(", ",TRUE,IF($G228&gt;0,'Template Setup'!$C$4,""),IF($H228&gt;0,'Template Setup'!$C$5,""),IF($I228&gt;0,'Template Setup'!$C$6,""),IF($J228&gt;0,'Template Setup'!$C$7,""),IF($K228&gt;0,'Template Setup'!$C$8,"")))</f>
        <v/>
      </c>
      <c r="E228" s="6" t="str" cm="1">
        <f t="array" ref="E228">IF($A228="","",_xlfn.LET(_xlpm.sheets,CHOOSE({1,2,3,4,5},'Template Setup'!$C$4,'Template Setup'!$C$5,'Template Setup'!$C$6,'Template Setup'!$C$7,'Template Setup'!$C$8),_xlpm.nums,CHOOSE({1,2,3,4,5},$L228,$M228,$N228,$O228,$P228),_xlpm.qtys,CHOOSE({1,2,3,4,5},$G228,$H228,$I228,$J228,$K228),_xlpm.validNums,_xlfn._xlws.FILTER(_xlpm.nums,_xlpm.qtys&gt;0),_xlpm.validSheets,_xlfn._xlws.FILTER(_xlpm.sheets,_xlpm.qtys&gt;0),_xlpm.mx,IFERROR(MAX(_xlpm.validNums),0),IF(_xlpm.mx=0,"",INDEX(_xlpm.validSheets,MATCH(_xlpm.mx,_xlpm.validNums,0))&amp;" (+"&amp;$R228&amp;")")))</f>
        <v/>
      </c>
      <c r="F228" s="11" t="str">
        <f t="shared" si="15"/>
        <v/>
      </c>
      <c r="G228" s="12" t="str">
        <f ca="1">IF($A228="","",IFERROR(SUMIF(INDIRECT("'"&amp;'Template Setup'!$C$4&amp;"'!C:C"),$A228,INDIRECT("'"&amp;'Template Setup'!$C$4&amp;"'!A:A")),0))</f>
        <v/>
      </c>
      <c r="H228" s="12" t="str">
        <f ca="1">IF($A228="","",IFERROR(SUMIF(INDIRECT("'"&amp;'Template Setup'!$C$5&amp;"'!C:C"),$A228,INDIRECT("'"&amp;'Template Setup'!$C$5&amp;"'!A:A")),0))</f>
        <v/>
      </c>
      <c r="I228" s="12" t="str">
        <f ca="1">IF($A228="","",IFERROR(SUMIF(INDIRECT("'"&amp;'Template Setup'!$C$6&amp;"'!C:C"),$A228,INDIRECT("'"&amp;'Template Setup'!$C$6&amp;"'!A:A")),0))</f>
        <v/>
      </c>
      <c r="J228" s="12" t="str">
        <f ca="1">IF($A228="","",IFERROR(SUMIF(INDIRECT("'"&amp;'Template Setup'!$C$7&amp;"'!C:C"),$A228,INDIRECT("'"&amp;'Template Setup'!$C$7&amp;"'!A:A")),0))</f>
        <v/>
      </c>
      <c r="K228" s="12" t="str">
        <f ca="1">IF($A228="","",IFERROR(SUMIF(INDIRECT("'"&amp;'Template Setup'!$C$8&amp;"'!C:C"),$A228,INDIRECT("'"&amp;'Template Setup'!$C$8&amp;"'!A:A")),0))</f>
        <v/>
      </c>
      <c r="L228" s="11" t="str">
        <f>IF($A228="","",IFERROR(VALUE(MID(TRIM('Template Setup'!$C$4),FIND("-",TRIM('Template Setup'!$C$4))+1,10)),0))</f>
        <v/>
      </c>
      <c r="M228" s="11" t="str">
        <f>IF($A228="","",IFERROR(VALUE(MID(TRIM('Template Setup'!$C$5),FIND("-",TRIM('Template Setup'!$C$5))+1,10)),0))</f>
        <v/>
      </c>
      <c r="N228" s="11" t="str">
        <f>IF($A228="","",IFERROR(VALUE(MID(TRIM('Template Setup'!$C$6),FIND("-",TRIM('Template Setup'!$C$6))+1,10)),0))</f>
        <v/>
      </c>
      <c r="O228" s="11" t="str">
        <f>IF($A228="","",IFERROR(VALUE(MID(TRIM('Template Setup'!$C$7),FIND("-",TRIM('Template Setup'!$C$7))+1,10)),0))</f>
        <v/>
      </c>
      <c r="P228" s="11" t="str">
        <f>IF($A228="","",IFERROR(VALUE(MID(TRIM('Template Setup'!$C$8),FIND("-",TRIM('Template Setup'!$C$8))+1,10)),0))</f>
        <v/>
      </c>
      <c r="Q228" s="9" t="str">
        <f>IF($A228="","",$A228&amp;"-"&amp;'Template Setup'!$C$16)</f>
        <v/>
      </c>
      <c r="R228" s="24" t="str">
        <f t="shared" si="13"/>
        <v/>
      </c>
      <c r="S228" s="24"/>
      <c r="T228" s="24" t="str">
        <f t="shared" si="14"/>
        <v/>
      </c>
      <c r="U228" s="6" t="str">
        <f t="shared" si="16"/>
        <v/>
      </c>
    </row>
    <row r="229" spans="1:21">
      <c r="A229" s="11"/>
      <c r="B229" s="11"/>
      <c r="C229" s="11"/>
      <c r="D229" s="11" t="str">
        <f>IF($A229="","",_xlfn.TEXTJOIN(", ",TRUE,IF($G229&gt;0,'Template Setup'!$C$4,""),IF($H229&gt;0,'Template Setup'!$C$5,""),IF($I229&gt;0,'Template Setup'!$C$6,""),IF($J229&gt;0,'Template Setup'!$C$7,""),IF($K229&gt;0,'Template Setup'!$C$8,"")))</f>
        <v/>
      </c>
      <c r="E229" s="6" t="str" cm="1">
        <f t="array" ref="E229">IF($A229="","",_xlfn.LET(_xlpm.sheets,CHOOSE({1,2,3,4,5},'Template Setup'!$C$4,'Template Setup'!$C$5,'Template Setup'!$C$6,'Template Setup'!$C$7,'Template Setup'!$C$8),_xlpm.nums,CHOOSE({1,2,3,4,5},$L229,$M229,$N229,$O229,$P229),_xlpm.qtys,CHOOSE({1,2,3,4,5},$G229,$H229,$I229,$J229,$K229),_xlpm.validNums,_xlfn._xlws.FILTER(_xlpm.nums,_xlpm.qtys&gt;0),_xlpm.validSheets,_xlfn._xlws.FILTER(_xlpm.sheets,_xlpm.qtys&gt;0),_xlpm.mx,IFERROR(MAX(_xlpm.validNums),0),IF(_xlpm.mx=0,"",INDEX(_xlpm.validSheets,MATCH(_xlpm.mx,_xlpm.validNums,0))&amp;" (+"&amp;$R229&amp;")")))</f>
        <v/>
      </c>
      <c r="F229" s="11" t="str">
        <f t="shared" si="15"/>
        <v/>
      </c>
      <c r="G229" s="12" t="str">
        <f ca="1">IF($A229="","",IFERROR(SUMIF(INDIRECT("'"&amp;'Template Setup'!$C$4&amp;"'!C:C"),$A229,INDIRECT("'"&amp;'Template Setup'!$C$4&amp;"'!A:A")),0))</f>
        <v/>
      </c>
      <c r="H229" s="12" t="str">
        <f ca="1">IF($A229="","",IFERROR(SUMIF(INDIRECT("'"&amp;'Template Setup'!$C$5&amp;"'!C:C"),$A229,INDIRECT("'"&amp;'Template Setup'!$C$5&amp;"'!A:A")),0))</f>
        <v/>
      </c>
      <c r="I229" s="12" t="str">
        <f ca="1">IF($A229="","",IFERROR(SUMIF(INDIRECT("'"&amp;'Template Setup'!$C$6&amp;"'!C:C"),$A229,INDIRECT("'"&amp;'Template Setup'!$C$6&amp;"'!A:A")),0))</f>
        <v/>
      </c>
      <c r="J229" s="12" t="str">
        <f ca="1">IF($A229="","",IFERROR(SUMIF(INDIRECT("'"&amp;'Template Setup'!$C$7&amp;"'!C:C"),$A229,INDIRECT("'"&amp;'Template Setup'!$C$7&amp;"'!A:A")),0))</f>
        <v/>
      </c>
      <c r="K229" s="12" t="str">
        <f ca="1">IF($A229="","",IFERROR(SUMIF(INDIRECT("'"&amp;'Template Setup'!$C$8&amp;"'!C:C"),$A229,INDIRECT("'"&amp;'Template Setup'!$C$8&amp;"'!A:A")),0))</f>
        <v/>
      </c>
      <c r="L229" s="11" t="str">
        <f>IF($A229="","",IFERROR(VALUE(MID(TRIM('Template Setup'!$C$4),FIND("-",TRIM('Template Setup'!$C$4))+1,10)),0))</f>
        <v/>
      </c>
      <c r="M229" s="11" t="str">
        <f>IF($A229="","",IFERROR(VALUE(MID(TRIM('Template Setup'!$C$5),FIND("-",TRIM('Template Setup'!$C$5))+1,10)),0))</f>
        <v/>
      </c>
      <c r="N229" s="11" t="str">
        <f>IF($A229="","",IFERROR(VALUE(MID(TRIM('Template Setup'!$C$6),FIND("-",TRIM('Template Setup'!$C$6))+1,10)),0))</f>
        <v/>
      </c>
      <c r="O229" s="11" t="str">
        <f>IF($A229="","",IFERROR(VALUE(MID(TRIM('Template Setup'!$C$7),FIND("-",TRIM('Template Setup'!$C$7))+1,10)),0))</f>
        <v/>
      </c>
      <c r="P229" s="11" t="str">
        <f>IF($A229="","",IFERROR(VALUE(MID(TRIM('Template Setup'!$C$8),FIND("-",TRIM('Template Setup'!$C$8))+1,10)),0))</f>
        <v/>
      </c>
      <c r="Q229" s="9" t="str">
        <f>IF($A229="","",$A229&amp;"-"&amp;'Template Setup'!$C$16)</f>
        <v/>
      </c>
      <c r="R229" s="24" t="str">
        <f t="shared" si="13"/>
        <v/>
      </c>
      <c r="S229" s="24"/>
      <c r="T229" s="24" t="str">
        <f t="shared" si="14"/>
        <v/>
      </c>
      <c r="U229" s="6" t="str">
        <f t="shared" si="16"/>
        <v/>
      </c>
    </row>
    <row r="230" spans="1:21">
      <c r="A230" s="11"/>
      <c r="B230" s="11"/>
      <c r="C230" s="11"/>
      <c r="D230" s="11" t="str">
        <f>IF($A230="","",_xlfn.TEXTJOIN(", ",TRUE,IF($G230&gt;0,'Template Setup'!$C$4,""),IF($H230&gt;0,'Template Setup'!$C$5,""),IF($I230&gt;0,'Template Setup'!$C$6,""),IF($J230&gt;0,'Template Setup'!$C$7,""),IF($K230&gt;0,'Template Setup'!$C$8,"")))</f>
        <v/>
      </c>
      <c r="E230" s="6" t="str" cm="1">
        <f t="array" ref="E230">IF($A230="","",_xlfn.LET(_xlpm.sheets,CHOOSE({1,2,3,4,5},'Template Setup'!$C$4,'Template Setup'!$C$5,'Template Setup'!$C$6,'Template Setup'!$C$7,'Template Setup'!$C$8),_xlpm.nums,CHOOSE({1,2,3,4,5},$L230,$M230,$N230,$O230,$P230),_xlpm.qtys,CHOOSE({1,2,3,4,5},$G230,$H230,$I230,$J230,$K230),_xlpm.validNums,_xlfn._xlws.FILTER(_xlpm.nums,_xlpm.qtys&gt;0),_xlpm.validSheets,_xlfn._xlws.FILTER(_xlpm.sheets,_xlpm.qtys&gt;0),_xlpm.mx,IFERROR(MAX(_xlpm.validNums),0),IF(_xlpm.mx=0,"",INDEX(_xlpm.validSheets,MATCH(_xlpm.mx,_xlpm.validNums,0))&amp;" (+"&amp;$R230&amp;")")))</f>
        <v/>
      </c>
      <c r="F230" s="11" t="str">
        <f t="shared" si="15"/>
        <v/>
      </c>
      <c r="G230" s="12" t="str">
        <f ca="1">IF($A230="","",IFERROR(SUMIF(INDIRECT("'"&amp;'Template Setup'!$C$4&amp;"'!C:C"),$A230,INDIRECT("'"&amp;'Template Setup'!$C$4&amp;"'!A:A")),0))</f>
        <v/>
      </c>
      <c r="H230" s="12" t="str">
        <f ca="1">IF($A230="","",IFERROR(SUMIF(INDIRECT("'"&amp;'Template Setup'!$C$5&amp;"'!C:C"),$A230,INDIRECT("'"&amp;'Template Setup'!$C$5&amp;"'!A:A")),0))</f>
        <v/>
      </c>
      <c r="I230" s="12" t="str">
        <f ca="1">IF($A230="","",IFERROR(SUMIF(INDIRECT("'"&amp;'Template Setup'!$C$6&amp;"'!C:C"),$A230,INDIRECT("'"&amp;'Template Setup'!$C$6&amp;"'!A:A")),0))</f>
        <v/>
      </c>
      <c r="J230" s="12" t="str">
        <f ca="1">IF($A230="","",IFERROR(SUMIF(INDIRECT("'"&amp;'Template Setup'!$C$7&amp;"'!C:C"),$A230,INDIRECT("'"&amp;'Template Setup'!$C$7&amp;"'!A:A")),0))</f>
        <v/>
      </c>
      <c r="K230" s="12" t="str">
        <f ca="1">IF($A230="","",IFERROR(SUMIF(INDIRECT("'"&amp;'Template Setup'!$C$8&amp;"'!C:C"),$A230,INDIRECT("'"&amp;'Template Setup'!$C$8&amp;"'!A:A")),0))</f>
        <v/>
      </c>
      <c r="L230" s="11" t="str">
        <f>IF($A230="","",IFERROR(VALUE(MID(TRIM('Template Setup'!$C$4),FIND("-",TRIM('Template Setup'!$C$4))+1,10)),0))</f>
        <v/>
      </c>
      <c r="M230" s="11" t="str">
        <f>IF($A230="","",IFERROR(VALUE(MID(TRIM('Template Setup'!$C$5),FIND("-",TRIM('Template Setup'!$C$5))+1,10)),0))</f>
        <v/>
      </c>
      <c r="N230" s="11" t="str">
        <f>IF($A230="","",IFERROR(VALUE(MID(TRIM('Template Setup'!$C$6),FIND("-",TRIM('Template Setup'!$C$6))+1,10)),0))</f>
        <v/>
      </c>
      <c r="O230" s="11" t="str">
        <f>IF($A230="","",IFERROR(VALUE(MID(TRIM('Template Setup'!$C$7),FIND("-",TRIM('Template Setup'!$C$7))+1,10)),0))</f>
        <v/>
      </c>
      <c r="P230" s="11" t="str">
        <f>IF($A230="","",IFERROR(VALUE(MID(TRIM('Template Setup'!$C$8),FIND("-",TRIM('Template Setup'!$C$8))+1,10)),0))</f>
        <v/>
      </c>
      <c r="Q230" s="9" t="str">
        <f>IF($A230="","",$A230&amp;"-"&amp;'Template Setup'!$C$16)</f>
        <v/>
      </c>
      <c r="R230" s="24" t="str">
        <f t="shared" si="13"/>
        <v/>
      </c>
      <c r="S230" s="24"/>
      <c r="T230" s="24" t="str">
        <f t="shared" si="14"/>
        <v/>
      </c>
      <c r="U230" s="6" t="str">
        <f t="shared" si="16"/>
        <v/>
      </c>
    </row>
    <row r="231" spans="1:21">
      <c r="A231" s="11"/>
      <c r="B231" s="11"/>
      <c r="C231" s="11"/>
      <c r="D231" s="11" t="str">
        <f>IF($A231="","",_xlfn.TEXTJOIN(", ",TRUE,IF($G231&gt;0,'Template Setup'!$C$4,""),IF($H231&gt;0,'Template Setup'!$C$5,""),IF($I231&gt;0,'Template Setup'!$C$6,""),IF($J231&gt;0,'Template Setup'!$C$7,""),IF($K231&gt;0,'Template Setup'!$C$8,"")))</f>
        <v/>
      </c>
      <c r="E231" s="6" t="str" cm="1">
        <f t="array" ref="E231">IF($A231="","",_xlfn.LET(_xlpm.sheets,CHOOSE({1,2,3,4,5},'Template Setup'!$C$4,'Template Setup'!$C$5,'Template Setup'!$C$6,'Template Setup'!$C$7,'Template Setup'!$C$8),_xlpm.nums,CHOOSE({1,2,3,4,5},$L231,$M231,$N231,$O231,$P231),_xlpm.qtys,CHOOSE({1,2,3,4,5},$G231,$H231,$I231,$J231,$K231),_xlpm.validNums,_xlfn._xlws.FILTER(_xlpm.nums,_xlpm.qtys&gt;0),_xlpm.validSheets,_xlfn._xlws.FILTER(_xlpm.sheets,_xlpm.qtys&gt;0),_xlpm.mx,IFERROR(MAX(_xlpm.validNums),0),IF(_xlpm.mx=0,"",INDEX(_xlpm.validSheets,MATCH(_xlpm.mx,_xlpm.validNums,0))&amp;" (+"&amp;$R231&amp;")")))</f>
        <v/>
      </c>
      <c r="F231" s="11" t="str">
        <f t="shared" si="15"/>
        <v/>
      </c>
      <c r="G231" s="12" t="str">
        <f ca="1">IF($A231="","",IFERROR(SUMIF(INDIRECT("'"&amp;'Template Setup'!$C$4&amp;"'!C:C"),$A231,INDIRECT("'"&amp;'Template Setup'!$C$4&amp;"'!A:A")),0))</f>
        <v/>
      </c>
      <c r="H231" s="12" t="str">
        <f ca="1">IF($A231="","",IFERROR(SUMIF(INDIRECT("'"&amp;'Template Setup'!$C$5&amp;"'!C:C"),$A231,INDIRECT("'"&amp;'Template Setup'!$C$5&amp;"'!A:A")),0))</f>
        <v/>
      </c>
      <c r="I231" s="12" t="str">
        <f ca="1">IF($A231="","",IFERROR(SUMIF(INDIRECT("'"&amp;'Template Setup'!$C$6&amp;"'!C:C"),$A231,INDIRECT("'"&amp;'Template Setup'!$C$6&amp;"'!A:A")),0))</f>
        <v/>
      </c>
      <c r="J231" s="12" t="str">
        <f ca="1">IF($A231="","",IFERROR(SUMIF(INDIRECT("'"&amp;'Template Setup'!$C$7&amp;"'!C:C"),$A231,INDIRECT("'"&amp;'Template Setup'!$C$7&amp;"'!A:A")),0))</f>
        <v/>
      </c>
      <c r="K231" s="12" t="str">
        <f ca="1">IF($A231="","",IFERROR(SUMIF(INDIRECT("'"&amp;'Template Setup'!$C$8&amp;"'!C:C"),$A231,INDIRECT("'"&amp;'Template Setup'!$C$8&amp;"'!A:A")),0))</f>
        <v/>
      </c>
      <c r="L231" s="11" t="str">
        <f>IF($A231="","",IFERROR(VALUE(MID(TRIM('Template Setup'!$C$4),FIND("-",TRIM('Template Setup'!$C$4))+1,10)),0))</f>
        <v/>
      </c>
      <c r="M231" s="11" t="str">
        <f>IF($A231="","",IFERROR(VALUE(MID(TRIM('Template Setup'!$C$5),FIND("-",TRIM('Template Setup'!$C$5))+1,10)),0))</f>
        <v/>
      </c>
      <c r="N231" s="11" t="str">
        <f>IF($A231="","",IFERROR(VALUE(MID(TRIM('Template Setup'!$C$6),FIND("-",TRIM('Template Setup'!$C$6))+1,10)),0))</f>
        <v/>
      </c>
      <c r="O231" s="11" t="str">
        <f>IF($A231="","",IFERROR(VALUE(MID(TRIM('Template Setup'!$C$7),FIND("-",TRIM('Template Setup'!$C$7))+1,10)),0))</f>
        <v/>
      </c>
      <c r="P231" s="11" t="str">
        <f>IF($A231="","",IFERROR(VALUE(MID(TRIM('Template Setup'!$C$8),FIND("-",TRIM('Template Setup'!$C$8))+1,10)),0))</f>
        <v/>
      </c>
      <c r="Q231" s="9" t="str">
        <f>IF($A231="","",$A231&amp;"-"&amp;'Template Setup'!$C$16)</f>
        <v/>
      </c>
      <c r="R231" s="24" t="str">
        <f t="shared" si="13"/>
        <v/>
      </c>
      <c r="S231" s="24"/>
      <c r="T231" s="24" t="str">
        <f t="shared" si="14"/>
        <v/>
      </c>
      <c r="U231" s="6" t="str">
        <f t="shared" si="16"/>
        <v/>
      </c>
    </row>
    <row r="232" spans="1:21">
      <c r="A232" s="11"/>
      <c r="B232" s="11"/>
      <c r="C232" s="11"/>
      <c r="D232" s="11" t="str">
        <f>IF($A232="","",_xlfn.TEXTJOIN(", ",TRUE,IF($G232&gt;0,'Template Setup'!$C$4,""),IF($H232&gt;0,'Template Setup'!$C$5,""),IF($I232&gt;0,'Template Setup'!$C$6,""),IF($J232&gt;0,'Template Setup'!$C$7,""),IF($K232&gt;0,'Template Setup'!$C$8,"")))</f>
        <v/>
      </c>
      <c r="E232" s="6" t="str" cm="1">
        <f t="array" ref="E232">IF($A232="","",_xlfn.LET(_xlpm.sheets,CHOOSE({1,2,3,4,5},'Template Setup'!$C$4,'Template Setup'!$C$5,'Template Setup'!$C$6,'Template Setup'!$C$7,'Template Setup'!$C$8),_xlpm.nums,CHOOSE({1,2,3,4,5},$L232,$M232,$N232,$O232,$P232),_xlpm.qtys,CHOOSE({1,2,3,4,5},$G232,$H232,$I232,$J232,$K232),_xlpm.validNums,_xlfn._xlws.FILTER(_xlpm.nums,_xlpm.qtys&gt;0),_xlpm.validSheets,_xlfn._xlws.FILTER(_xlpm.sheets,_xlpm.qtys&gt;0),_xlpm.mx,IFERROR(MAX(_xlpm.validNums),0),IF(_xlpm.mx=0,"",INDEX(_xlpm.validSheets,MATCH(_xlpm.mx,_xlpm.validNums,0))&amp;" (+"&amp;$R232&amp;")")))</f>
        <v/>
      </c>
      <c r="F232" s="11" t="str">
        <f t="shared" si="15"/>
        <v/>
      </c>
      <c r="G232" s="12" t="str">
        <f ca="1">IF($A232="","",IFERROR(SUMIF(INDIRECT("'"&amp;'Template Setup'!$C$4&amp;"'!C:C"),$A232,INDIRECT("'"&amp;'Template Setup'!$C$4&amp;"'!A:A")),0))</f>
        <v/>
      </c>
      <c r="H232" s="12" t="str">
        <f ca="1">IF($A232="","",IFERROR(SUMIF(INDIRECT("'"&amp;'Template Setup'!$C$5&amp;"'!C:C"),$A232,INDIRECT("'"&amp;'Template Setup'!$C$5&amp;"'!A:A")),0))</f>
        <v/>
      </c>
      <c r="I232" s="12" t="str">
        <f ca="1">IF($A232="","",IFERROR(SUMIF(INDIRECT("'"&amp;'Template Setup'!$C$6&amp;"'!C:C"),$A232,INDIRECT("'"&amp;'Template Setup'!$C$6&amp;"'!A:A")),0))</f>
        <v/>
      </c>
      <c r="J232" s="12" t="str">
        <f ca="1">IF($A232="","",IFERROR(SUMIF(INDIRECT("'"&amp;'Template Setup'!$C$7&amp;"'!C:C"),$A232,INDIRECT("'"&amp;'Template Setup'!$C$7&amp;"'!A:A")),0))</f>
        <v/>
      </c>
      <c r="K232" s="12" t="str">
        <f ca="1">IF($A232="","",IFERROR(SUMIF(INDIRECT("'"&amp;'Template Setup'!$C$8&amp;"'!C:C"),$A232,INDIRECT("'"&amp;'Template Setup'!$C$8&amp;"'!A:A")),0))</f>
        <v/>
      </c>
      <c r="L232" s="11" t="str">
        <f>IF($A232="","",IFERROR(VALUE(MID(TRIM('Template Setup'!$C$4),FIND("-",TRIM('Template Setup'!$C$4))+1,10)),0))</f>
        <v/>
      </c>
      <c r="M232" s="11" t="str">
        <f>IF($A232="","",IFERROR(VALUE(MID(TRIM('Template Setup'!$C$5),FIND("-",TRIM('Template Setup'!$C$5))+1,10)),0))</f>
        <v/>
      </c>
      <c r="N232" s="11" t="str">
        <f>IF($A232="","",IFERROR(VALUE(MID(TRIM('Template Setup'!$C$6),FIND("-",TRIM('Template Setup'!$C$6))+1,10)),0))</f>
        <v/>
      </c>
      <c r="O232" s="11" t="str">
        <f>IF($A232="","",IFERROR(VALUE(MID(TRIM('Template Setup'!$C$7),FIND("-",TRIM('Template Setup'!$C$7))+1,10)),0))</f>
        <v/>
      </c>
      <c r="P232" s="11" t="str">
        <f>IF($A232="","",IFERROR(VALUE(MID(TRIM('Template Setup'!$C$8),FIND("-",TRIM('Template Setup'!$C$8))+1,10)),0))</f>
        <v/>
      </c>
      <c r="Q232" s="9" t="str">
        <f>IF($A232="","",$A232&amp;"-"&amp;'Template Setup'!$C$16)</f>
        <v/>
      </c>
      <c r="R232" s="24" t="str">
        <f t="shared" si="13"/>
        <v/>
      </c>
      <c r="S232" s="24"/>
      <c r="T232" s="24" t="str">
        <f t="shared" si="14"/>
        <v/>
      </c>
      <c r="U232" s="6" t="str">
        <f t="shared" si="16"/>
        <v/>
      </c>
    </row>
    <row r="233" spans="1:21">
      <c r="A233" s="11"/>
      <c r="B233" s="11"/>
      <c r="C233" s="11"/>
      <c r="D233" s="11" t="str">
        <f>IF($A233="","",_xlfn.TEXTJOIN(", ",TRUE,IF($G233&gt;0,'Template Setup'!$C$4,""),IF($H233&gt;0,'Template Setup'!$C$5,""),IF($I233&gt;0,'Template Setup'!$C$6,""),IF($J233&gt;0,'Template Setup'!$C$7,""),IF($K233&gt;0,'Template Setup'!$C$8,"")))</f>
        <v/>
      </c>
      <c r="E233" s="6" t="str" cm="1">
        <f t="array" ref="E233">IF($A233="","",_xlfn.LET(_xlpm.sheets,CHOOSE({1,2,3,4,5},'Template Setup'!$C$4,'Template Setup'!$C$5,'Template Setup'!$C$6,'Template Setup'!$C$7,'Template Setup'!$C$8),_xlpm.nums,CHOOSE({1,2,3,4,5},$L233,$M233,$N233,$O233,$P233),_xlpm.qtys,CHOOSE({1,2,3,4,5},$G233,$H233,$I233,$J233,$K233),_xlpm.validNums,_xlfn._xlws.FILTER(_xlpm.nums,_xlpm.qtys&gt;0),_xlpm.validSheets,_xlfn._xlws.FILTER(_xlpm.sheets,_xlpm.qtys&gt;0),_xlpm.mx,IFERROR(MAX(_xlpm.validNums),0),IF(_xlpm.mx=0,"",INDEX(_xlpm.validSheets,MATCH(_xlpm.mx,_xlpm.validNums,0))&amp;" (+"&amp;$R233&amp;")")))</f>
        <v/>
      </c>
      <c r="F233" s="11" t="str">
        <f t="shared" si="15"/>
        <v/>
      </c>
      <c r="G233" s="12" t="str">
        <f ca="1">IF($A233="","",IFERROR(SUMIF(INDIRECT("'"&amp;'Template Setup'!$C$4&amp;"'!C:C"),$A233,INDIRECT("'"&amp;'Template Setup'!$C$4&amp;"'!A:A")),0))</f>
        <v/>
      </c>
      <c r="H233" s="12" t="str">
        <f ca="1">IF($A233="","",IFERROR(SUMIF(INDIRECT("'"&amp;'Template Setup'!$C$5&amp;"'!C:C"),$A233,INDIRECT("'"&amp;'Template Setup'!$C$5&amp;"'!A:A")),0))</f>
        <v/>
      </c>
      <c r="I233" s="12" t="str">
        <f ca="1">IF($A233="","",IFERROR(SUMIF(INDIRECT("'"&amp;'Template Setup'!$C$6&amp;"'!C:C"),$A233,INDIRECT("'"&amp;'Template Setup'!$C$6&amp;"'!A:A")),0))</f>
        <v/>
      </c>
      <c r="J233" s="12" t="str">
        <f ca="1">IF($A233="","",IFERROR(SUMIF(INDIRECT("'"&amp;'Template Setup'!$C$7&amp;"'!C:C"),$A233,INDIRECT("'"&amp;'Template Setup'!$C$7&amp;"'!A:A")),0))</f>
        <v/>
      </c>
      <c r="K233" s="12" t="str">
        <f ca="1">IF($A233="","",IFERROR(SUMIF(INDIRECT("'"&amp;'Template Setup'!$C$8&amp;"'!C:C"),$A233,INDIRECT("'"&amp;'Template Setup'!$C$8&amp;"'!A:A")),0))</f>
        <v/>
      </c>
      <c r="L233" s="11" t="str">
        <f>IF($A233="","",IFERROR(VALUE(MID(TRIM('Template Setup'!$C$4),FIND("-",TRIM('Template Setup'!$C$4))+1,10)),0))</f>
        <v/>
      </c>
      <c r="M233" s="11" t="str">
        <f>IF($A233="","",IFERROR(VALUE(MID(TRIM('Template Setup'!$C$5),FIND("-",TRIM('Template Setup'!$C$5))+1,10)),0))</f>
        <v/>
      </c>
      <c r="N233" s="11" t="str">
        <f>IF($A233="","",IFERROR(VALUE(MID(TRIM('Template Setup'!$C$6),FIND("-",TRIM('Template Setup'!$C$6))+1,10)),0))</f>
        <v/>
      </c>
      <c r="O233" s="11" t="str">
        <f>IF($A233="","",IFERROR(VALUE(MID(TRIM('Template Setup'!$C$7),FIND("-",TRIM('Template Setup'!$C$7))+1,10)),0))</f>
        <v/>
      </c>
      <c r="P233" s="11" t="str">
        <f>IF($A233="","",IFERROR(VALUE(MID(TRIM('Template Setup'!$C$8),FIND("-",TRIM('Template Setup'!$C$8))+1,10)),0))</f>
        <v/>
      </c>
      <c r="Q233" s="9" t="str">
        <f>IF($A233="","",$A233&amp;"-"&amp;'Template Setup'!$C$16)</f>
        <v/>
      </c>
      <c r="R233" s="24" t="str">
        <f t="shared" si="13"/>
        <v/>
      </c>
      <c r="S233" s="24"/>
      <c r="T233" s="24" t="str">
        <f t="shared" si="14"/>
        <v/>
      </c>
      <c r="U233" s="6" t="str">
        <f t="shared" si="16"/>
        <v/>
      </c>
    </row>
    <row r="234" spans="1:21">
      <c r="A234" s="11"/>
      <c r="B234" s="11"/>
      <c r="C234" s="11"/>
      <c r="D234" s="11" t="str">
        <f>IF($A234="","",_xlfn.TEXTJOIN(", ",TRUE,IF($G234&gt;0,'Template Setup'!$C$4,""),IF($H234&gt;0,'Template Setup'!$C$5,""),IF($I234&gt;0,'Template Setup'!$C$6,""),IF($J234&gt;0,'Template Setup'!$C$7,""),IF($K234&gt;0,'Template Setup'!$C$8,"")))</f>
        <v/>
      </c>
      <c r="E234" s="6" t="str" cm="1">
        <f t="array" ref="E234">IF($A234="","",_xlfn.LET(_xlpm.sheets,CHOOSE({1,2,3,4,5},'Template Setup'!$C$4,'Template Setup'!$C$5,'Template Setup'!$C$6,'Template Setup'!$C$7,'Template Setup'!$C$8),_xlpm.nums,CHOOSE({1,2,3,4,5},$L234,$M234,$N234,$O234,$P234),_xlpm.qtys,CHOOSE({1,2,3,4,5},$G234,$H234,$I234,$J234,$K234),_xlpm.validNums,_xlfn._xlws.FILTER(_xlpm.nums,_xlpm.qtys&gt;0),_xlpm.validSheets,_xlfn._xlws.FILTER(_xlpm.sheets,_xlpm.qtys&gt;0),_xlpm.mx,IFERROR(MAX(_xlpm.validNums),0),IF(_xlpm.mx=0,"",INDEX(_xlpm.validSheets,MATCH(_xlpm.mx,_xlpm.validNums,0))&amp;" (+"&amp;$R234&amp;")")))</f>
        <v/>
      </c>
      <c r="F234" s="11" t="str">
        <f t="shared" si="15"/>
        <v/>
      </c>
      <c r="G234" s="12" t="str">
        <f ca="1">IF($A234="","",IFERROR(SUMIF(INDIRECT("'"&amp;'Template Setup'!$C$4&amp;"'!C:C"),$A234,INDIRECT("'"&amp;'Template Setup'!$C$4&amp;"'!A:A")),0))</f>
        <v/>
      </c>
      <c r="H234" s="12" t="str">
        <f ca="1">IF($A234="","",IFERROR(SUMIF(INDIRECT("'"&amp;'Template Setup'!$C$5&amp;"'!C:C"),$A234,INDIRECT("'"&amp;'Template Setup'!$C$5&amp;"'!A:A")),0))</f>
        <v/>
      </c>
      <c r="I234" s="12" t="str">
        <f ca="1">IF($A234="","",IFERROR(SUMIF(INDIRECT("'"&amp;'Template Setup'!$C$6&amp;"'!C:C"),$A234,INDIRECT("'"&amp;'Template Setup'!$C$6&amp;"'!A:A")),0))</f>
        <v/>
      </c>
      <c r="J234" s="12" t="str">
        <f ca="1">IF($A234="","",IFERROR(SUMIF(INDIRECT("'"&amp;'Template Setup'!$C$7&amp;"'!C:C"),$A234,INDIRECT("'"&amp;'Template Setup'!$C$7&amp;"'!A:A")),0))</f>
        <v/>
      </c>
      <c r="K234" s="12" t="str">
        <f ca="1">IF($A234="","",IFERROR(SUMIF(INDIRECT("'"&amp;'Template Setup'!$C$8&amp;"'!C:C"),$A234,INDIRECT("'"&amp;'Template Setup'!$C$8&amp;"'!A:A")),0))</f>
        <v/>
      </c>
      <c r="L234" s="11" t="str">
        <f>IF($A234="","",IFERROR(VALUE(MID(TRIM('Template Setup'!$C$4),FIND("-",TRIM('Template Setup'!$C$4))+1,10)),0))</f>
        <v/>
      </c>
      <c r="M234" s="11" t="str">
        <f>IF($A234="","",IFERROR(VALUE(MID(TRIM('Template Setup'!$C$5),FIND("-",TRIM('Template Setup'!$C$5))+1,10)),0))</f>
        <v/>
      </c>
      <c r="N234" s="11" t="str">
        <f>IF($A234="","",IFERROR(VALUE(MID(TRIM('Template Setup'!$C$6),FIND("-",TRIM('Template Setup'!$C$6))+1,10)),0))</f>
        <v/>
      </c>
      <c r="O234" s="11" t="str">
        <f>IF($A234="","",IFERROR(VALUE(MID(TRIM('Template Setup'!$C$7),FIND("-",TRIM('Template Setup'!$C$7))+1,10)),0))</f>
        <v/>
      </c>
      <c r="P234" s="11" t="str">
        <f>IF($A234="","",IFERROR(VALUE(MID(TRIM('Template Setup'!$C$8),FIND("-",TRIM('Template Setup'!$C$8))+1,10)),0))</f>
        <v/>
      </c>
      <c r="Q234" s="9" t="str">
        <f>IF($A234="","",$A234&amp;"-"&amp;'Template Setup'!$C$16)</f>
        <v/>
      </c>
      <c r="R234" s="24" t="str">
        <f t="shared" si="13"/>
        <v/>
      </c>
      <c r="S234" s="24"/>
      <c r="T234" s="24" t="str">
        <f t="shared" si="14"/>
        <v/>
      </c>
      <c r="U234" s="6" t="str">
        <f t="shared" si="16"/>
        <v/>
      </c>
    </row>
    <row r="235" spans="1:21">
      <c r="A235" s="11"/>
      <c r="B235" s="11"/>
      <c r="C235" s="11"/>
      <c r="D235" s="11" t="str">
        <f>IF($A235="","",_xlfn.TEXTJOIN(", ",TRUE,IF($G235&gt;0,'Template Setup'!$C$4,""),IF($H235&gt;0,'Template Setup'!$C$5,""),IF($I235&gt;0,'Template Setup'!$C$6,""),IF($J235&gt;0,'Template Setup'!$C$7,""),IF($K235&gt;0,'Template Setup'!$C$8,"")))</f>
        <v/>
      </c>
      <c r="E235" s="6" t="str" cm="1">
        <f t="array" ref="E235">IF($A235="","",_xlfn.LET(_xlpm.sheets,CHOOSE({1,2,3,4,5},'Template Setup'!$C$4,'Template Setup'!$C$5,'Template Setup'!$C$6,'Template Setup'!$C$7,'Template Setup'!$C$8),_xlpm.nums,CHOOSE({1,2,3,4,5},$L235,$M235,$N235,$O235,$P235),_xlpm.qtys,CHOOSE({1,2,3,4,5},$G235,$H235,$I235,$J235,$K235),_xlpm.validNums,_xlfn._xlws.FILTER(_xlpm.nums,_xlpm.qtys&gt;0),_xlpm.validSheets,_xlfn._xlws.FILTER(_xlpm.sheets,_xlpm.qtys&gt;0),_xlpm.mx,IFERROR(MAX(_xlpm.validNums),0),IF(_xlpm.mx=0,"",INDEX(_xlpm.validSheets,MATCH(_xlpm.mx,_xlpm.validNums,0))&amp;" (+"&amp;$R235&amp;")")))</f>
        <v/>
      </c>
      <c r="F235" s="11" t="str">
        <f t="shared" si="15"/>
        <v/>
      </c>
      <c r="G235" s="12" t="str">
        <f ca="1">IF($A235="","",IFERROR(SUMIF(INDIRECT("'"&amp;'Template Setup'!$C$4&amp;"'!C:C"),$A235,INDIRECT("'"&amp;'Template Setup'!$C$4&amp;"'!A:A")),0))</f>
        <v/>
      </c>
      <c r="H235" s="12" t="str">
        <f ca="1">IF($A235="","",IFERROR(SUMIF(INDIRECT("'"&amp;'Template Setup'!$C$5&amp;"'!C:C"),$A235,INDIRECT("'"&amp;'Template Setup'!$C$5&amp;"'!A:A")),0))</f>
        <v/>
      </c>
      <c r="I235" s="12" t="str">
        <f ca="1">IF($A235="","",IFERROR(SUMIF(INDIRECT("'"&amp;'Template Setup'!$C$6&amp;"'!C:C"),$A235,INDIRECT("'"&amp;'Template Setup'!$C$6&amp;"'!A:A")),0))</f>
        <v/>
      </c>
      <c r="J235" s="12" t="str">
        <f ca="1">IF($A235="","",IFERROR(SUMIF(INDIRECT("'"&amp;'Template Setup'!$C$7&amp;"'!C:C"),$A235,INDIRECT("'"&amp;'Template Setup'!$C$7&amp;"'!A:A")),0))</f>
        <v/>
      </c>
      <c r="K235" s="12" t="str">
        <f ca="1">IF($A235="","",IFERROR(SUMIF(INDIRECT("'"&amp;'Template Setup'!$C$8&amp;"'!C:C"),$A235,INDIRECT("'"&amp;'Template Setup'!$C$8&amp;"'!A:A")),0))</f>
        <v/>
      </c>
      <c r="L235" s="11" t="str">
        <f>IF($A235="","",IFERROR(VALUE(MID(TRIM('Template Setup'!$C$4),FIND("-",TRIM('Template Setup'!$C$4))+1,10)),0))</f>
        <v/>
      </c>
      <c r="M235" s="11" t="str">
        <f>IF($A235="","",IFERROR(VALUE(MID(TRIM('Template Setup'!$C$5),FIND("-",TRIM('Template Setup'!$C$5))+1,10)),0))</f>
        <v/>
      </c>
      <c r="N235" s="11" t="str">
        <f>IF($A235="","",IFERROR(VALUE(MID(TRIM('Template Setup'!$C$6),FIND("-",TRIM('Template Setup'!$C$6))+1,10)),0))</f>
        <v/>
      </c>
      <c r="O235" s="11" t="str">
        <f>IF($A235="","",IFERROR(VALUE(MID(TRIM('Template Setup'!$C$7),FIND("-",TRIM('Template Setup'!$C$7))+1,10)),0))</f>
        <v/>
      </c>
      <c r="P235" s="11" t="str">
        <f>IF($A235="","",IFERROR(VALUE(MID(TRIM('Template Setup'!$C$8),FIND("-",TRIM('Template Setup'!$C$8))+1,10)),0))</f>
        <v/>
      </c>
      <c r="Q235" s="9" t="str">
        <f>IF($A235="","",$A235&amp;"-"&amp;'Template Setup'!$C$16)</f>
        <v/>
      </c>
      <c r="R235" s="24" t="str">
        <f t="shared" si="13"/>
        <v/>
      </c>
      <c r="S235" s="24"/>
      <c r="T235" s="24" t="str">
        <f t="shared" si="14"/>
        <v/>
      </c>
      <c r="U235" s="6" t="str">
        <f t="shared" si="16"/>
        <v/>
      </c>
    </row>
    <row r="236" spans="1:21">
      <c r="A236" s="11"/>
      <c r="B236" s="11"/>
      <c r="C236" s="11"/>
      <c r="D236" s="11" t="str">
        <f>IF($A236="","",_xlfn.TEXTJOIN(", ",TRUE,IF($G236&gt;0,'Template Setup'!$C$4,""),IF($H236&gt;0,'Template Setup'!$C$5,""),IF($I236&gt;0,'Template Setup'!$C$6,""),IF($J236&gt;0,'Template Setup'!$C$7,""),IF($K236&gt;0,'Template Setup'!$C$8,"")))</f>
        <v/>
      </c>
      <c r="E236" s="6" t="str" cm="1">
        <f t="array" ref="E236">IF($A236="","",_xlfn.LET(_xlpm.sheets,CHOOSE({1,2,3,4,5},'Template Setup'!$C$4,'Template Setup'!$C$5,'Template Setup'!$C$6,'Template Setup'!$C$7,'Template Setup'!$C$8),_xlpm.nums,CHOOSE({1,2,3,4,5},$L236,$M236,$N236,$O236,$P236),_xlpm.qtys,CHOOSE({1,2,3,4,5},$G236,$H236,$I236,$J236,$K236),_xlpm.validNums,_xlfn._xlws.FILTER(_xlpm.nums,_xlpm.qtys&gt;0),_xlpm.validSheets,_xlfn._xlws.FILTER(_xlpm.sheets,_xlpm.qtys&gt;0),_xlpm.mx,IFERROR(MAX(_xlpm.validNums),0),IF(_xlpm.mx=0,"",INDEX(_xlpm.validSheets,MATCH(_xlpm.mx,_xlpm.validNums,0))&amp;" (+"&amp;$R236&amp;")")))</f>
        <v/>
      </c>
      <c r="F236" s="11" t="str">
        <f t="shared" si="15"/>
        <v/>
      </c>
      <c r="G236" s="12" t="str">
        <f ca="1">IF($A236="","",IFERROR(SUMIF(INDIRECT("'"&amp;'Template Setup'!$C$4&amp;"'!C:C"),$A236,INDIRECT("'"&amp;'Template Setup'!$C$4&amp;"'!A:A")),0))</f>
        <v/>
      </c>
      <c r="H236" s="12" t="str">
        <f ca="1">IF($A236="","",IFERROR(SUMIF(INDIRECT("'"&amp;'Template Setup'!$C$5&amp;"'!C:C"),$A236,INDIRECT("'"&amp;'Template Setup'!$C$5&amp;"'!A:A")),0))</f>
        <v/>
      </c>
      <c r="I236" s="12" t="str">
        <f ca="1">IF($A236="","",IFERROR(SUMIF(INDIRECT("'"&amp;'Template Setup'!$C$6&amp;"'!C:C"),$A236,INDIRECT("'"&amp;'Template Setup'!$C$6&amp;"'!A:A")),0))</f>
        <v/>
      </c>
      <c r="J236" s="12" t="str">
        <f ca="1">IF($A236="","",IFERROR(SUMIF(INDIRECT("'"&amp;'Template Setup'!$C$7&amp;"'!C:C"),$A236,INDIRECT("'"&amp;'Template Setup'!$C$7&amp;"'!A:A")),0))</f>
        <v/>
      </c>
      <c r="K236" s="12" t="str">
        <f ca="1">IF($A236="","",IFERROR(SUMIF(INDIRECT("'"&amp;'Template Setup'!$C$8&amp;"'!C:C"),$A236,INDIRECT("'"&amp;'Template Setup'!$C$8&amp;"'!A:A")),0))</f>
        <v/>
      </c>
      <c r="L236" s="11" t="str">
        <f>IF($A236="","",IFERROR(VALUE(MID(TRIM('Template Setup'!$C$4),FIND("-",TRIM('Template Setup'!$C$4))+1,10)),0))</f>
        <v/>
      </c>
      <c r="M236" s="11" t="str">
        <f>IF($A236="","",IFERROR(VALUE(MID(TRIM('Template Setup'!$C$5),FIND("-",TRIM('Template Setup'!$C$5))+1,10)),0))</f>
        <v/>
      </c>
      <c r="N236" s="11" t="str">
        <f>IF($A236="","",IFERROR(VALUE(MID(TRIM('Template Setup'!$C$6),FIND("-",TRIM('Template Setup'!$C$6))+1,10)),0))</f>
        <v/>
      </c>
      <c r="O236" s="11" t="str">
        <f>IF($A236="","",IFERROR(VALUE(MID(TRIM('Template Setup'!$C$7),FIND("-",TRIM('Template Setup'!$C$7))+1,10)),0))</f>
        <v/>
      </c>
      <c r="P236" s="11" t="str">
        <f>IF($A236="","",IFERROR(VALUE(MID(TRIM('Template Setup'!$C$8),FIND("-",TRIM('Template Setup'!$C$8))+1,10)),0))</f>
        <v/>
      </c>
      <c r="Q236" s="9" t="str">
        <f>IF($A236="","",$A236&amp;"-"&amp;'Template Setup'!$C$16)</f>
        <v/>
      </c>
      <c r="R236" s="24" t="str">
        <f t="shared" si="13"/>
        <v/>
      </c>
      <c r="S236" s="24"/>
      <c r="T236" s="24" t="str">
        <f t="shared" si="14"/>
        <v/>
      </c>
      <c r="U236" s="6" t="str">
        <f t="shared" si="16"/>
        <v/>
      </c>
    </row>
    <row r="237" spans="1:21">
      <c r="A237" s="11"/>
      <c r="B237" s="11"/>
      <c r="C237" s="11"/>
      <c r="D237" s="11" t="str">
        <f>IF($A237="","",_xlfn.TEXTJOIN(", ",TRUE,IF($G237&gt;0,'Template Setup'!$C$4,""),IF($H237&gt;0,'Template Setup'!$C$5,""),IF($I237&gt;0,'Template Setup'!$C$6,""),IF($J237&gt;0,'Template Setup'!$C$7,""),IF($K237&gt;0,'Template Setup'!$C$8,"")))</f>
        <v/>
      </c>
      <c r="E237" s="6" t="str" cm="1">
        <f t="array" ref="E237">IF($A237="","",_xlfn.LET(_xlpm.sheets,CHOOSE({1,2,3,4,5},'Template Setup'!$C$4,'Template Setup'!$C$5,'Template Setup'!$C$6,'Template Setup'!$C$7,'Template Setup'!$C$8),_xlpm.nums,CHOOSE({1,2,3,4,5},$L237,$M237,$N237,$O237,$P237),_xlpm.qtys,CHOOSE({1,2,3,4,5},$G237,$H237,$I237,$J237,$K237),_xlpm.validNums,_xlfn._xlws.FILTER(_xlpm.nums,_xlpm.qtys&gt;0),_xlpm.validSheets,_xlfn._xlws.FILTER(_xlpm.sheets,_xlpm.qtys&gt;0),_xlpm.mx,IFERROR(MAX(_xlpm.validNums),0),IF(_xlpm.mx=0,"",INDEX(_xlpm.validSheets,MATCH(_xlpm.mx,_xlpm.validNums,0))&amp;" (+"&amp;$R237&amp;")")))</f>
        <v/>
      </c>
      <c r="F237" s="11" t="str">
        <f t="shared" si="15"/>
        <v/>
      </c>
      <c r="G237" s="12" t="str">
        <f ca="1">IF($A237="","",IFERROR(SUMIF(INDIRECT("'"&amp;'Template Setup'!$C$4&amp;"'!C:C"),$A237,INDIRECT("'"&amp;'Template Setup'!$C$4&amp;"'!A:A")),0))</f>
        <v/>
      </c>
      <c r="H237" s="12" t="str">
        <f ca="1">IF($A237="","",IFERROR(SUMIF(INDIRECT("'"&amp;'Template Setup'!$C$5&amp;"'!C:C"),$A237,INDIRECT("'"&amp;'Template Setup'!$C$5&amp;"'!A:A")),0))</f>
        <v/>
      </c>
      <c r="I237" s="12" t="str">
        <f ca="1">IF($A237="","",IFERROR(SUMIF(INDIRECT("'"&amp;'Template Setup'!$C$6&amp;"'!C:C"),$A237,INDIRECT("'"&amp;'Template Setup'!$C$6&amp;"'!A:A")),0))</f>
        <v/>
      </c>
      <c r="J237" s="12" t="str">
        <f ca="1">IF($A237="","",IFERROR(SUMIF(INDIRECT("'"&amp;'Template Setup'!$C$7&amp;"'!C:C"),$A237,INDIRECT("'"&amp;'Template Setup'!$C$7&amp;"'!A:A")),0))</f>
        <v/>
      </c>
      <c r="K237" s="12" t="str">
        <f ca="1">IF($A237="","",IFERROR(SUMIF(INDIRECT("'"&amp;'Template Setup'!$C$8&amp;"'!C:C"),$A237,INDIRECT("'"&amp;'Template Setup'!$C$8&amp;"'!A:A")),0))</f>
        <v/>
      </c>
      <c r="L237" s="11" t="str">
        <f>IF($A237="","",IFERROR(VALUE(MID(TRIM('Template Setup'!$C$4),FIND("-",TRIM('Template Setup'!$C$4))+1,10)),0))</f>
        <v/>
      </c>
      <c r="M237" s="11" t="str">
        <f>IF($A237="","",IFERROR(VALUE(MID(TRIM('Template Setup'!$C$5),FIND("-",TRIM('Template Setup'!$C$5))+1,10)),0))</f>
        <v/>
      </c>
      <c r="N237" s="11" t="str">
        <f>IF($A237="","",IFERROR(VALUE(MID(TRIM('Template Setup'!$C$6),FIND("-",TRIM('Template Setup'!$C$6))+1,10)),0))</f>
        <v/>
      </c>
      <c r="O237" s="11" t="str">
        <f>IF($A237="","",IFERROR(VALUE(MID(TRIM('Template Setup'!$C$7),FIND("-",TRIM('Template Setup'!$C$7))+1,10)),0))</f>
        <v/>
      </c>
      <c r="P237" s="11" t="str">
        <f>IF($A237="","",IFERROR(VALUE(MID(TRIM('Template Setup'!$C$8),FIND("-",TRIM('Template Setup'!$C$8))+1,10)),0))</f>
        <v/>
      </c>
      <c r="Q237" s="9" t="str">
        <f>IF($A237="","",$A237&amp;"-"&amp;'Template Setup'!$C$16)</f>
        <v/>
      </c>
      <c r="R237" s="24" t="str">
        <f t="shared" si="13"/>
        <v/>
      </c>
      <c r="S237" s="24"/>
      <c r="T237" s="24" t="str">
        <f t="shared" si="14"/>
        <v/>
      </c>
      <c r="U237" s="6" t="str">
        <f t="shared" si="16"/>
        <v/>
      </c>
    </row>
    <row r="238" spans="1:21">
      <c r="A238" s="11"/>
      <c r="B238" s="11"/>
      <c r="C238" s="11"/>
      <c r="D238" s="11" t="str">
        <f>IF($A238="","",_xlfn.TEXTJOIN(", ",TRUE,IF($G238&gt;0,'Template Setup'!$C$4,""),IF($H238&gt;0,'Template Setup'!$C$5,""),IF($I238&gt;0,'Template Setup'!$C$6,""),IF($J238&gt;0,'Template Setup'!$C$7,""),IF($K238&gt;0,'Template Setup'!$C$8,"")))</f>
        <v/>
      </c>
      <c r="E238" s="6" t="str" cm="1">
        <f t="array" ref="E238">IF($A238="","",_xlfn.LET(_xlpm.sheets,CHOOSE({1,2,3,4,5},'Template Setup'!$C$4,'Template Setup'!$C$5,'Template Setup'!$C$6,'Template Setup'!$C$7,'Template Setup'!$C$8),_xlpm.nums,CHOOSE({1,2,3,4,5},$L238,$M238,$N238,$O238,$P238),_xlpm.qtys,CHOOSE({1,2,3,4,5},$G238,$H238,$I238,$J238,$K238),_xlpm.validNums,_xlfn._xlws.FILTER(_xlpm.nums,_xlpm.qtys&gt;0),_xlpm.validSheets,_xlfn._xlws.FILTER(_xlpm.sheets,_xlpm.qtys&gt;0),_xlpm.mx,IFERROR(MAX(_xlpm.validNums),0),IF(_xlpm.mx=0,"",INDEX(_xlpm.validSheets,MATCH(_xlpm.mx,_xlpm.validNums,0))&amp;" (+"&amp;$R238&amp;")")))</f>
        <v/>
      </c>
      <c r="F238" s="11" t="str">
        <f t="shared" si="15"/>
        <v/>
      </c>
      <c r="G238" s="12" t="str">
        <f ca="1">IF($A238="","",IFERROR(SUMIF(INDIRECT("'"&amp;'Template Setup'!$C$4&amp;"'!C:C"),$A238,INDIRECT("'"&amp;'Template Setup'!$C$4&amp;"'!A:A")),0))</f>
        <v/>
      </c>
      <c r="H238" s="12" t="str">
        <f ca="1">IF($A238="","",IFERROR(SUMIF(INDIRECT("'"&amp;'Template Setup'!$C$5&amp;"'!C:C"),$A238,INDIRECT("'"&amp;'Template Setup'!$C$5&amp;"'!A:A")),0))</f>
        <v/>
      </c>
      <c r="I238" s="12" t="str">
        <f ca="1">IF($A238="","",IFERROR(SUMIF(INDIRECT("'"&amp;'Template Setup'!$C$6&amp;"'!C:C"),$A238,INDIRECT("'"&amp;'Template Setup'!$C$6&amp;"'!A:A")),0))</f>
        <v/>
      </c>
      <c r="J238" s="12" t="str">
        <f ca="1">IF($A238="","",IFERROR(SUMIF(INDIRECT("'"&amp;'Template Setup'!$C$7&amp;"'!C:C"),$A238,INDIRECT("'"&amp;'Template Setup'!$C$7&amp;"'!A:A")),0))</f>
        <v/>
      </c>
      <c r="K238" s="12" t="str">
        <f ca="1">IF($A238="","",IFERROR(SUMIF(INDIRECT("'"&amp;'Template Setup'!$C$8&amp;"'!C:C"),$A238,INDIRECT("'"&amp;'Template Setup'!$C$8&amp;"'!A:A")),0))</f>
        <v/>
      </c>
      <c r="L238" s="11" t="str">
        <f>IF($A238="","",IFERROR(VALUE(MID(TRIM('Template Setup'!$C$4),FIND("-",TRIM('Template Setup'!$C$4))+1,10)),0))</f>
        <v/>
      </c>
      <c r="M238" s="11" t="str">
        <f>IF($A238="","",IFERROR(VALUE(MID(TRIM('Template Setup'!$C$5),FIND("-",TRIM('Template Setup'!$C$5))+1,10)),0))</f>
        <v/>
      </c>
      <c r="N238" s="11" t="str">
        <f>IF($A238="","",IFERROR(VALUE(MID(TRIM('Template Setup'!$C$6),FIND("-",TRIM('Template Setup'!$C$6))+1,10)),0))</f>
        <v/>
      </c>
      <c r="O238" s="11" t="str">
        <f>IF($A238="","",IFERROR(VALUE(MID(TRIM('Template Setup'!$C$7),FIND("-",TRIM('Template Setup'!$C$7))+1,10)),0))</f>
        <v/>
      </c>
      <c r="P238" s="11" t="str">
        <f>IF($A238="","",IFERROR(VALUE(MID(TRIM('Template Setup'!$C$8),FIND("-",TRIM('Template Setup'!$C$8))+1,10)),0))</f>
        <v/>
      </c>
      <c r="Q238" s="9" t="str">
        <f>IF($A238="","",$A238&amp;"-"&amp;'Template Setup'!$C$16)</f>
        <v/>
      </c>
      <c r="R238" s="24" t="str">
        <f t="shared" si="13"/>
        <v/>
      </c>
      <c r="S238" s="24"/>
      <c r="T238" s="24" t="str">
        <f t="shared" si="14"/>
        <v/>
      </c>
      <c r="U238" s="6" t="str">
        <f t="shared" si="16"/>
        <v/>
      </c>
    </row>
    <row r="239" spans="1:21">
      <c r="A239" s="11"/>
      <c r="B239" s="11"/>
      <c r="C239" s="11"/>
      <c r="D239" s="11" t="str">
        <f>IF($A239="","",_xlfn.TEXTJOIN(", ",TRUE,IF($G239&gt;0,'Template Setup'!$C$4,""),IF($H239&gt;0,'Template Setup'!$C$5,""),IF($I239&gt;0,'Template Setup'!$C$6,""),IF($J239&gt;0,'Template Setup'!$C$7,""),IF($K239&gt;0,'Template Setup'!$C$8,"")))</f>
        <v/>
      </c>
      <c r="E239" s="6" t="str" cm="1">
        <f t="array" ref="E239">IF($A239="","",_xlfn.LET(_xlpm.sheets,CHOOSE({1,2,3,4,5},'Template Setup'!$C$4,'Template Setup'!$C$5,'Template Setup'!$C$6,'Template Setup'!$C$7,'Template Setup'!$C$8),_xlpm.nums,CHOOSE({1,2,3,4,5},$L239,$M239,$N239,$O239,$P239),_xlpm.qtys,CHOOSE({1,2,3,4,5},$G239,$H239,$I239,$J239,$K239),_xlpm.validNums,_xlfn._xlws.FILTER(_xlpm.nums,_xlpm.qtys&gt;0),_xlpm.validSheets,_xlfn._xlws.FILTER(_xlpm.sheets,_xlpm.qtys&gt;0),_xlpm.mx,IFERROR(MAX(_xlpm.validNums),0),IF(_xlpm.mx=0,"",INDEX(_xlpm.validSheets,MATCH(_xlpm.mx,_xlpm.validNums,0))&amp;" (+"&amp;$R239&amp;")")))</f>
        <v/>
      </c>
      <c r="F239" s="11" t="str">
        <f t="shared" si="15"/>
        <v/>
      </c>
      <c r="G239" s="12" t="str">
        <f ca="1">IF($A239="","",IFERROR(SUMIF(INDIRECT("'"&amp;'Template Setup'!$C$4&amp;"'!C:C"),$A239,INDIRECT("'"&amp;'Template Setup'!$C$4&amp;"'!A:A")),0))</f>
        <v/>
      </c>
      <c r="H239" s="12" t="str">
        <f ca="1">IF($A239="","",IFERROR(SUMIF(INDIRECT("'"&amp;'Template Setup'!$C$5&amp;"'!C:C"),$A239,INDIRECT("'"&amp;'Template Setup'!$C$5&amp;"'!A:A")),0))</f>
        <v/>
      </c>
      <c r="I239" s="12" t="str">
        <f ca="1">IF($A239="","",IFERROR(SUMIF(INDIRECT("'"&amp;'Template Setup'!$C$6&amp;"'!C:C"),$A239,INDIRECT("'"&amp;'Template Setup'!$C$6&amp;"'!A:A")),0))</f>
        <v/>
      </c>
      <c r="J239" s="12" t="str">
        <f ca="1">IF($A239="","",IFERROR(SUMIF(INDIRECT("'"&amp;'Template Setup'!$C$7&amp;"'!C:C"),$A239,INDIRECT("'"&amp;'Template Setup'!$C$7&amp;"'!A:A")),0))</f>
        <v/>
      </c>
      <c r="K239" s="12" t="str">
        <f ca="1">IF($A239="","",IFERROR(SUMIF(INDIRECT("'"&amp;'Template Setup'!$C$8&amp;"'!C:C"),$A239,INDIRECT("'"&amp;'Template Setup'!$C$8&amp;"'!A:A")),0))</f>
        <v/>
      </c>
      <c r="L239" s="11" t="str">
        <f>IF($A239="","",IFERROR(VALUE(MID(TRIM('Template Setup'!$C$4),FIND("-",TRIM('Template Setup'!$C$4))+1,10)),0))</f>
        <v/>
      </c>
      <c r="M239" s="11" t="str">
        <f>IF($A239="","",IFERROR(VALUE(MID(TRIM('Template Setup'!$C$5),FIND("-",TRIM('Template Setup'!$C$5))+1,10)),0))</f>
        <v/>
      </c>
      <c r="N239" s="11" t="str">
        <f>IF($A239="","",IFERROR(VALUE(MID(TRIM('Template Setup'!$C$6),FIND("-",TRIM('Template Setup'!$C$6))+1,10)),0))</f>
        <v/>
      </c>
      <c r="O239" s="11" t="str">
        <f>IF($A239="","",IFERROR(VALUE(MID(TRIM('Template Setup'!$C$7),FIND("-",TRIM('Template Setup'!$C$7))+1,10)),0))</f>
        <v/>
      </c>
      <c r="P239" s="11" t="str">
        <f>IF($A239="","",IFERROR(VALUE(MID(TRIM('Template Setup'!$C$8),FIND("-",TRIM('Template Setup'!$C$8))+1,10)),0))</f>
        <v/>
      </c>
      <c r="Q239" s="9" t="str">
        <f>IF($A239="","",$A239&amp;"-"&amp;'Template Setup'!$C$16)</f>
        <v/>
      </c>
      <c r="R239" s="24" t="str">
        <f t="shared" si="13"/>
        <v/>
      </c>
      <c r="S239" s="24"/>
      <c r="T239" s="24" t="str">
        <f t="shared" si="14"/>
        <v/>
      </c>
      <c r="U239" s="6" t="str">
        <f t="shared" si="16"/>
        <v/>
      </c>
    </row>
    <row r="240" spans="1:21">
      <c r="A240" s="11"/>
      <c r="B240" s="11"/>
      <c r="C240" s="11"/>
      <c r="D240" s="11" t="str">
        <f>IF($A240="","",_xlfn.TEXTJOIN(", ",TRUE,IF($G240&gt;0,'Template Setup'!$C$4,""),IF($H240&gt;0,'Template Setup'!$C$5,""),IF($I240&gt;0,'Template Setup'!$C$6,""),IF($J240&gt;0,'Template Setup'!$C$7,""),IF($K240&gt;0,'Template Setup'!$C$8,"")))</f>
        <v/>
      </c>
      <c r="E240" s="6" t="str" cm="1">
        <f t="array" ref="E240">IF($A240="","",_xlfn.LET(_xlpm.sheets,CHOOSE({1,2,3,4,5},'Template Setup'!$C$4,'Template Setup'!$C$5,'Template Setup'!$C$6,'Template Setup'!$C$7,'Template Setup'!$C$8),_xlpm.nums,CHOOSE({1,2,3,4,5},$L240,$M240,$N240,$O240,$P240),_xlpm.qtys,CHOOSE({1,2,3,4,5},$G240,$H240,$I240,$J240,$K240),_xlpm.validNums,_xlfn._xlws.FILTER(_xlpm.nums,_xlpm.qtys&gt;0),_xlpm.validSheets,_xlfn._xlws.FILTER(_xlpm.sheets,_xlpm.qtys&gt;0),_xlpm.mx,IFERROR(MAX(_xlpm.validNums),0),IF(_xlpm.mx=0,"",INDEX(_xlpm.validSheets,MATCH(_xlpm.mx,_xlpm.validNums,0))&amp;" (+"&amp;$R240&amp;")")))</f>
        <v/>
      </c>
      <c r="F240" s="11" t="str">
        <f t="shared" si="15"/>
        <v/>
      </c>
      <c r="G240" s="12" t="str">
        <f ca="1">IF($A240="","",IFERROR(SUMIF(INDIRECT("'"&amp;'Template Setup'!$C$4&amp;"'!C:C"),$A240,INDIRECT("'"&amp;'Template Setup'!$C$4&amp;"'!A:A")),0))</f>
        <v/>
      </c>
      <c r="H240" s="12" t="str">
        <f ca="1">IF($A240="","",IFERROR(SUMIF(INDIRECT("'"&amp;'Template Setup'!$C$5&amp;"'!C:C"),$A240,INDIRECT("'"&amp;'Template Setup'!$C$5&amp;"'!A:A")),0))</f>
        <v/>
      </c>
      <c r="I240" s="12" t="str">
        <f ca="1">IF($A240="","",IFERROR(SUMIF(INDIRECT("'"&amp;'Template Setup'!$C$6&amp;"'!C:C"),$A240,INDIRECT("'"&amp;'Template Setup'!$C$6&amp;"'!A:A")),0))</f>
        <v/>
      </c>
      <c r="J240" s="12" t="str">
        <f ca="1">IF($A240="","",IFERROR(SUMIF(INDIRECT("'"&amp;'Template Setup'!$C$7&amp;"'!C:C"),$A240,INDIRECT("'"&amp;'Template Setup'!$C$7&amp;"'!A:A")),0))</f>
        <v/>
      </c>
      <c r="K240" s="12" t="str">
        <f ca="1">IF($A240="","",IFERROR(SUMIF(INDIRECT("'"&amp;'Template Setup'!$C$8&amp;"'!C:C"),$A240,INDIRECT("'"&amp;'Template Setup'!$C$8&amp;"'!A:A")),0))</f>
        <v/>
      </c>
      <c r="L240" s="11" t="str">
        <f>IF($A240="","",IFERROR(VALUE(MID(TRIM('Template Setup'!$C$4),FIND("-",TRIM('Template Setup'!$C$4))+1,10)),0))</f>
        <v/>
      </c>
      <c r="M240" s="11" t="str">
        <f>IF($A240="","",IFERROR(VALUE(MID(TRIM('Template Setup'!$C$5),FIND("-",TRIM('Template Setup'!$C$5))+1,10)),0))</f>
        <v/>
      </c>
      <c r="N240" s="11" t="str">
        <f>IF($A240="","",IFERROR(VALUE(MID(TRIM('Template Setup'!$C$6),FIND("-",TRIM('Template Setup'!$C$6))+1,10)),0))</f>
        <v/>
      </c>
      <c r="O240" s="11" t="str">
        <f>IF($A240="","",IFERROR(VALUE(MID(TRIM('Template Setup'!$C$7),FIND("-",TRIM('Template Setup'!$C$7))+1,10)),0))</f>
        <v/>
      </c>
      <c r="P240" s="11" t="str">
        <f>IF($A240="","",IFERROR(VALUE(MID(TRIM('Template Setup'!$C$8),FIND("-",TRIM('Template Setup'!$C$8))+1,10)),0))</f>
        <v/>
      </c>
      <c r="Q240" s="9" t="str">
        <f>IF($A240="","",$A240&amp;"-"&amp;'Template Setup'!$C$16)</f>
        <v/>
      </c>
      <c r="R240" s="24" t="str">
        <f t="shared" si="13"/>
        <v/>
      </c>
      <c r="S240" s="24"/>
      <c r="T240" s="24" t="str">
        <f t="shared" si="14"/>
        <v/>
      </c>
      <c r="U240" s="6" t="str">
        <f t="shared" si="16"/>
        <v/>
      </c>
    </row>
    <row r="241" spans="1:21">
      <c r="A241" s="11"/>
      <c r="B241" s="11"/>
      <c r="C241" s="11"/>
      <c r="D241" s="11" t="str">
        <f>IF($A241="","",_xlfn.TEXTJOIN(", ",TRUE,IF($G241&gt;0,'Template Setup'!$C$4,""),IF($H241&gt;0,'Template Setup'!$C$5,""),IF($I241&gt;0,'Template Setup'!$C$6,""),IF($J241&gt;0,'Template Setup'!$C$7,""),IF($K241&gt;0,'Template Setup'!$C$8,"")))</f>
        <v/>
      </c>
      <c r="E241" s="6" t="str" cm="1">
        <f t="array" ref="E241">IF($A241="","",_xlfn.LET(_xlpm.sheets,CHOOSE({1,2,3,4,5},'Template Setup'!$C$4,'Template Setup'!$C$5,'Template Setup'!$C$6,'Template Setup'!$C$7,'Template Setup'!$C$8),_xlpm.nums,CHOOSE({1,2,3,4,5},$L241,$M241,$N241,$O241,$P241),_xlpm.qtys,CHOOSE({1,2,3,4,5},$G241,$H241,$I241,$J241,$K241),_xlpm.validNums,_xlfn._xlws.FILTER(_xlpm.nums,_xlpm.qtys&gt;0),_xlpm.validSheets,_xlfn._xlws.FILTER(_xlpm.sheets,_xlpm.qtys&gt;0),_xlpm.mx,IFERROR(MAX(_xlpm.validNums),0),IF(_xlpm.mx=0,"",INDEX(_xlpm.validSheets,MATCH(_xlpm.mx,_xlpm.validNums,0))&amp;" (+"&amp;$R241&amp;")")))</f>
        <v/>
      </c>
      <c r="F241" s="11" t="str">
        <f t="shared" si="15"/>
        <v/>
      </c>
      <c r="G241" s="12" t="str">
        <f ca="1">IF($A241="","",IFERROR(SUMIF(INDIRECT("'"&amp;'Template Setup'!$C$4&amp;"'!C:C"),$A241,INDIRECT("'"&amp;'Template Setup'!$C$4&amp;"'!A:A")),0))</f>
        <v/>
      </c>
      <c r="H241" s="12" t="str">
        <f ca="1">IF($A241="","",IFERROR(SUMIF(INDIRECT("'"&amp;'Template Setup'!$C$5&amp;"'!C:C"),$A241,INDIRECT("'"&amp;'Template Setup'!$C$5&amp;"'!A:A")),0))</f>
        <v/>
      </c>
      <c r="I241" s="12" t="str">
        <f ca="1">IF($A241="","",IFERROR(SUMIF(INDIRECT("'"&amp;'Template Setup'!$C$6&amp;"'!C:C"),$A241,INDIRECT("'"&amp;'Template Setup'!$C$6&amp;"'!A:A")),0))</f>
        <v/>
      </c>
      <c r="J241" s="12" t="str">
        <f ca="1">IF($A241="","",IFERROR(SUMIF(INDIRECT("'"&amp;'Template Setup'!$C$7&amp;"'!C:C"),$A241,INDIRECT("'"&amp;'Template Setup'!$C$7&amp;"'!A:A")),0))</f>
        <v/>
      </c>
      <c r="K241" s="12" t="str">
        <f ca="1">IF($A241="","",IFERROR(SUMIF(INDIRECT("'"&amp;'Template Setup'!$C$8&amp;"'!C:C"),$A241,INDIRECT("'"&amp;'Template Setup'!$C$8&amp;"'!A:A")),0))</f>
        <v/>
      </c>
      <c r="L241" s="11" t="str">
        <f>IF($A241="","",IFERROR(VALUE(MID(TRIM('Template Setup'!$C$4),FIND("-",TRIM('Template Setup'!$C$4))+1,10)),0))</f>
        <v/>
      </c>
      <c r="M241" s="11" t="str">
        <f>IF($A241="","",IFERROR(VALUE(MID(TRIM('Template Setup'!$C$5),FIND("-",TRIM('Template Setup'!$C$5))+1,10)),0))</f>
        <v/>
      </c>
      <c r="N241" s="11" t="str">
        <f>IF($A241="","",IFERROR(VALUE(MID(TRIM('Template Setup'!$C$6),FIND("-",TRIM('Template Setup'!$C$6))+1,10)),0))</f>
        <v/>
      </c>
      <c r="O241" s="11" t="str">
        <f>IF($A241="","",IFERROR(VALUE(MID(TRIM('Template Setup'!$C$7),FIND("-",TRIM('Template Setup'!$C$7))+1,10)),0))</f>
        <v/>
      </c>
      <c r="P241" s="11" t="str">
        <f>IF($A241="","",IFERROR(VALUE(MID(TRIM('Template Setup'!$C$8),FIND("-",TRIM('Template Setup'!$C$8))+1,10)),0))</f>
        <v/>
      </c>
      <c r="Q241" s="9" t="str">
        <f>IF($A241="","",$A241&amp;"-"&amp;'Template Setup'!$C$16)</f>
        <v/>
      </c>
      <c r="R241" s="24" t="str">
        <f t="shared" si="13"/>
        <v/>
      </c>
      <c r="S241" s="24"/>
      <c r="T241" s="24" t="str">
        <f t="shared" si="14"/>
        <v/>
      </c>
      <c r="U241" s="6" t="str">
        <f t="shared" si="16"/>
        <v/>
      </c>
    </row>
    <row r="242" spans="1:21">
      <c r="A242" s="11"/>
      <c r="B242" s="11"/>
      <c r="C242" s="11"/>
      <c r="D242" s="11" t="str">
        <f>IF($A242="","",_xlfn.TEXTJOIN(", ",TRUE,IF($G242&gt;0,'Template Setup'!$C$4,""),IF($H242&gt;0,'Template Setup'!$C$5,""),IF($I242&gt;0,'Template Setup'!$C$6,""),IF($J242&gt;0,'Template Setup'!$C$7,""),IF($K242&gt;0,'Template Setup'!$C$8,"")))</f>
        <v/>
      </c>
      <c r="E242" s="6" t="str" cm="1">
        <f t="array" ref="E242">IF($A242="","",_xlfn.LET(_xlpm.sheets,CHOOSE({1,2,3,4,5},'Template Setup'!$C$4,'Template Setup'!$C$5,'Template Setup'!$C$6,'Template Setup'!$C$7,'Template Setup'!$C$8),_xlpm.nums,CHOOSE({1,2,3,4,5},$L242,$M242,$N242,$O242,$P242),_xlpm.qtys,CHOOSE({1,2,3,4,5},$G242,$H242,$I242,$J242,$K242),_xlpm.validNums,_xlfn._xlws.FILTER(_xlpm.nums,_xlpm.qtys&gt;0),_xlpm.validSheets,_xlfn._xlws.FILTER(_xlpm.sheets,_xlpm.qtys&gt;0),_xlpm.mx,IFERROR(MAX(_xlpm.validNums),0),IF(_xlpm.mx=0,"",INDEX(_xlpm.validSheets,MATCH(_xlpm.mx,_xlpm.validNums,0))&amp;" (+"&amp;$R242&amp;")")))</f>
        <v/>
      </c>
      <c r="F242" s="11" t="str">
        <f t="shared" si="15"/>
        <v/>
      </c>
      <c r="G242" s="12" t="str">
        <f ca="1">IF($A242="","",IFERROR(SUMIF(INDIRECT("'"&amp;'Template Setup'!$C$4&amp;"'!C:C"),$A242,INDIRECT("'"&amp;'Template Setup'!$C$4&amp;"'!A:A")),0))</f>
        <v/>
      </c>
      <c r="H242" s="12" t="str">
        <f ca="1">IF($A242="","",IFERROR(SUMIF(INDIRECT("'"&amp;'Template Setup'!$C$5&amp;"'!C:C"),$A242,INDIRECT("'"&amp;'Template Setup'!$C$5&amp;"'!A:A")),0))</f>
        <v/>
      </c>
      <c r="I242" s="12" t="str">
        <f ca="1">IF($A242="","",IFERROR(SUMIF(INDIRECT("'"&amp;'Template Setup'!$C$6&amp;"'!C:C"),$A242,INDIRECT("'"&amp;'Template Setup'!$C$6&amp;"'!A:A")),0))</f>
        <v/>
      </c>
      <c r="J242" s="12" t="str">
        <f ca="1">IF($A242="","",IFERROR(SUMIF(INDIRECT("'"&amp;'Template Setup'!$C$7&amp;"'!C:C"),$A242,INDIRECT("'"&amp;'Template Setup'!$C$7&amp;"'!A:A")),0))</f>
        <v/>
      </c>
      <c r="K242" s="12" t="str">
        <f ca="1">IF($A242="","",IFERROR(SUMIF(INDIRECT("'"&amp;'Template Setup'!$C$8&amp;"'!C:C"),$A242,INDIRECT("'"&amp;'Template Setup'!$C$8&amp;"'!A:A")),0))</f>
        <v/>
      </c>
      <c r="L242" s="11" t="str">
        <f>IF($A242="","",IFERROR(VALUE(MID(TRIM('Template Setup'!$C$4),FIND("-",TRIM('Template Setup'!$C$4))+1,10)),0))</f>
        <v/>
      </c>
      <c r="M242" s="11" t="str">
        <f>IF($A242="","",IFERROR(VALUE(MID(TRIM('Template Setup'!$C$5),FIND("-",TRIM('Template Setup'!$C$5))+1,10)),0))</f>
        <v/>
      </c>
      <c r="N242" s="11" t="str">
        <f>IF($A242="","",IFERROR(VALUE(MID(TRIM('Template Setup'!$C$6),FIND("-",TRIM('Template Setup'!$C$6))+1,10)),0))</f>
        <v/>
      </c>
      <c r="O242" s="11" t="str">
        <f>IF($A242="","",IFERROR(VALUE(MID(TRIM('Template Setup'!$C$7),FIND("-",TRIM('Template Setup'!$C$7))+1,10)),0))</f>
        <v/>
      </c>
      <c r="P242" s="11" t="str">
        <f>IF($A242="","",IFERROR(VALUE(MID(TRIM('Template Setup'!$C$8),FIND("-",TRIM('Template Setup'!$C$8))+1,10)),0))</f>
        <v/>
      </c>
      <c r="Q242" s="9" t="str">
        <f>IF($A242="","",$A242&amp;"-"&amp;'Template Setup'!$C$16)</f>
        <v/>
      </c>
      <c r="R242" s="24" t="str">
        <f t="shared" si="13"/>
        <v/>
      </c>
      <c r="S242" s="24"/>
      <c r="T242" s="24" t="str">
        <f t="shared" si="14"/>
        <v/>
      </c>
      <c r="U242" s="6" t="str">
        <f t="shared" si="16"/>
        <v/>
      </c>
    </row>
    <row r="243" spans="1:21">
      <c r="A243" s="11"/>
      <c r="B243" s="11"/>
      <c r="C243" s="11"/>
      <c r="D243" s="11" t="str">
        <f>IF($A243="","",_xlfn.TEXTJOIN(", ",TRUE,IF($G243&gt;0,'Template Setup'!$C$4,""),IF($H243&gt;0,'Template Setup'!$C$5,""),IF($I243&gt;0,'Template Setup'!$C$6,""),IF($J243&gt;0,'Template Setup'!$C$7,""),IF($K243&gt;0,'Template Setup'!$C$8,"")))</f>
        <v/>
      </c>
      <c r="E243" s="6" t="str" cm="1">
        <f t="array" ref="E243">IF($A243="","",_xlfn.LET(_xlpm.sheets,CHOOSE({1,2,3,4,5},'Template Setup'!$C$4,'Template Setup'!$C$5,'Template Setup'!$C$6,'Template Setup'!$C$7,'Template Setup'!$C$8),_xlpm.nums,CHOOSE({1,2,3,4,5},$L243,$M243,$N243,$O243,$P243),_xlpm.qtys,CHOOSE({1,2,3,4,5},$G243,$H243,$I243,$J243,$K243),_xlpm.validNums,_xlfn._xlws.FILTER(_xlpm.nums,_xlpm.qtys&gt;0),_xlpm.validSheets,_xlfn._xlws.FILTER(_xlpm.sheets,_xlpm.qtys&gt;0),_xlpm.mx,IFERROR(MAX(_xlpm.validNums),0),IF(_xlpm.mx=0,"",INDEX(_xlpm.validSheets,MATCH(_xlpm.mx,_xlpm.validNums,0))&amp;" (+"&amp;$R243&amp;")")))</f>
        <v/>
      </c>
      <c r="F243" s="11" t="str">
        <f t="shared" si="15"/>
        <v/>
      </c>
      <c r="G243" s="12" t="str">
        <f ca="1">IF($A243="","",IFERROR(SUMIF(INDIRECT("'"&amp;'Template Setup'!$C$4&amp;"'!C:C"),$A243,INDIRECT("'"&amp;'Template Setup'!$C$4&amp;"'!A:A")),0))</f>
        <v/>
      </c>
      <c r="H243" s="12" t="str">
        <f ca="1">IF($A243="","",IFERROR(SUMIF(INDIRECT("'"&amp;'Template Setup'!$C$5&amp;"'!C:C"),$A243,INDIRECT("'"&amp;'Template Setup'!$C$5&amp;"'!A:A")),0))</f>
        <v/>
      </c>
      <c r="I243" s="12" t="str">
        <f ca="1">IF($A243="","",IFERROR(SUMIF(INDIRECT("'"&amp;'Template Setup'!$C$6&amp;"'!C:C"),$A243,INDIRECT("'"&amp;'Template Setup'!$C$6&amp;"'!A:A")),0))</f>
        <v/>
      </c>
      <c r="J243" s="12" t="str">
        <f ca="1">IF($A243="","",IFERROR(SUMIF(INDIRECT("'"&amp;'Template Setup'!$C$7&amp;"'!C:C"),$A243,INDIRECT("'"&amp;'Template Setup'!$C$7&amp;"'!A:A")),0))</f>
        <v/>
      </c>
      <c r="K243" s="12" t="str">
        <f ca="1">IF($A243="","",IFERROR(SUMIF(INDIRECT("'"&amp;'Template Setup'!$C$8&amp;"'!C:C"),$A243,INDIRECT("'"&amp;'Template Setup'!$C$8&amp;"'!A:A")),0))</f>
        <v/>
      </c>
      <c r="L243" s="11" t="str">
        <f>IF($A243="","",IFERROR(VALUE(MID(TRIM('Template Setup'!$C$4),FIND("-",TRIM('Template Setup'!$C$4))+1,10)),0))</f>
        <v/>
      </c>
      <c r="M243" s="11" t="str">
        <f>IF($A243="","",IFERROR(VALUE(MID(TRIM('Template Setup'!$C$5),FIND("-",TRIM('Template Setup'!$C$5))+1,10)),0))</f>
        <v/>
      </c>
      <c r="N243" s="11" t="str">
        <f>IF($A243="","",IFERROR(VALUE(MID(TRIM('Template Setup'!$C$6),FIND("-",TRIM('Template Setup'!$C$6))+1,10)),0))</f>
        <v/>
      </c>
      <c r="O243" s="11" t="str">
        <f>IF($A243="","",IFERROR(VALUE(MID(TRIM('Template Setup'!$C$7),FIND("-",TRIM('Template Setup'!$C$7))+1,10)),0))</f>
        <v/>
      </c>
      <c r="P243" s="11" t="str">
        <f>IF($A243="","",IFERROR(VALUE(MID(TRIM('Template Setup'!$C$8),FIND("-",TRIM('Template Setup'!$C$8))+1,10)),0))</f>
        <v/>
      </c>
      <c r="Q243" s="9" t="str">
        <f>IF($A243="","",$A243&amp;"-"&amp;'Template Setup'!$C$16)</f>
        <v/>
      </c>
      <c r="R243" s="24" t="str">
        <f t="shared" si="13"/>
        <v/>
      </c>
      <c r="S243" s="24"/>
      <c r="T243" s="24" t="str">
        <f t="shared" si="14"/>
        <v/>
      </c>
      <c r="U243" s="6" t="str">
        <f t="shared" si="16"/>
        <v/>
      </c>
    </row>
    <row r="244" spans="1:21">
      <c r="A244" s="11"/>
      <c r="B244" s="11"/>
      <c r="C244" s="11"/>
      <c r="D244" s="11" t="str">
        <f>IF($A244="","",_xlfn.TEXTJOIN(", ",TRUE,IF($G244&gt;0,'Template Setup'!$C$4,""),IF($H244&gt;0,'Template Setup'!$C$5,""),IF($I244&gt;0,'Template Setup'!$C$6,""),IF($J244&gt;0,'Template Setup'!$C$7,""),IF($K244&gt;0,'Template Setup'!$C$8,"")))</f>
        <v/>
      </c>
      <c r="E244" s="6" t="str" cm="1">
        <f t="array" ref="E244">IF($A244="","",_xlfn.LET(_xlpm.sheets,CHOOSE({1,2,3,4,5},'Template Setup'!$C$4,'Template Setup'!$C$5,'Template Setup'!$C$6,'Template Setup'!$C$7,'Template Setup'!$C$8),_xlpm.nums,CHOOSE({1,2,3,4,5},$L244,$M244,$N244,$O244,$P244),_xlpm.qtys,CHOOSE({1,2,3,4,5},$G244,$H244,$I244,$J244,$K244),_xlpm.validNums,_xlfn._xlws.FILTER(_xlpm.nums,_xlpm.qtys&gt;0),_xlpm.validSheets,_xlfn._xlws.FILTER(_xlpm.sheets,_xlpm.qtys&gt;0),_xlpm.mx,IFERROR(MAX(_xlpm.validNums),0),IF(_xlpm.mx=0,"",INDEX(_xlpm.validSheets,MATCH(_xlpm.mx,_xlpm.validNums,0))&amp;" (+"&amp;$R244&amp;")")))</f>
        <v/>
      </c>
      <c r="F244" s="11" t="str">
        <f t="shared" si="15"/>
        <v/>
      </c>
      <c r="G244" s="12" t="str">
        <f ca="1">IF($A244="","",IFERROR(SUMIF(INDIRECT("'"&amp;'Template Setup'!$C$4&amp;"'!C:C"),$A244,INDIRECT("'"&amp;'Template Setup'!$C$4&amp;"'!A:A")),0))</f>
        <v/>
      </c>
      <c r="H244" s="12" t="str">
        <f ca="1">IF($A244="","",IFERROR(SUMIF(INDIRECT("'"&amp;'Template Setup'!$C$5&amp;"'!C:C"),$A244,INDIRECT("'"&amp;'Template Setup'!$C$5&amp;"'!A:A")),0))</f>
        <v/>
      </c>
      <c r="I244" s="12" t="str">
        <f ca="1">IF($A244="","",IFERROR(SUMIF(INDIRECT("'"&amp;'Template Setup'!$C$6&amp;"'!C:C"),$A244,INDIRECT("'"&amp;'Template Setup'!$C$6&amp;"'!A:A")),0))</f>
        <v/>
      </c>
      <c r="J244" s="12" t="str">
        <f ca="1">IF($A244="","",IFERROR(SUMIF(INDIRECT("'"&amp;'Template Setup'!$C$7&amp;"'!C:C"),$A244,INDIRECT("'"&amp;'Template Setup'!$C$7&amp;"'!A:A")),0))</f>
        <v/>
      </c>
      <c r="K244" s="12" t="str">
        <f ca="1">IF($A244="","",IFERROR(SUMIF(INDIRECT("'"&amp;'Template Setup'!$C$8&amp;"'!C:C"),$A244,INDIRECT("'"&amp;'Template Setup'!$C$8&amp;"'!A:A")),0))</f>
        <v/>
      </c>
      <c r="L244" s="11" t="str">
        <f>IF($A244="","",IFERROR(VALUE(MID(TRIM('Template Setup'!$C$4),FIND("-",TRIM('Template Setup'!$C$4))+1,10)),0))</f>
        <v/>
      </c>
      <c r="M244" s="11" t="str">
        <f>IF($A244="","",IFERROR(VALUE(MID(TRIM('Template Setup'!$C$5),FIND("-",TRIM('Template Setup'!$C$5))+1,10)),0))</f>
        <v/>
      </c>
      <c r="N244" s="11" t="str">
        <f>IF($A244="","",IFERROR(VALUE(MID(TRIM('Template Setup'!$C$6),FIND("-",TRIM('Template Setup'!$C$6))+1,10)),0))</f>
        <v/>
      </c>
      <c r="O244" s="11" t="str">
        <f>IF($A244="","",IFERROR(VALUE(MID(TRIM('Template Setup'!$C$7),FIND("-",TRIM('Template Setup'!$C$7))+1,10)),0))</f>
        <v/>
      </c>
      <c r="P244" s="11" t="str">
        <f>IF($A244="","",IFERROR(VALUE(MID(TRIM('Template Setup'!$C$8),FIND("-",TRIM('Template Setup'!$C$8))+1,10)),0))</f>
        <v/>
      </c>
      <c r="Q244" s="9" t="str">
        <f>IF($A244="","",$A244&amp;"-"&amp;'Template Setup'!$C$16)</f>
        <v/>
      </c>
      <c r="R244" s="24" t="str">
        <f t="shared" si="13"/>
        <v/>
      </c>
      <c r="S244" s="24"/>
      <c r="T244" s="24" t="str">
        <f t="shared" si="14"/>
        <v/>
      </c>
      <c r="U244" s="6" t="str">
        <f t="shared" si="16"/>
        <v/>
      </c>
    </row>
    <row r="245" spans="1:21">
      <c r="A245" s="11"/>
      <c r="B245" s="11"/>
      <c r="C245" s="11"/>
      <c r="D245" s="11" t="str">
        <f>IF($A245="","",_xlfn.TEXTJOIN(", ",TRUE,IF($G245&gt;0,'Template Setup'!$C$4,""),IF($H245&gt;0,'Template Setup'!$C$5,""),IF($I245&gt;0,'Template Setup'!$C$6,""),IF($J245&gt;0,'Template Setup'!$C$7,""),IF($K245&gt;0,'Template Setup'!$C$8,"")))</f>
        <v/>
      </c>
      <c r="E245" s="6" t="str" cm="1">
        <f t="array" ref="E245">IF($A245="","",_xlfn.LET(_xlpm.sheets,CHOOSE({1,2,3,4,5},'Template Setup'!$C$4,'Template Setup'!$C$5,'Template Setup'!$C$6,'Template Setup'!$C$7,'Template Setup'!$C$8),_xlpm.nums,CHOOSE({1,2,3,4,5},$L245,$M245,$N245,$O245,$P245),_xlpm.qtys,CHOOSE({1,2,3,4,5},$G245,$H245,$I245,$J245,$K245),_xlpm.validNums,_xlfn._xlws.FILTER(_xlpm.nums,_xlpm.qtys&gt;0),_xlpm.validSheets,_xlfn._xlws.FILTER(_xlpm.sheets,_xlpm.qtys&gt;0),_xlpm.mx,IFERROR(MAX(_xlpm.validNums),0),IF(_xlpm.mx=0,"",INDEX(_xlpm.validSheets,MATCH(_xlpm.mx,_xlpm.validNums,0))&amp;" (+"&amp;$R245&amp;")")))</f>
        <v/>
      </c>
      <c r="F245" s="11" t="str">
        <f t="shared" si="15"/>
        <v/>
      </c>
      <c r="G245" s="12" t="str">
        <f ca="1">IF($A245="","",IFERROR(SUMIF(INDIRECT("'"&amp;'Template Setup'!$C$4&amp;"'!C:C"),$A245,INDIRECT("'"&amp;'Template Setup'!$C$4&amp;"'!A:A")),0))</f>
        <v/>
      </c>
      <c r="H245" s="12" t="str">
        <f ca="1">IF($A245="","",IFERROR(SUMIF(INDIRECT("'"&amp;'Template Setup'!$C$5&amp;"'!C:C"),$A245,INDIRECT("'"&amp;'Template Setup'!$C$5&amp;"'!A:A")),0))</f>
        <v/>
      </c>
      <c r="I245" s="12" t="str">
        <f ca="1">IF($A245="","",IFERROR(SUMIF(INDIRECT("'"&amp;'Template Setup'!$C$6&amp;"'!C:C"),$A245,INDIRECT("'"&amp;'Template Setup'!$C$6&amp;"'!A:A")),0))</f>
        <v/>
      </c>
      <c r="J245" s="12" t="str">
        <f ca="1">IF($A245="","",IFERROR(SUMIF(INDIRECT("'"&amp;'Template Setup'!$C$7&amp;"'!C:C"),$A245,INDIRECT("'"&amp;'Template Setup'!$C$7&amp;"'!A:A")),0))</f>
        <v/>
      </c>
      <c r="K245" s="12" t="str">
        <f ca="1">IF($A245="","",IFERROR(SUMIF(INDIRECT("'"&amp;'Template Setup'!$C$8&amp;"'!C:C"),$A245,INDIRECT("'"&amp;'Template Setup'!$C$8&amp;"'!A:A")),0))</f>
        <v/>
      </c>
      <c r="L245" s="11" t="str">
        <f>IF($A245="","",IFERROR(VALUE(MID(TRIM('Template Setup'!$C$4),FIND("-",TRIM('Template Setup'!$C$4))+1,10)),0))</f>
        <v/>
      </c>
      <c r="M245" s="11" t="str">
        <f>IF($A245="","",IFERROR(VALUE(MID(TRIM('Template Setup'!$C$5),FIND("-",TRIM('Template Setup'!$C$5))+1,10)),0))</f>
        <v/>
      </c>
      <c r="N245" s="11" t="str">
        <f>IF($A245="","",IFERROR(VALUE(MID(TRIM('Template Setup'!$C$6),FIND("-",TRIM('Template Setup'!$C$6))+1,10)),0))</f>
        <v/>
      </c>
      <c r="O245" s="11" t="str">
        <f>IF($A245="","",IFERROR(VALUE(MID(TRIM('Template Setup'!$C$7),FIND("-",TRIM('Template Setup'!$C$7))+1,10)),0))</f>
        <v/>
      </c>
      <c r="P245" s="11" t="str">
        <f>IF($A245="","",IFERROR(VALUE(MID(TRIM('Template Setup'!$C$8),FIND("-",TRIM('Template Setup'!$C$8))+1,10)),0))</f>
        <v/>
      </c>
      <c r="Q245" s="9" t="str">
        <f>IF($A245="","",$A245&amp;"-"&amp;'Template Setup'!$C$16)</f>
        <v/>
      </c>
      <c r="R245" s="24" t="str">
        <f t="shared" si="13"/>
        <v/>
      </c>
      <c r="S245" s="24"/>
      <c r="T245" s="24" t="str">
        <f t="shared" si="14"/>
        <v/>
      </c>
      <c r="U245" s="6" t="str">
        <f t="shared" si="16"/>
        <v/>
      </c>
    </row>
    <row r="246" spans="1:21">
      <c r="A246" s="11"/>
      <c r="B246" s="11"/>
      <c r="C246" s="11"/>
      <c r="D246" s="11" t="str">
        <f>IF($A246="","",_xlfn.TEXTJOIN(", ",TRUE,IF($G246&gt;0,'Template Setup'!$C$4,""),IF($H246&gt;0,'Template Setup'!$C$5,""),IF($I246&gt;0,'Template Setup'!$C$6,""),IF($J246&gt;0,'Template Setup'!$C$7,""),IF($K246&gt;0,'Template Setup'!$C$8,"")))</f>
        <v/>
      </c>
      <c r="E246" s="6" t="str" cm="1">
        <f t="array" ref="E246">IF($A246="","",_xlfn.LET(_xlpm.sheets,CHOOSE({1,2,3,4,5},'Template Setup'!$C$4,'Template Setup'!$C$5,'Template Setup'!$C$6,'Template Setup'!$C$7,'Template Setup'!$C$8),_xlpm.nums,CHOOSE({1,2,3,4,5},$L246,$M246,$N246,$O246,$P246),_xlpm.qtys,CHOOSE({1,2,3,4,5},$G246,$H246,$I246,$J246,$K246),_xlpm.validNums,_xlfn._xlws.FILTER(_xlpm.nums,_xlpm.qtys&gt;0),_xlpm.validSheets,_xlfn._xlws.FILTER(_xlpm.sheets,_xlpm.qtys&gt;0),_xlpm.mx,IFERROR(MAX(_xlpm.validNums),0),IF(_xlpm.mx=0,"",INDEX(_xlpm.validSheets,MATCH(_xlpm.mx,_xlpm.validNums,0))&amp;" (+"&amp;$R246&amp;")")))</f>
        <v/>
      </c>
      <c r="F246" s="11" t="str">
        <f t="shared" si="15"/>
        <v/>
      </c>
      <c r="G246" s="12" t="str">
        <f ca="1">IF($A246="","",IFERROR(SUMIF(INDIRECT("'"&amp;'Template Setup'!$C$4&amp;"'!C:C"),$A246,INDIRECT("'"&amp;'Template Setup'!$C$4&amp;"'!A:A")),0))</f>
        <v/>
      </c>
      <c r="H246" s="12" t="str">
        <f ca="1">IF($A246="","",IFERROR(SUMIF(INDIRECT("'"&amp;'Template Setup'!$C$5&amp;"'!C:C"),$A246,INDIRECT("'"&amp;'Template Setup'!$C$5&amp;"'!A:A")),0))</f>
        <v/>
      </c>
      <c r="I246" s="12" t="str">
        <f ca="1">IF($A246="","",IFERROR(SUMIF(INDIRECT("'"&amp;'Template Setup'!$C$6&amp;"'!C:C"),$A246,INDIRECT("'"&amp;'Template Setup'!$C$6&amp;"'!A:A")),0))</f>
        <v/>
      </c>
      <c r="J246" s="12" t="str">
        <f ca="1">IF($A246="","",IFERROR(SUMIF(INDIRECT("'"&amp;'Template Setup'!$C$7&amp;"'!C:C"),$A246,INDIRECT("'"&amp;'Template Setup'!$C$7&amp;"'!A:A")),0))</f>
        <v/>
      </c>
      <c r="K246" s="12" t="str">
        <f ca="1">IF($A246="","",IFERROR(SUMIF(INDIRECT("'"&amp;'Template Setup'!$C$8&amp;"'!C:C"),$A246,INDIRECT("'"&amp;'Template Setup'!$C$8&amp;"'!A:A")),0))</f>
        <v/>
      </c>
      <c r="L246" s="11" t="str">
        <f>IF($A246="","",IFERROR(VALUE(MID(TRIM('Template Setup'!$C$4),FIND("-",TRIM('Template Setup'!$C$4))+1,10)),0))</f>
        <v/>
      </c>
      <c r="M246" s="11" t="str">
        <f>IF($A246="","",IFERROR(VALUE(MID(TRIM('Template Setup'!$C$5),FIND("-",TRIM('Template Setup'!$C$5))+1,10)),0))</f>
        <v/>
      </c>
      <c r="N246" s="11" t="str">
        <f>IF($A246="","",IFERROR(VALUE(MID(TRIM('Template Setup'!$C$6),FIND("-",TRIM('Template Setup'!$C$6))+1,10)),0))</f>
        <v/>
      </c>
      <c r="O246" s="11" t="str">
        <f>IF($A246="","",IFERROR(VALUE(MID(TRIM('Template Setup'!$C$7),FIND("-",TRIM('Template Setup'!$C$7))+1,10)),0))</f>
        <v/>
      </c>
      <c r="P246" s="11" t="str">
        <f>IF($A246="","",IFERROR(VALUE(MID(TRIM('Template Setup'!$C$8),FIND("-",TRIM('Template Setup'!$C$8))+1,10)),0))</f>
        <v/>
      </c>
      <c r="Q246" s="9" t="str">
        <f>IF($A246="","",$A246&amp;"-"&amp;'Template Setup'!$C$16)</f>
        <v/>
      </c>
      <c r="R246" s="24" t="str">
        <f t="shared" si="13"/>
        <v/>
      </c>
      <c r="S246" s="24"/>
      <c r="T246" s="24" t="str">
        <f t="shared" si="14"/>
        <v/>
      </c>
      <c r="U246" s="6" t="str">
        <f t="shared" si="16"/>
        <v/>
      </c>
    </row>
    <row r="247" spans="1:21">
      <c r="A247" s="11"/>
      <c r="B247" s="11"/>
      <c r="C247" s="11"/>
      <c r="D247" s="11" t="str">
        <f>IF($A247="","",_xlfn.TEXTJOIN(", ",TRUE,IF($G247&gt;0,'Template Setup'!$C$4,""),IF($H247&gt;0,'Template Setup'!$C$5,""),IF($I247&gt;0,'Template Setup'!$C$6,""),IF($J247&gt;0,'Template Setup'!$C$7,""),IF($K247&gt;0,'Template Setup'!$C$8,"")))</f>
        <v/>
      </c>
      <c r="E247" s="6" t="str" cm="1">
        <f t="array" ref="E247">IF($A247="","",_xlfn.LET(_xlpm.sheets,CHOOSE({1,2,3,4,5},'Template Setup'!$C$4,'Template Setup'!$C$5,'Template Setup'!$C$6,'Template Setup'!$C$7,'Template Setup'!$C$8),_xlpm.nums,CHOOSE({1,2,3,4,5},$L247,$M247,$N247,$O247,$P247),_xlpm.qtys,CHOOSE({1,2,3,4,5},$G247,$H247,$I247,$J247,$K247),_xlpm.validNums,_xlfn._xlws.FILTER(_xlpm.nums,_xlpm.qtys&gt;0),_xlpm.validSheets,_xlfn._xlws.FILTER(_xlpm.sheets,_xlpm.qtys&gt;0),_xlpm.mx,IFERROR(MAX(_xlpm.validNums),0),IF(_xlpm.mx=0,"",INDEX(_xlpm.validSheets,MATCH(_xlpm.mx,_xlpm.validNums,0))&amp;" (+"&amp;$R247&amp;")")))</f>
        <v/>
      </c>
      <c r="F247" s="11" t="str">
        <f t="shared" si="15"/>
        <v/>
      </c>
      <c r="G247" s="12" t="str">
        <f ca="1">IF($A247="","",IFERROR(SUMIF(INDIRECT("'"&amp;'Template Setup'!$C$4&amp;"'!C:C"),$A247,INDIRECT("'"&amp;'Template Setup'!$C$4&amp;"'!A:A")),0))</f>
        <v/>
      </c>
      <c r="H247" s="12" t="str">
        <f ca="1">IF($A247="","",IFERROR(SUMIF(INDIRECT("'"&amp;'Template Setup'!$C$5&amp;"'!C:C"),$A247,INDIRECT("'"&amp;'Template Setup'!$C$5&amp;"'!A:A")),0))</f>
        <v/>
      </c>
      <c r="I247" s="12" t="str">
        <f ca="1">IF($A247="","",IFERROR(SUMIF(INDIRECT("'"&amp;'Template Setup'!$C$6&amp;"'!C:C"),$A247,INDIRECT("'"&amp;'Template Setup'!$C$6&amp;"'!A:A")),0))</f>
        <v/>
      </c>
      <c r="J247" s="12" t="str">
        <f ca="1">IF($A247="","",IFERROR(SUMIF(INDIRECT("'"&amp;'Template Setup'!$C$7&amp;"'!C:C"),$A247,INDIRECT("'"&amp;'Template Setup'!$C$7&amp;"'!A:A")),0))</f>
        <v/>
      </c>
      <c r="K247" s="12" t="str">
        <f ca="1">IF($A247="","",IFERROR(SUMIF(INDIRECT("'"&amp;'Template Setup'!$C$8&amp;"'!C:C"),$A247,INDIRECT("'"&amp;'Template Setup'!$C$8&amp;"'!A:A")),0))</f>
        <v/>
      </c>
      <c r="L247" s="11" t="str">
        <f>IF($A247="","",IFERROR(VALUE(MID(TRIM('Template Setup'!$C$4),FIND("-",TRIM('Template Setup'!$C$4))+1,10)),0))</f>
        <v/>
      </c>
      <c r="M247" s="11" t="str">
        <f>IF($A247="","",IFERROR(VALUE(MID(TRIM('Template Setup'!$C$5),FIND("-",TRIM('Template Setup'!$C$5))+1,10)),0))</f>
        <v/>
      </c>
      <c r="N247" s="11" t="str">
        <f>IF($A247="","",IFERROR(VALUE(MID(TRIM('Template Setup'!$C$6),FIND("-",TRIM('Template Setup'!$C$6))+1,10)),0))</f>
        <v/>
      </c>
      <c r="O247" s="11" t="str">
        <f>IF($A247="","",IFERROR(VALUE(MID(TRIM('Template Setup'!$C$7),FIND("-",TRIM('Template Setup'!$C$7))+1,10)),0))</f>
        <v/>
      </c>
      <c r="P247" s="11" t="str">
        <f>IF($A247="","",IFERROR(VALUE(MID(TRIM('Template Setup'!$C$8),FIND("-",TRIM('Template Setup'!$C$8))+1,10)),0))</f>
        <v/>
      </c>
      <c r="Q247" s="9" t="str">
        <f>IF($A247="","",$A247&amp;"-"&amp;'Template Setup'!$C$16)</f>
        <v/>
      </c>
      <c r="R247" s="24" t="str">
        <f t="shared" si="13"/>
        <v/>
      </c>
      <c r="S247" s="24"/>
      <c r="T247" s="24" t="str">
        <f t="shared" si="14"/>
        <v/>
      </c>
      <c r="U247" s="6" t="str">
        <f t="shared" si="16"/>
        <v/>
      </c>
    </row>
    <row r="248" spans="1:21">
      <c r="A248" s="11"/>
      <c r="B248" s="11"/>
      <c r="C248" s="11"/>
      <c r="D248" s="11" t="str">
        <f>IF($A248="","",_xlfn.TEXTJOIN(", ",TRUE,IF($G248&gt;0,'Template Setup'!$C$4,""),IF($H248&gt;0,'Template Setup'!$C$5,""),IF($I248&gt;0,'Template Setup'!$C$6,""),IF($J248&gt;0,'Template Setup'!$C$7,""),IF($K248&gt;0,'Template Setup'!$C$8,"")))</f>
        <v/>
      </c>
      <c r="E248" s="6" t="str" cm="1">
        <f t="array" ref="E248">IF($A248="","",_xlfn.LET(_xlpm.sheets,CHOOSE({1,2,3,4,5},'Template Setup'!$C$4,'Template Setup'!$C$5,'Template Setup'!$C$6,'Template Setup'!$C$7,'Template Setup'!$C$8),_xlpm.nums,CHOOSE({1,2,3,4,5},$L248,$M248,$N248,$O248,$P248),_xlpm.qtys,CHOOSE({1,2,3,4,5},$G248,$H248,$I248,$J248,$K248),_xlpm.validNums,_xlfn._xlws.FILTER(_xlpm.nums,_xlpm.qtys&gt;0),_xlpm.validSheets,_xlfn._xlws.FILTER(_xlpm.sheets,_xlpm.qtys&gt;0),_xlpm.mx,IFERROR(MAX(_xlpm.validNums),0),IF(_xlpm.mx=0,"",INDEX(_xlpm.validSheets,MATCH(_xlpm.mx,_xlpm.validNums,0))&amp;" (+"&amp;$R248&amp;")")))</f>
        <v/>
      </c>
      <c r="F248" s="11" t="str">
        <f t="shared" si="15"/>
        <v/>
      </c>
      <c r="G248" s="12" t="str">
        <f ca="1">IF($A248="","",IFERROR(SUMIF(INDIRECT("'"&amp;'Template Setup'!$C$4&amp;"'!C:C"),$A248,INDIRECT("'"&amp;'Template Setup'!$C$4&amp;"'!A:A")),0))</f>
        <v/>
      </c>
      <c r="H248" s="12" t="str">
        <f ca="1">IF($A248="","",IFERROR(SUMIF(INDIRECT("'"&amp;'Template Setup'!$C$5&amp;"'!C:C"),$A248,INDIRECT("'"&amp;'Template Setup'!$C$5&amp;"'!A:A")),0))</f>
        <v/>
      </c>
      <c r="I248" s="12" t="str">
        <f ca="1">IF($A248="","",IFERROR(SUMIF(INDIRECT("'"&amp;'Template Setup'!$C$6&amp;"'!C:C"),$A248,INDIRECT("'"&amp;'Template Setup'!$C$6&amp;"'!A:A")),0))</f>
        <v/>
      </c>
      <c r="J248" s="12" t="str">
        <f ca="1">IF($A248="","",IFERROR(SUMIF(INDIRECT("'"&amp;'Template Setup'!$C$7&amp;"'!C:C"),$A248,INDIRECT("'"&amp;'Template Setup'!$C$7&amp;"'!A:A")),0))</f>
        <v/>
      </c>
      <c r="K248" s="12" t="str">
        <f ca="1">IF($A248="","",IFERROR(SUMIF(INDIRECT("'"&amp;'Template Setup'!$C$8&amp;"'!C:C"),$A248,INDIRECT("'"&amp;'Template Setup'!$C$8&amp;"'!A:A")),0))</f>
        <v/>
      </c>
      <c r="L248" s="11" t="str">
        <f>IF($A248="","",IFERROR(VALUE(MID(TRIM('Template Setup'!$C$4),FIND("-",TRIM('Template Setup'!$C$4))+1,10)),0))</f>
        <v/>
      </c>
      <c r="M248" s="11" t="str">
        <f>IF($A248="","",IFERROR(VALUE(MID(TRIM('Template Setup'!$C$5),FIND("-",TRIM('Template Setup'!$C$5))+1,10)),0))</f>
        <v/>
      </c>
      <c r="N248" s="11" t="str">
        <f>IF($A248="","",IFERROR(VALUE(MID(TRIM('Template Setup'!$C$6),FIND("-",TRIM('Template Setup'!$C$6))+1,10)),0))</f>
        <v/>
      </c>
      <c r="O248" s="11" t="str">
        <f>IF($A248="","",IFERROR(VALUE(MID(TRIM('Template Setup'!$C$7),FIND("-",TRIM('Template Setup'!$C$7))+1,10)),0))</f>
        <v/>
      </c>
      <c r="P248" s="11" t="str">
        <f>IF($A248="","",IFERROR(VALUE(MID(TRIM('Template Setup'!$C$8),FIND("-",TRIM('Template Setup'!$C$8))+1,10)),0))</f>
        <v/>
      </c>
      <c r="Q248" s="9" t="str">
        <f>IF($A248="","",$A248&amp;"-"&amp;'Template Setup'!$C$16)</f>
        <v/>
      </c>
      <c r="R248" s="24" t="str">
        <f t="shared" si="13"/>
        <v/>
      </c>
      <c r="S248" s="24"/>
      <c r="T248" s="24" t="str">
        <f t="shared" si="14"/>
        <v/>
      </c>
      <c r="U248" s="6" t="str">
        <f t="shared" si="16"/>
        <v/>
      </c>
    </row>
    <row r="249" spans="1:21">
      <c r="A249" s="11"/>
      <c r="B249" s="11"/>
      <c r="C249" s="11"/>
      <c r="D249" s="11" t="str">
        <f>IF($A249="","",_xlfn.TEXTJOIN(", ",TRUE,IF($G249&gt;0,'Template Setup'!$C$4,""),IF($H249&gt;0,'Template Setup'!$C$5,""),IF($I249&gt;0,'Template Setup'!$C$6,""),IF($J249&gt;0,'Template Setup'!$C$7,""),IF($K249&gt;0,'Template Setup'!$C$8,"")))</f>
        <v/>
      </c>
      <c r="E249" s="6" t="str" cm="1">
        <f t="array" ref="E249">IF($A249="","",_xlfn.LET(_xlpm.sheets,CHOOSE({1,2,3,4,5},'Template Setup'!$C$4,'Template Setup'!$C$5,'Template Setup'!$C$6,'Template Setup'!$C$7,'Template Setup'!$C$8),_xlpm.nums,CHOOSE({1,2,3,4,5},$L249,$M249,$N249,$O249,$P249),_xlpm.qtys,CHOOSE({1,2,3,4,5},$G249,$H249,$I249,$J249,$K249),_xlpm.validNums,_xlfn._xlws.FILTER(_xlpm.nums,_xlpm.qtys&gt;0),_xlpm.validSheets,_xlfn._xlws.FILTER(_xlpm.sheets,_xlpm.qtys&gt;0),_xlpm.mx,IFERROR(MAX(_xlpm.validNums),0),IF(_xlpm.mx=0,"",INDEX(_xlpm.validSheets,MATCH(_xlpm.mx,_xlpm.validNums,0))&amp;" (+"&amp;$R249&amp;")")))</f>
        <v/>
      </c>
      <c r="F249" s="11" t="str">
        <f t="shared" si="15"/>
        <v/>
      </c>
      <c r="G249" s="12" t="str">
        <f ca="1">IF($A249="","",IFERROR(SUMIF(INDIRECT("'"&amp;'Template Setup'!$C$4&amp;"'!C:C"),$A249,INDIRECT("'"&amp;'Template Setup'!$C$4&amp;"'!A:A")),0))</f>
        <v/>
      </c>
      <c r="H249" s="12" t="str">
        <f ca="1">IF($A249="","",IFERROR(SUMIF(INDIRECT("'"&amp;'Template Setup'!$C$5&amp;"'!C:C"),$A249,INDIRECT("'"&amp;'Template Setup'!$C$5&amp;"'!A:A")),0))</f>
        <v/>
      </c>
      <c r="I249" s="12" t="str">
        <f ca="1">IF($A249="","",IFERROR(SUMIF(INDIRECT("'"&amp;'Template Setup'!$C$6&amp;"'!C:C"),$A249,INDIRECT("'"&amp;'Template Setup'!$C$6&amp;"'!A:A")),0))</f>
        <v/>
      </c>
      <c r="J249" s="12" t="str">
        <f ca="1">IF($A249="","",IFERROR(SUMIF(INDIRECT("'"&amp;'Template Setup'!$C$7&amp;"'!C:C"),$A249,INDIRECT("'"&amp;'Template Setup'!$C$7&amp;"'!A:A")),0))</f>
        <v/>
      </c>
      <c r="K249" s="12" t="str">
        <f ca="1">IF($A249="","",IFERROR(SUMIF(INDIRECT("'"&amp;'Template Setup'!$C$8&amp;"'!C:C"),$A249,INDIRECT("'"&amp;'Template Setup'!$C$8&amp;"'!A:A")),0))</f>
        <v/>
      </c>
      <c r="L249" s="11" t="str">
        <f>IF($A249="","",IFERROR(VALUE(MID(TRIM('Template Setup'!$C$4),FIND("-",TRIM('Template Setup'!$C$4))+1,10)),0))</f>
        <v/>
      </c>
      <c r="M249" s="11" t="str">
        <f>IF($A249="","",IFERROR(VALUE(MID(TRIM('Template Setup'!$C$5),FIND("-",TRIM('Template Setup'!$C$5))+1,10)),0))</f>
        <v/>
      </c>
      <c r="N249" s="11" t="str">
        <f>IF($A249="","",IFERROR(VALUE(MID(TRIM('Template Setup'!$C$6),FIND("-",TRIM('Template Setup'!$C$6))+1,10)),0))</f>
        <v/>
      </c>
      <c r="O249" s="11" t="str">
        <f>IF($A249="","",IFERROR(VALUE(MID(TRIM('Template Setup'!$C$7),FIND("-",TRIM('Template Setup'!$C$7))+1,10)),0))</f>
        <v/>
      </c>
      <c r="P249" s="11" t="str">
        <f>IF($A249="","",IFERROR(VALUE(MID(TRIM('Template Setup'!$C$8),FIND("-",TRIM('Template Setup'!$C$8))+1,10)),0))</f>
        <v/>
      </c>
      <c r="Q249" s="9" t="str">
        <f>IF($A249="","",$A249&amp;"-"&amp;'Template Setup'!$C$16)</f>
        <v/>
      </c>
      <c r="R249" s="24" t="str">
        <f t="shared" si="13"/>
        <v/>
      </c>
      <c r="S249" s="24"/>
      <c r="T249" s="24" t="str">
        <f t="shared" si="14"/>
        <v/>
      </c>
      <c r="U249" s="6" t="str">
        <f t="shared" si="16"/>
        <v/>
      </c>
    </row>
    <row r="250" spans="1:21">
      <c r="A250" s="11"/>
      <c r="B250" s="11"/>
      <c r="C250" s="11"/>
      <c r="D250" s="11" t="str">
        <f>IF($A250="","",_xlfn.TEXTJOIN(", ",TRUE,IF($G250&gt;0,'Template Setup'!$C$4,""),IF($H250&gt;0,'Template Setup'!$C$5,""),IF($I250&gt;0,'Template Setup'!$C$6,""),IF($J250&gt;0,'Template Setup'!$C$7,""),IF($K250&gt;0,'Template Setup'!$C$8,"")))</f>
        <v/>
      </c>
      <c r="E250" s="6" t="str" cm="1">
        <f t="array" ref="E250">IF($A250="","",_xlfn.LET(_xlpm.sheets,CHOOSE({1,2,3,4,5},'Template Setup'!$C$4,'Template Setup'!$C$5,'Template Setup'!$C$6,'Template Setup'!$C$7,'Template Setup'!$C$8),_xlpm.nums,CHOOSE({1,2,3,4,5},$L250,$M250,$N250,$O250,$P250),_xlpm.qtys,CHOOSE({1,2,3,4,5},$G250,$H250,$I250,$J250,$K250),_xlpm.validNums,_xlfn._xlws.FILTER(_xlpm.nums,_xlpm.qtys&gt;0),_xlpm.validSheets,_xlfn._xlws.FILTER(_xlpm.sheets,_xlpm.qtys&gt;0),_xlpm.mx,IFERROR(MAX(_xlpm.validNums),0),IF(_xlpm.mx=0,"",INDEX(_xlpm.validSheets,MATCH(_xlpm.mx,_xlpm.validNums,0))&amp;" (+"&amp;$R250&amp;")")))</f>
        <v/>
      </c>
      <c r="F250" s="11" t="str">
        <f t="shared" si="15"/>
        <v/>
      </c>
      <c r="G250" s="12" t="str">
        <f ca="1">IF($A250="","",IFERROR(SUMIF(INDIRECT("'"&amp;'Template Setup'!$C$4&amp;"'!C:C"),$A250,INDIRECT("'"&amp;'Template Setup'!$C$4&amp;"'!A:A")),0))</f>
        <v/>
      </c>
      <c r="H250" s="12" t="str">
        <f ca="1">IF($A250="","",IFERROR(SUMIF(INDIRECT("'"&amp;'Template Setup'!$C$5&amp;"'!C:C"),$A250,INDIRECT("'"&amp;'Template Setup'!$C$5&amp;"'!A:A")),0))</f>
        <v/>
      </c>
      <c r="I250" s="12" t="str">
        <f ca="1">IF($A250="","",IFERROR(SUMIF(INDIRECT("'"&amp;'Template Setup'!$C$6&amp;"'!C:C"),$A250,INDIRECT("'"&amp;'Template Setup'!$C$6&amp;"'!A:A")),0))</f>
        <v/>
      </c>
      <c r="J250" s="12" t="str">
        <f ca="1">IF($A250="","",IFERROR(SUMIF(INDIRECT("'"&amp;'Template Setup'!$C$7&amp;"'!C:C"),$A250,INDIRECT("'"&amp;'Template Setup'!$C$7&amp;"'!A:A")),0))</f>
        <v/>
      </c>
      <c r="K250" s="12" t="str">
        <f ca="1">IF($A250="","",IFERROR(SUMIF(INDIRECT("'"&amp;'Template Setup'!$C$8&amp;"'!C:C"),$A250,INDIRECT("'"&amp;'Template Setup'!$C$8&amp;"'!A:A")),0))</f>
        <v/>
      </c>
      <c r="L250" s="11" t="str">
        <f>IF($A250="","",IFERROR(VALUE(MID(TRIM('Template Setup'!$C$4),FIND("-",TRIM('Template Setup'!$C$4))+1,10)),0))</f>
        <v/>
      </c>
      <c r="M250" s="11" t="str">
        <f>IF($A250="","",IFERROR(VALUE(MID(TRIM('Template Setup'!$C$5),FIND("-",TRIM('Template Setup'!$C$5))+1,10)),0))</f>
        <v/>
      </c>
      <c r="N250" s="11" t="str">
        <f>IF($A250="","",IFERROR(VALUE(MID(TRIM('Template Setup'!$C$6),FIND("-",TRIM('Template Setup'!$C$6))+1,10)),0))</f>
        <v/>
      </c>
      <c r="O250" s="11" t="str">
        <f>IF($A250="","",IFERROR(VALUE(MID(TRIM('Template Setup'!$C$7),FIND("-",TRIM('Template Setup'!$C$7))+1,10)),0))</f>
        <v/>
      </c>
      <c r="P250" s="11" t="str">
        <f>IF($A250="","",IFERROR(VALUE(MID(TRIM('Template Setup'!$C$8),FIND("-",TRIM('Template Setup'!$C$8))+1,10)),0))</f>
        <v/>
      </c>
      <c r="Q250" s="9" t="str">
        <f>IF($A250="","",$A250&amp;"-"&amp;'Template Setup'!$C$16)</f>
        <v/>
      </c>
      <c r="R250" s="24" t="str">
        <f t="shared" si="13"/>
        <v/>
      </c>
      <c r="S250" s="24"/>
      <c r="T250" s="24" t="str">
        <f t="shared" si="14"/>
        <v/>
      </c>
      <c r="U250" s="6" t="str">
        <f t="shared" si="16"/>
        <v/>
      </c>
    </row>
    <row r="251" spans="1:21">
      <c r="A251" s="11"/>
      <c r="B251" s="11"/>
      <c r="C251" s="11"/>
      <c r="D251" s="11" t="str">
        <f>IF($A251="","",_xlfn.TEXTJOIN(", ",TRUE,IF($G251&gt;0,'Template Setup'!$C$4,""),IF($H251&gt;0,'Template Setup'!$C$5,""),IF($I251&gt;0,'Template Setup'!$C$6,""),IF($J251&gt;0,'Template Setup'!$C$7,""),IF($K251&gt;0,'Template Setup'!$C$8,"")))</f>
        <v/>
      </c>
      <c r="E251" s="6" t="str" cm="1">
        <f t="array" ref="E251">IF($A251="","",_xlfn.LET(_xlpm.sheets,CHOOSE({1,2,3,4,5},'Template Setup'!$C$4,'Template Setup'!$C$5,'Template Setup'!$C$6,'Template Setup'!$C$7,'Template Setup'!$C$8),_xlpm.nums,CHOOSE({1,2,3,4,5},$L251,$M251,$N251,$O251,$P251),_xlpm.qtys,CHOOSE({1,2,3,4,5},$G251,$H251,$I251,$J251,$K251),_xlpm.validNums,_xlfn._xlws.FILTER(_xlpm.nums,_xlpm.qtys&gt;0),_xlpm.validSheets,_xlfn._xlws.FILTER(_xlpm.sheets,_xlpm.qtys&gt;0),_xlpm.mx,IFERROR(MAX(_xlpm.validNums),0),IF(_xlpm.mx=0,"",INDEX(_xlpm.validSheets,MATCH(_xlpm.mx,_xlpm.validNums,0))&amp;" (+"&amp;$R251&amp;")")))</f>
        <v/>
      </c>
      <c r="F251" s="11" t="str">
        <f t="shared" si="15"/>
        <v/>
      </c>
      <c r="G251" s="12" t="str">
        <f ca="1">IF($A251="","",IFERROR(SUMIF(INDIRECT("'"&amp;'Template Setup'!$C$4&amp;"'!C:C"),$A251,INDIRECT("'"&amp;'Template Setup'!$C$4&amp;"'!A:A")),0))</f>
        <v/>
      </c>
      <c r="H251" s="12" t="str">
        <f ca="1">IF($A251="","",IFERROR(SUMIF(INDIRECT("'"&amp;'Template Setup'!$C$5&amp;"'!C:C"),$A251,INDIRECT("'"&amp;'Template Setup'!$C$5&amp;"'!A:A")),0))</f>
        <v/>
      </c>
      <c r="I251" s="12" t="str">
        <f ca="1">IF($A251="","",IFERROR(SUMIF(INDIRECT("'"&amp;'Template Setup'!$C$6&amp;"'!C:C"),$A251,INDIRECT("'"&amp;'Template Setup'!$C$6&amp;"'!A:A")),0))</f>
        <v/>
      </c>
      <c r="J251" s="12" t="str">
        <f ca="1">IF($A251="","",IFERROR(SUMIF(INDIRECT("'"&amp;'Template Setup'!$C$7&amp;"'!C:C"),$A251,INDIRECT("'"&amp;'Template Setup'!$C$7&amp;"'!A:A")),0))</f>
        <v/>
      </c>
      <c r="K251" s="12" t="str">
        <f ca="1">IF($A251="","",IFERROR(SUMIF(INDIRECT("'"&amp;'Template Setup'!$C$8&amp;"'!C:C"),$A251,INDIRECT("'"&amp;'Template Setup'!$C$8&amp;"'!A:A")),0))</f>
        <v/>
      </c>
      <c r="L251" s="11" t="str">
        <f>IF($A251="","",IFERROR(VALUE(MID(TRIM('Template Setup'!$C$4),FIND("-",TRIM('Template Setup'!$C$4))+1,10)),0))</f>
        <v/>
      </c>
      <c r="M251" s="11" t="str">
        <f>IF($A251="","",IFERROR(VALUE(MID(TRIM('Template Setup'!$C$5),FIND("-",TRIM('Template Setup'!$C$5))+1,10)),0))</f>
        <v/>
      </c>
      <c r="N251" s="11" t="str">
        <f>IF($A251="","",IFERROR(VALUE(MID(TRIM('Template Setup'!$C$6),FIND("-",TRIM('Template Setup'!$C$6))+1,10)),0))</f>
        <v/>
      </c>
      <c r="O251" s="11" t="str">
        <f>IF($A251="","",IFERROR(VALUE(MID(TRIM('Template Setup'!$C$7),FIND("-",TRIM('Template Setup'!$C$7))+1,10)),0))</f>
        <v/>
      </c>
      <c r="P251" s="11" t="str">
        <f>IF($A251="","",IFERROR(VALUE(MID(TRIM('Template Setup'!$C$8),FIND("-",TRIM('Template Setup'!$C$8))+1,10)),0))</f>
        <v/>
      </c>
      <c r="Q251" s="9" t="str">
        <f>IF($A251="","",$A251&amp;"-"&amp;'Template Setup'!$C$16)</f>
        <v/>
      </c>
      <c r="R251" s="24" t="str">
        <f t="shared" si="13"/>
        <v/>
      </c>
      <c r="S251" s="24"/>
      <c r="T251" s="24" t="str">
        <f t="shared" si="14"/>
        <v/>
      </c>
      <c r="U251" s="6" t="str">
        <f t="shared" si="16"/>
        <v/>
      </c>
    </row>
    <row r="252" spans="1:21">
      <c r="A252" s="11"/>
      <c r="B252" s="11"/>
      <c r="C252" s="11"/>
      <c r="D252" s="11" t="str">
        <f>IF($A252="","",_xlfn.TEXTJOIN(", ",TRUE,IF($G252&gt;0,'Template Setup'!$C$4,""),IF($H252&gt;0,'Template Setup'!$C$5,""),IF($I252&gt;0,'Template Setup'!$C$6,""),IF($J252&gt;0,'Template Setup'!$C$7,""),IF($K252&gt;0,'Template Setup'!$C$8,"")))</f>
        <v/>
      </c>
      <c r="E252" s="6" t="str" cm="1">
        <f t="array" ref="E252">IF($A252="","",_xlfn.LET(_xlpm.sheets,CHOOSE({1,2,3,4,5},'Template Setup'!$C$4,'Template Setup'!$C$5,'Template Setup'!$C$6,'Template Setup'!$C$7,'Template Setup'!$C$8),_xlpm.nums,CHOOSE({1,2,3,4,5},$L252,$M252,$N252,$O252,$P252),_xlpm.qtys,CHOOSE({1,2,3,4,5},$G252,$H252,$I252,$J252,$K252),_xlpm.validNums,_xlfn._xlws.FILTER(_xlpm.nums,_xlpm.qtys&gt;0),_xlpm.validSheets,_xlfn._xlws.FILTER(_xlpm.sheets,_xlpm.qtys&gt;0),_xlpm.mx,IFERROR(MAX(_xlpm.validNums),0),IF(_xlpm.mx=0,"",INDEX(_xlpm.validSheets,MATCH(_xlpm.mx,_xlpm.validNums,0))&amp;" (+"&amp;$R252&amp;")")))</f>
        <v/>
      </c>
      <c r="F252" s="11" t="str">
        <f t="shared" si="15"/>
        <v/>
      </c>
      <c r="G252" s="12" t="str">
        <f ca="1">IF($A252="","",IFERROR(SUMIF(INDIRECT("'"&amp;'Template Setup'!$C$4&amp;"'!C:C"),$A252,INDIRECT("'"&amp;'Template Setup'!$C$4&amp;"'!A:A")),0))</f>
        <v/>
      </c>
      <c r="H252" s="12" t="str">
        <f ca="1">IF($A252="","",IFERROR(SUMIF(INDIRECT("'"&amp;'Template Setup'!$C$5&amp;"'!C:C"),$A252,INDIRECT("'"&amp;'Template Setup'!$C$5&amp;"'!A:A")),0))</f>
        <v/>
      </c>
      <c r="I252" s="12" t="str">
        <f ca="1">IF($A252="","",IFERROR(SUMIF(INDIRECT("'"&amp;'Template Setup'!$C$6&amp;"'!C:C"),$A252,INDIRECT("'"&amp;'Template Setup'!$C$6&amp;"'!A:A")),0))</f>
        <v/>
      </c>
      <c r="J252" s="12" t="str">
        <f ca="1">IF($A252="","",IFERROR(SUMIF(INDIRECT("'"&amp;'Template Setup'!$C$7&amp;"'!C:C"),$A252,INDIRECT("'"&amp;'Template Setup'!$C$7&amp;"'!A:A")),0))</f>
        <v/>
      </c>
      <c r="K252" s="12" t="str">
        <f ca="1">IF($A252="","",IFERROR(SUMIF(INDIRECT("'"&amp;'Template Setup'!$C$8&amp;"'!C:C"),$A252,INDIRECT("'"&amp;'Template Setup'!$C$8&amp;"'!A:A")),0))</f>
        <v/>
      </c>
      <c r="L252" s="11" t="str">
        <f>IF($A252="","",IFERROR(VALUE(MID(TRIM('Template Setup'!$C$4),FIND("-",TRIM('Template Setup'!$C$4))+1,10)),0))</f>
        <v/>
      </c>
      <c r="M252" s="11" t="str">
        <f>IF($A252="","",IFERROR(VALUE(MID(TRIM('Template Setup'!$C$5),FIND("-",TRIM('Template Setup'!$C$5))+1,10)),0))</f>
        <v/>
      </c>
      <c r="N252" s="11" t="str">
        <f>IF($A252="","",IFERROR(VALUE(MID(TRIM('Template Setup'!$C$6),FIND("-",TRIM('Template Setup'!$C$6))+1,10)),0))</f>
        <v/>
      </c>
      <c r="O252" s="11" t="str">
        <f>IF($A252="","",IFERROR(VALUE(MID(TRIM('Template Setup'!$C$7),FIND("-",TRIM('Template Setup'!$C$7))+1,10)),0))</f>
        <v/>
      </c>
      <c r="P252" s="11" t="str">
        <f>IF($A252="","",IFERROR(VALUE(MID(TRIM('Template Setup'!$C$8),FIND("-",TRIM('Template Setup'!$C$8))+1,10)),0))</f>
        <v/>
      </c>
      <c r="Q252" s="9" t="str">
        <f>IF($A252="","",$A252&amp;"-"&amp;'Template Setup'!$C$16)</f>
        <v/>
      </c>
      <c r="R252" s="24" t="str">
        <f t="shared" si="13"/>
        <v/>
      </c>
      <c r="S252" s="24"/>
      <c r="T252" s="24" t="str">
        <f t="shared" si="14"/>
        <v/>
      </c>
      <c r="U252" s="6" t="str">
        <f t="shared" si="16"/>
        <v/>
      </c>
    </row>
    <row r="253" spans="1:21">
      <c r="A253" s="11"/>
      <c r="B253" s="11"/>
      <c r="C253" s="11"/>
      <c r="D253" s="11" t="str">
        <f>IF($A253="","",_xlfn.TEXTJOIN(", ",TRUE,IF($G253&gt;0,'Template Setup'!$C$4,""),IF($H253&gt;0,'Template Setup'!$C$5,""),IF($I253&gt;0,'Template Setup'!$C$6,""),IF($J253&gt;0,'Template Setup'!$C$7,""),IF($K253&gt;0,'Template Setup'!$C$8,"")))</f>
        <v/>
      </c>
      <c r="E253" s="6" t="str" cm="1">
        <f t="array" ref="E253">IF($A253="","",_xlfn.LET(_xlpm.sheets,CHOOSE({1,2,3,4,5},'Template Setup'!$C$4,'Template Setup'!$C$5,'Template Setup'!$C$6,'Template Setup'!$C$7,'Template Setup'!$C$8),_xlpm.nums,CHOOSE({1,2,3,4,5},$L253,$M253,$N253,$O253,$P253),_xlpm.qtys,CHOOSE({1,2,3,4,5},$G253,$H253,$I253,$J253,$K253),_xlpm.validNums,_xlfn._xlws.FILTER(_xlpm.nums,_xlpm.qtys&gt;0),_xlpm.validSheets,_xlfn._xlws.FILTER(_xlpm.sheets,_xlpm.qtys&gt;0),_xlpm.mx,IFERROR(MAX(_xlpm.validNums),0),IF(_xlpm.mx=0,"",INDEX(_xlpm.validSheets,MATCH(_xlpm.mx,_xlpm.validNums,0))&amp;" (+"&amp;$R253&amp;")")))</f>
        <v/>
      </c>
      <c r="F253" s="11" t="str">
        <f t="shared" si="15"/>
        <v/>
      </c>
      <c r="G253" s="12" t="str">
        <f ca="1">IF($A253="","",IFERROR(SUMIF(INDIRECT("'"&amp;'Template Setup'!$C$4&amp;"'!C:C"),$A253,INDIRECT("'"&amp;'Template Setup'!$C$4&amp;"'!A:A")),0))</f>
        <v/>
      </c>
      <c r="H253" s="12" t="str">
        <f ca="1">IF($A253="","",IFERROR(SUMIF(INDIRECT("'"&amp;'Template Setup'!$C$5&amp;"'!C:C"),$A253,INDIRECT("'"&amp;'Template Setup'!$C$5&amp;"'!A:A")),0))</f>
        <v/>
      </c>
      <c r="I253" s="12" t="str">
        <f ca="1">IF($A253="","",IFERROR(SUMIF(INDIRECT("'"&amp;'Template Setup'!$C$6&amp;"'!C:C"),$A253,INDIRECT("'"&amp;'Template Setup'!$C$6&amp;"'!A:A")),0))</f>
        <v/>
      </c>
      <c r="J253" s="12" t="str">
        <f ca="1">IF($A253="","",IFERROR(SUMIF(INDIRECT("'"&amp;'Template Setup'!$C$7&amp;"'!C:C"),$A253,INDIRECT("'"&amp;'Template Setup'!$C$7&amp;"'!A:A")),0))</f>
        <v/>
      </c>
      <c r="K253" s="12" t="str">
        <f ca="1">IF($A253="","",IFERROR(SUMIF(INDIRECT("'"&amp;'Template Setup'!$C$8&amp;"'!C:C"),$A253,INDIRECT("'"&amp;'Template Setup'!$C$8&amp;"'!A:A")),0))</f>
        <v/>
      </c>
      <c r="L253" s="11" t="str">
        <f>IF($A253="","",IFERROR(VALUE(MID(TRIM('Template Setup'!$C$4),FIND("-",TRIM('Template Setup'!$C$4))+1,10)),0))</f>
        <v/>
      </c>
      <c r="M253" s="11" t="str">
        <f>IF($A253="","",IFERROR(VALUE(MID(TRIM('Template Setup'!$C$5),FIND("-",TRIM('Template Setup'!$C$5))+1,10)),0))</f>
        <v/>
      </c>
      <c r="N253" s="11" t="str">
        <f>IF($A253="","",IFERROR(VALUE(MID(TRIM('Template Setup'!$C$6),FIND("-",TRIM('Template Setup'!$C$6))+1,10)),0))</f>
        <v/>
      </c>
      <c r="O253" s="11" t="str">
        <f>IF($A253="","",IFERROR(VALUE(MID(TRIM('Template Setup'!$C$7),FIND("-",TRIM('Template Setup'!$C$7))+1,10)),0))</f>
        <v/>
      </c>
      <c r="P253" s="11" t="str">
        <f>IF($A253="","",IFERROR(VALUE(MID(TRIM('Template Setup'!$C$8),FIND("-",TRIM('Template Setup'!$C$8))+1,10)),0))</f>
        <v/>
      </c>
      <c r="Q253" s="9" t="str">
        <f>IF($A253="","",$A253&amp;"-"&amp;'Template Setup'!$C$16)</f>
        <v/>
      </c>
      <c r="R253" s="24" t="str">
        <f t="shared" si="13"/>
        <v/>
      </c>
      <c r="S253" s="24"/>
      <c r="T253" s="24" t="str">
        <f t="shared" si="14"/>
        <v/>
      </c>
      <c r="U253" s="6" t="str">
        <f t="shared" si="16"/>
        <v/>
      </c>
    </row>
    <row r="254" spans="1:21">
      <c r="A254" s="11"/>
      <c r="B254" s="11"/>
      <c r="C254" s="11"/>
      <c r="D254" s="11" t="str">
        <f>IF($A254="","",_xlfn.TEXTJOIN(", ",TRUE,IF($G254&gt;0,'Template Setup'!$C$4,""),IF($H254&gt;0,'Template Setup'!$C$5,""),IF($I254&gt;0,'Template Setup'!$C$6,""),IF($J254&gt;0,'Template Setup'!$C$7,""),IF($K254&gt;0,'Template Setup'!$C$8,"")))</f>
        <v/>
      </c>
      <c r="E254" s="6" t="str" cm="1">
        <f t="array" ref="E254">IF($A254="","",_xlfn.LET(_xlpm.sheets,CHOOSE({1,2,3,4,5},'Template Setup'!$C$4,'Template Setup'!$C$5,'Template Setup'!$C$6,'Template Setup'!$C$7,'Template Setup'!$C$8),_xlpm.nums,CHOOSE({1,2,3,4,5},$L254,$M254,$N254,$O254,$P254),_xlpm.qtys,CHOOSE({1,2,3,4,5},$G254,$H254,$I254,$J254,$K254),_xlpm.validNums,_xlfn._xlws.FILTER(_xlpm.nums,_xlpm.qtys&gt;0),_xlpm.validSheets,_xlfn._xlws.FILTER(_xlpm.sheets,_xlpm.qtys&gt;0),_xlpm.mx,IFERROR(MAX(_xlpm.validNums),0),IF(_xlpm.mx=0,"",INDEX(_xlpm.validSheets,MATCH(_xlpm.mx,_xlpm.validNums,0))&amp;" (+"&amp;$R254&amp;")")))</f>
        <v/>
      </c>
      <c r="F254" s="11" t="str">
        <f t="shared" si="15"/>
        <v/>
      </c>
      <c r="G254" s="12" t="str">
        <f ca="1">IF($A254="","",IFERROR(SUMIF(INDIRECT("'"&amp;'Template Setup'!$C$4&amp;"'!C:C"),$A254,INDIRECT("'"&amp;'Template Setup'!$C$4&amp;"'!A:A")),0))</f>
        <v/>
      </c>
      <c r="H254" s="12" t="str">
        <f ca="1">IF($A254="","",IFERROR(SUMIF(INDIRECT("'"&amp;'Template Setup'!$C$5&amp;"'!C:C"),$A254,INDIRECT("'"&amp;'Template Setup'!$C$5&amp;"'!A:A")),0))</f>
        <v/>
      </c>
      <c r="I254" s="12" t="str">
        <f ca="1">IF($A254="","",IFERROR(SUMIF(INDIRECT("'"&amp;'Template Setup'!$C$6&amp;"'!C:C"),$A254,INDIRECT("'"&amp;'Template Setup'!$C$6&amp;"'!A:A")),0))</f>
        <v/>
      </c>
      <c r="J254" s="12" t="str">
        <f ca="1">IF($A254="","",IFERROR(SUMIF(INDIRECT("'"&amp;'Template Setup'!$C$7&amp;"'!C:C"),$A254,INDIRECT("'"&amp;'Template Setup'!$C$7&amp;"'!A:A")),0))</f>
        <v/>
      </c>
      <c r="K254" s="12" t="str">
        <f ca="1">IF($A254="","",IFERROR(SUMIF(INDIRECT("'"&amp;'Template Setup'!$C$8&amp;"'!C:C"),$A254,INDIRECT("'"&amp;'Template Setup'!$C$8&amp;"'!A:A")),0))</f>
        <v/>
      </c>
      <c r="L254" s="11" t="str">
        <f>IF($A254="","",IFERROR(VALUE(MID(TRIM('Template Setup'!$C$4),FIND("-",TRIM('Template Setup'!$C$4))+1,10)),0))</f>
        <v/>
      </c>
      <c r="M254" s="11" t="str">
        <f>IF($A254="","",IFERROR(VALUE(MID(TRIM('Template Setup'!$C$5),FIND("-",TRIM('Template Setup'!$C$5))+1,10)),0))</f>
        <v/>
      </c>
      <c r="N254" s="11" t="str">
        <f>IF($A254="","",IFERROR(VALUE(MID(TRIM('Template Setup'!$C$6),FIND("-",TRIM('Template Setup'!$C$6))+1,10)),0))</f>
        <v/>
      </c>
      <c r="O254" s="11" t="str">
        <f>IF($A254="","",IFERROR(VALUE(MID(TRIM('Template Setup'!$C$7),FIND("-",TRIM('Template Setup'!$C$7))+1,10)),0))</f>
        <v/>
      </c>
      <c r="P254" s="11" t="str">
        <f>IF($A254="","",IFERROR(VALUE(MID(TRIM('Template Setup'!$C$8),FIND("-",TRIM('Template Setup'!$C$8))+1,10)),0))</f>
        <v/>
      </c>
      <c r="Q254" s="9" t="str">
        <f>IF($A254="","",$A254&amp;"-"&amp;'Template Setup'!$C$16)</f>
        <v/>
      </c>
      <c r="R254" s="24" t="str">
        <f t="shared" si="13"/>
        <v/>
      </c>
      <c r="S254" s="24"/>
      <c r="T254" s="24" t="str">
        <f t="shared" si="14"/>
        <v/>
      </c>
      <c r="U254" s="6" t="str">
        <f t="shared" si="16"/>
        <v/>
      </c>
    </row>
    <row r="255" spans="1:21">
      <c r="A255" s="11"/>
      <c r="B255" s="11"/>
      <c r="C255" s="11"/>
      <c r="D255" s="11" t="str">
        <f>IF($A255="","",_xlfn.TEXTJOIN(", ",TRUE,IF($G255&gt;0,'Template Setup'!$C$4,""),IF($H255&gt;0,'Template Setup'!$C$5,""),IF($I255&gt;0,'Template Setup'!$C$6,""),IF($J255&gt;0,'Template Setup'!$C$7,""),IF($K255&gt;0,'Template Setup'!$C$8,"")))</f>
        <v/>
      </c>
      <c r="E255" s="6" t="str" cm="1">
        <f t="array" ref="E255">IF($A255="","",_xlfn.LET(_xlpm.sheets,CHOOSE({1,2,3,4,5},'Template Setup'!$C$4,'Template Setup'!$C$5,'Template Setup'!$C$6,'Template Setup'!$C$7,'Template Setup'!$C$8),_xlpm.nums,CHOOSE({1,2,3,4,5},$L255,$M255,$N255,$O255,$P255),_xlpm.qtys,CHOOSE({1,2,3,4,5},$G255,$H255,$I255,$J255,$K255),_xlpm.validNums,_xlfn._xlws.FILTER(_xlpm.nums,_xlpm.qtys&gt;0),_xlpm.validSheets,_xlfn._xlws.FILTER(_xlpm.sheets,_xlpm.qtys&gt;0),_xlpm.mx,IFERROR(MAX(_xlpm.validNums),0),IF(_xlpm.mx=0,"",INDEX(_xlpm.validSheets,MATCH(_xlpm.mx,_xlpm.validNums,0))&amp;" (+"&amp;$R255&amp;")")))</f>
        <v/>
      </c>
      <c r="F255" s="11" t="str">
        <f t="shared" si="15"/>
        <v/>
      </c>
      <c r="G255" s="12" t="str">
        <f ca="1">IF($A255="","",IFERROR(SUMIF(INDIRECT("'"&amp;'Template Setup'!$C$4&amp;"'!C:C"),$A255,INDIRECT("'"&amp;'Template Setup'!$C$4&amp;"'!A:A")),0))</f>
        <v/>
      </c>
      <c r="H255" s="12" t="str">
        <f ca="1">IF($A255="","",IFERROR(SUMIF(INDIRECT("'"&amp;'Template Setup'!$C$5&amp;"'!C:C"),$A255,INDIRECT("'"&amp;'Template Setup'!$C$5&amp;"'!A:A")),0))</f>
        <v/>
      </c>
      <c r="I255" s="12" t="str">
        <f ca="1">IF($A255="","",IFERROR(SUMIF(INDIRECT("'"&amp;'Template Setup'!$C$6&amp;"'!C:C"),$A255,INDIRECT("'"&amp;'Template Setup'!$C$6&amp;"'!A:A")),0))</f>
        <v/>
      </c>
      <c r="J255" s="12" t="str">
        <f ca="1">IF($A255="","",IFERROR(SUMIF(INDIRECT("'"&amp;'Template Setup'!$C$7&amp;"'!C:C"),$A255,INDIRECT("'"&amp;'Template Setup'!$C$7&amp;"'!A:A")),0))</f>
        <v/>
      </c>
      <c r="K255" s="12" t="str">
        <f ca="1">IF($A255="","",IFERROR(SUMIF(INDIRECT("'"&amp;'Template Setup'!$C$8&amp;"'!C:C"),$A255,INDIRECT("'"&amp;'Template Setup'!$C$8&amp;"'!A:A")),0))</f>
        <v/>
      </c>
      <c r="L255" s="11" t="str">
        <f>IF($A255="","",IFERROR(VALUE(MID(TRIM('Template Setup'!$C$4),FIND("-",TRIM('Template Setup'!$C$4))+1,10)),0))</f>
        <v/>
      </c>
      <c r="M255" s="11" t="str">
        <f>IF($A255="","",IFERROR(VALUE(MID(TRIM('Template Setup'!$C$5),FIND("-",TRIM('Template Setup'!$C$5))+1,10)),0))</f>
        <v/>
      </c>
      <c r="N255" s="11" t="str">
        <f>IF($A255="","",IFERROR(VALUE(MID(TRIM('Template Setup'!$C$6),FIND("-",TRIM('Template Setup'!$C$6))+1,10)),0))</f>
        <v/>
      </c>
      <c r="O255" s="11" t="str">
        <f>IF($A255="","",IFERROR(VALUE(MID(TRIM('Template Setup'!$C$7),FIND("-",TRIM('Template Setup'!$C$7))+1,10)),0))</f>
        <v/>
      </c>
      <c r="P255" s="11" t="str">
        <f>IF($A255="","",IFERROR(VALUE(MID(TRIM('Template Setup'!$C$8),FIND("-",TRIM('Template Setup'!$C$8))+1,10)),0))</f>
        <v/>
      </c>
      <c r="Q255" s="9" t="str">
        <f>IF($A255="","",$A255&amp;"-"&amp;'Template Setup'!$C$16)</f>
        <v/>
      </c>
      <c r="R255" s="24" t="str">
        <f t="shared" si="13"/>
        <v/>
      </c>
      <c r="S255" s="24"/>
      <c r="T255" s="24" t="str">
        <f t="shared" si="14"/>
        <v/>
      </c>
      <c r="U255" s="6" t="str">
        <f t="shared" si="16"/>
        <v/>
      </c>
    </row>
    <row r="256" spans="1:21">
      <c r="A256" s="11"/>
      <c r="B256" s="11"/>
      <c r="C256" s="11"/>
      <c r="D256" s="11" t="str">
        <f>IF($A256="","",_xlfn.TEXTJOIN(", ",TRUE,IF($G256&gt;0,'Template Setup'!$C$4,""),IF($H256&gt;0,'Template Setup'!$C$5,""),IF($I256&gt;0,'Template Setup'!$C$6,""),IF($J256&gt;0,'Template Setup'!$C$7,""),IF($K256&gt;0,'Template Setup'!$C$8,"")))</f>
        <v/>
      </c>
      <c r="E256" s="6" t="str" cm="1">
        <f t="array" ref="E256">IF($A256="","",_xlfn.LET(_xlpm.sheets,CHOOSE({1,2,3,4,5},'Template Setup'!$C$4,'Template Setup'!$C$5,'Template Setup'!$C$6,'Template Setup'!$C$7,'Template Setup'!$C$8),_xlpm.nums,CHOOSE({1,2,3,4,5},$L256,$M256,$N256,$O256,$P256),_xlpm.qtys,CHOOSE({1,2,3,4,5},$G256,$H256,$I256,$J256,$K256),_xlpm.validNums,_xlfn._xlws.FILTER(_xlpm.nums,_xlpm.qtys&gt;0),_xlpm.validSheets,_xlfn._xlws.FILTER(_xlpm.sheets,_xlpm.qtys&gt;0),_xlpm.mx,IFERROR(MAX(_xlpm.validNums),0),IF(_xlpm.mx=0,"",INDEX(_xlpm.validSheets,MATCH(_xlpm.mx,_xlpm.validNums,0))&amp;" (+"&amp;$R256&amp;")")))</f>
        <v/>
      </c>
      <c r="F256" s="11" t="str">
        <f t="shared" si="15"/>
        <v/>
      </c>
      <c r="G256" s="12" t="str">
        <f ca="1">IF($A256="","",IFERROR(SUMIF(INDIRECT("'"&amp;'Template Setup'!$C$4&amp;"'!C:C"),$A256,INDIRECT("'"&amp;'Template Setup'!$C$4&amp;"'!A:A")),0))</f>
        <v/>
      </c>
      <c r="H256" s="12" t="str">
        <f ca="1">IF($A256="","",IFERROR(SUMIF(INDIRECT("'"&amp;'Template Setup'!$C$5&amp;"'!C:C"),$A256,INDIRECT("'"&amp;'Template Setup'!$C$5&amp;"'!A:A")),0))</f>
        <v/>
      </c>
      <c r="I256" s="12" t="str">
        <f ca="1">IF($A256="","",IFERROR(SUMIF(INDIRECT("'"&amp;'Template Setup'!$C$6&amp;"'!C:C"),$A256,INDIRECT("'"&amp;'Template Setup'!$C$6&amp;"'!A:A")),0))</f>
        <v/>
      </c>
      <c r="J256" s="12" t="str">
        <f ca="1">IF($A256="","",IFERROR(SUMIF(INDIRECT("'"&amp;'Template Setup'!$C$7&amp;"'!C:C"),$A256,INDIRECT("'"&amp;'Template Setup'!$C$7&amp;"'!A:A")),0))</f>
        <v/>
      </c>
      <c r="K256" s="12" t="str">
        <f ca="1">IF($A256="","",IFERROR(SUMIF(INDIRECT("'"&amp;'Template Setup'!$C$8&amp;"'!C:C"),$A256,INDIRECT("'"&amp;'Template Setup'!$C$8&amp;"'!A:A")),0))</f>
        <v/>
      </c>
      <c r="L256" s="11" t="str">
        <f>IF($A256="","",IFERROR(VALUE(MID(TRIM('Template Setup'!$C$4),FIND("-",TRIM('Template Setup'!$C$4))+1,10)),0))</f>
        <v/>
      </c>
      <c r="M256" s="11" t="str">
        <f>IF($A256="","",IFERROR(VALUE(MID(TRIM('Template Setup'!$C$5),FIND("-",TRIM('Template Setup'!$C$5))+1,10)),0))</f>
        <v/>
      </c>
      <c r="N256" s="11" t="str">
        <f>IF($A256="","",IFERROR(VALUE(MID(TRIM('Template Setup'!$C$6),FIND("-",TRIM('Template Setup'!$C$6))+1,10)),0))</f>
        <v/>
      </c>
      <c r="O256" s="11" t="str">
        <f>IF($A256="","",IFERROR(VALUE(MID(TRIM('Template Setup'!$C$7),FIND("-",TRIM('Template Setup'!$C$7))+1,10)),0))</f>
        <v/>
      </c>
      <c r="P256" s="11" t="str">
        <f>IF($A256="","",IFERROR(VALUE(MID(TRIM('Template Setup'!$C$8),FIND("-",TRIM('Template Setup'!$C$8))+1,10)),0))</f>
        <v/>
      </c>
      <c r="Q256" s="9" t="str">
        <f>IF($A256="","",$A256&amp;"-"&amp;'Template Setup'!$C$16)</f>
        <v/>
      </c>
      <c r="R256" s="24" t="str">
        <f t="shared" si="13"/>
        <v/>
      </c>
      <c r="S256" s="24"/>
      <c r="T256" s="24" t="str">
        <f t="shared" si="14"/>
        <v/>
      </c>
      <c r="U256" s="6" t="str">
        <f t="shared" si="16"/>
        <v/>
      </c>
    </row>
    <row r="257" spans="1:21">
      <c r="A257" s="11"/>
      <c r="B257" s="11"/>
      <c r="C257" s="11"/>
      <c r="D257" s="11" t="str">
        <f>IF($A257="","",_xlfn.TEXTJOIN(", ",TRUE,IF($G257&gt;0,'Template Setup'!$C$4,""),IF($H257&gt;0,'Template Setup'!$C$5,""),IF($I257&gt;0,'Template Setup'!$C$6,""),IF($J257&gt;0,'Template Setup'!$C$7,""),IF($K257&gt;0,'Template Setup'!$C$8,"")))</f>
        <v/>
      </c>
      <c r="E257" s="6" t="str" cm="1">
        <f t="array" ref="E257">IF($A257="","",_xlfn.LET(_xlpm.sheets,CHOOSE({1,2,3,4,5},'Template Setup'!$C$4,'Template Setup'!$C$5,'Template Setup'!$C$6,'Template Setup'!$C$7,'Template Setup'!$C$8),_xlpm.nums,CHOOSE({1,2,3,4,5},$L257,$M257,$N257,$O257,$P257),_xlpm.qtys,CHOOSE({1,2,3,4,5},$G257,$H257,$I257,$J257,$K257),_xlpm.validNums,_xlfn._xlws.FILTER(_xlpm.nums,_xlpm.qtys&gt;0),_xlpm.validSheets,_xlfn._xlws.FILTER(_xlpm.sheets,_xlpm.qtys&gt;0),_xlpm.mx,IFERROR(MAX(_xlpm.validNums),0),IF(_xlpm.mx=0,"",INDEX(_xlpm.validSheets,MATCH(_xlpm.mx,_xlpm.validNums,0))&amp;" (+"&amp;$R257&amp;")")))</f>
        <v/>
      </c>
      <c r="F257" s="11" t="str">
        <f t="shared" si="15"/>
        <v/>
      </c>
      <c r="G257" s="12" t="str">
        <f ca="1">IF($A257="","",IFERROR(SUMIF(INDIRECT("'"&amp;'Template Setup'!$C$4&amp;"'!C:C"),$A257,INDIRECT("'"&amp;'Template Setup'!$C$4&amp;"'!A:A")),0))</f>
        <v/>
      </c>
      <c r="H257" s="12" t="str">
        <f ca="1">IF($A257="","",IFERROR(SUMIF(INDIRECT("'"&amp;'Template Setup'!$C$5&amp;"'!C:C"),$A257,INDIRECT("'"&amp;'Template Setup'!$C$5&amp;"'!A:A")),0))</f>
        <v/>
      </c>
      <c r="I257" s="12" t="str">
        <f ca="1">IF($A257="","",IFERROR(SUMIF(INDIRECT("'"&amp;'Template Setup'!$C$6&amp;"'!C:C"),$A257,INDIRECT("'"&amp;'Template Setup'!$C$6&amp;"'!A:A")),0))</f>
        <v/>
      </c>
      <c r="J257" s="12" t="str">
        <f ca="1">IF($A257="","",IFERROR(SUMIF(INDIRECT("'"&amp;'Template Setup'!$C$7&amp;"'!C:C"),$A257,INDIRECT("'"&amp;'Template Setup'!$C$7&amp;"'!A:A")),0))</f>
        <v/>
      </c>
      <c r="K257" s="12" t="str">
        <f ca="1">IF($A257="","",IFERROR(SUMIF(INDIRECT("'"&amp;'Template Setup'!$C$8&amp;"'!C:C"),$A257,INDIRECT("'"&amp;'Template Setup'!$C$8&amp;"'!A:A")),0))</f>
        <v/>
      </c>
      <c r="L257" s="11" t="str">
        <f>IF($A257="","",IFERROR(VALUE(MID(TRIM('Template Setup'!$C$4),FIND("-",TRIM('Template Setup'!$C$4))+1,10)),0))</f>
        <v/>
      </c>
      <c r="M257" s="11" t="str">
        <f>IF($A257="","",IFERROR(VALUE(MID(TRIM('Template Setup'!$C$5),FIND("-",TRIM('Template Setup'!$C$5))+1,10)),0))</f>
        <v/>
      </c>
      <c r="N257" s="11" t="str">
        <f>IF($A257="","",IFERROR(VALUE(MID(TRIM('Template Setup'!$C$6),FIND("-",TRIM('Template Setup'!$C$6))+1,10)),0))</f>
        <v/>
      </c>
      <c r="O257" s="11" t="str">
        <f>IF($A257="","",IFERROR(VALUE(MID(TRIM('Template Setup'!$C$7),FIND("-",TRIM('Template Setup'!$C$7))+1,10)),0))</f>
        <v/>
      </c>
      <c r="P257" s="11" t="str">
        <f>IF($A257="","",IFERROR(VALUE(MID(TRIM('Template Setup'!$C$8),FIND("-",TRIM('Template Setup'!$C$8))+1,10)),0))</f>
        <v/>
      </c>
      <c r="Q257" s="9" t="str">
        <f>IF($A257="","",$A257&amp;"-"&amp;'Template Setup'!$C$16)</f>
        <v/>
      </c>
      <c r="R257" s="24" t="str">
        <f t="shared" si="13"/>
        <v/>
      </c>
      <c r="S257" s="24"/>
      <c r="T257" s="24" t="str">
        <f t="shared" si="14"/>
        <v/>
      </c>
      <c r="U257" s="6" t="str">
        <f t="shared" si="16"/>
        <v/>
      </c>
    </row>
    <row r="258" spans="1:21">
      <c r="A258" s="11"/>
      <c r="B258" s="11"/>
      <c r="C258" s="11"/>
      <c r="D258" s="11" t="str">
        <f>IF($A258="","",_xlfn.TEXTJOIN(", ",TRUE,IF($G258&gt;0,'Template Setup'!$C$4,""),IF($H258&gt;0,'Template Setup'!$C$5,""),IF($I258&gt;0,'Template Setup'!$C$6,""),IF($J258&gt;0,'Template Setup'!$C$7,""),IF($K258&gt;0,'Template Setup'!$C$8,"")))</f>
        <v/>
      </c>
      <c r="E258" s="6" t="str" cm="1">
        <f t="array" ref="E258">IF($A258="","",_xlfn.LET(_xlpm.sheets,CHOOSE({1,2,3,4,5},'Template Setup'!$C$4,'Template Setup'!$C$5,'Template Setup'!$C$6,'Template Setup'!$C$7,'Template Setup'!$C$8),_xlpm.nums,CHOOSE({1,2,3,4,5},$L258,$M258,$N258,$O258,$P258),_xlpm.qtys,CHOOSE({1,2,3,4,5},$G258,$H258,$I258,$J258,$K258),_xlpm.validNums,_xlfn._xlws.FILTER(_xlpm.nums,_xlpm.qtys&gt;0),_xlpm.validSheets,_xlfn._xlws.FILTER(_xlpm.sheets,_xlpm.qtys&gt;0),_xlpm.mx,IFERROR(MAX(_xlpm.validNums),0),IF(_xlpm.mx=0,"",INDEX(_xlpm.validSheets,MATCH(_xlpm.mx,_xlpm.validNums,0))&amp;" (+"&amp;$R258&amp;")")))</f>
        <v/>
      </c>
      <c r="F258" s="11" t="str">
        <f t="shared" si="15"/>
        <v/>
      </c>
      <c r="G258" s="12" t="str">
        <f ca="1">IF($A258="","",IFERROR(SUMIF(INDIRECT("'"&amp;'Template Setup'!$C$4&amp;"'!C:C"),$A258,INDIRECT("'"&amp;'Template Setup'!$C$4&amp;"'!A:A")),0))</f>
        <v/>
      </c>
      <c r="H258" s="12" t="str">
        <f ca="1">IF($A258="","",IFERROR(SUMIF(INDIRECT("'"&amp;'Template Setup'!$C$5&amp;"'!C:C"),$A258,INDIRECT("'"&amp;'Template Setup'!$C$5&amp;"'!A:A")),0))</f>
        <v/>
      </c>
      <c r="I258" s="12" t="str">
        <f ca="1">IF($A258="","",IFERROR(SUMIF(INDIRECT("'"&amp;'Template Setup'!$C$6&amp;"'!C:C"),$A258,INDIRECT("'"&amp;'Template Setup'!$C$6&amp;"'!A:A")),0))</f>
        <v/>
      </c>
      <c r="J258" s="12" t="str">
        <f ca="1">IF($A258="","",IFERROR(SUMIF(INDIRECT("'"&amp;'Template Setup'!$C$7&amp;"'!C:C"),$A258,INDIRECT("'"&amp;'Template Setup'!$C$7&amp;"'!A:A")),0))</f>
        <v/>
      </c>
      <c r="K258" s="12" t="str">
        <f ca="1">IF($A258="","",IFERROR(SUMIF(INDIRECT("'"&amp;'Template Setup'!$C$8&amp;"'!C:C"),$A258,INDIRECT("'"&amp;'Template Setup'!$C$8&amp;"'!A:A")),0))</f>
        <v/>
      </c>
      <c r="L258" s="11" t="str">
        <f>IF($A258="","",IFERROR(VALUE(MID(TRIM('Template Setup'!$C$4),FIND("-",TRIM('Template Setup'!$C$4))+1,10)),0))</f>
        <v/>
      </c>
      <c r="M258" s="11" t="str">
        <f>IF($A258="","",IFERROR(VALUE(MID(TRIM('Template Setup'!$C$5),FIND("-",TRIM('Template Setup'!$C$5))+1,10)),0))</f>
        <v/>
      </c>
      <c r="N258" s="11" t="str">
        <f>IF($A258="","",IFERROR(VALUE(MID(TRIM('Template Setup'!$C$6),FIND("-",TRIM('Template Setup'!$C$6))+1,10)),0))</f>
        <v/>
      </c>
      <c r="O258" s="11" t="str">
        <f>IF($A258="","",IFERROR(VALUE(MID(TRIM('Template Setup'!$C$7),FIND("-",TRIM('Template Setup'!$C$7))+1,10)),0))</f>
        <v/>
      </c>
      <c r="P258" s="11" t="str">
        <f>IF($A258="","",IFERROR(VALUE(MID(TRIM('Template Setup'!$C$8),FIND("-",TRIM('Template Setup'!$C$8))+1,10)),0))</f>
        <v/>
      </c>
      <c r="Q258" s="9" t="str">
        <f>IF($A258="","",$A258&amp;"-"&amp;'Template Setup'!$C$16)</f>
        <v/>
      </c>
      <c r="R258" s="24" t="str">
        <f t="shared" ref="R258:R321" si="17">IF($A258="","",SUM($G258:$K258))</f>
        <v/>
      </c>
      <c r="S258" s="24"/>
      <c r="T258" s="24" t="str">
        <f t="shared" ref="T258:T321" si="18">IF($A258="","",IF(ISBLANK(S258),"",N(R258)+S258))</f>
        <v/>
      </c>
      <c r="U258" s="6" t="str">
        <f t="shared" si="16"/>
        <v/>
      </c>
    </row>
    <row r="259" spans="1:21">
      <c r="A259" s="11"/>
      <c r="B259" s="11"/>
      <c r="C259" s="11"/>
      <c r="D259" s="11" t="str">
        <f>IF($A259="","",_xlfn.TEXTJOIN(", ",TRUE,IF($G259&gt;0,'Template Setup'!$C$4,""),IF($H259&gt;0,'Template Setup'!$C$5,""),IF($I259&gt;0,'Template Setup'!$C$6,""),IF($J259&gt;0,'Template Setup'!$C$7,""),IF($K259&gt;0,'Template Setup'!$C$8,"")))</f>
        <v/>
      </c>
      <c r="E259" s="6" t="str" cm="1">
        <f t="array" ref="E259">IF($A259="","",_xlfn.LET(_xlpm.sheets,CHOOSE({1,2,3,4,5},'Template Setup'!$C$4,'Template Setup'!$C$5,'Template Setup'!$C$6,'Template Setup'!$C$7,'Template Setup'!$C$8),_xlpm.nums,CHOOSE({1,2,3,4,5},$L259,$M259,$N259,$O259,$P259),_xlpm.qtys,CHOOSE({1,2,3,4,5},$G259,$H259,$I259,$J259,$K259),_xlpm.validNums,_xlfn._xlws.FILTER(_xlpm.nums,_xlpm.qtys&gt;0),_xlpm.validSheets,_xlfn._xlws.FILTER(_xlpm.sheets,_xlpm.qtys&gt;0),_xlpm.mx,IFERROR(MAX(_xlpm.validNums),0),IF(_xlpm.mx=0,"",INDEX(_xlpm.validSheets,MATCH(_xlpm.mx,_xlpm.validNums,0))&amp;" (+"&amp;$R259&amp;")")))</f>
        <v/>
      </c>
      <c r="F259" s="11" t="str">
        <f t="shared" ref="F259:F322" si="19">IF($E259="","","PACP-"&amp;LEFT($E259,FIND("-",$E259)-1)&amp;"-000"&amp;MID($E259,FIND("-",$E259)+1,3))</f>
        <v/>
      </c>
      <c r="G259" s="12" t="str">
        <f ca="1">IF($A259="","",IFERROR(SUMIF(INDIRECT("'"&amp;'Template Setup'!$C$4&amp;"'!C:C"),$A259,INDIRECT("'"&amp;'Template Setup'!$C$4&amp;"'!A:A")),0))</f>
        <v/>
      </c>
      <c r="H259" s="12" t="str">
        <f ca="1">IF($A259="","",IFERROR(SUMIF(INDIRECT("'"&amp;'Template Setup'!$C$5&amp;"'!C:C"),$A259,INDIRECT("'"&amp;'Template Setup'!$C$5&amp;"'!A:A")),0))</f>
        <v/>
      </c>
      <c r="I259" s="12" t="str">
        <f ca="1">IF($A259="","",IFERROR(SUMIF(INDIRECT("'"&amp;'Template Setup'!$C$6&amp;"'!C:C"),$A259,INDIRECT("'"&amp;'Template Setup'!$C$6&amp;"'!A:A")),0))</f>
        <v/>
      </c>
      <c r="J259" s="12" t="str">
        <f ca="1">IF($A259="","",IFERROR(SUMIF(INDIRECT("'"&amp;'Template Setup'!$C$7&amp;"'!C:C"),$A259,INDIRECT("'"&amp;'Template Setup'!$C$7&amp;"'!A:A")),0))</f>
        <v/>
      </c>
      <c r="K259" s="12" t="str">
        <f ca="1">IF($A259="","",IFERROR(SUMIF(INDIRECT("'"&amp;'Template Setup'!$C$8&amp;"'!C:C"),$A259,INDIRECT("'"&amp;'Template Setup'!$C$8&amp;"'!A:A")),0))</f>
        <v/>
      </c>
      <c r="L259" s="11" t="str">
        <f>IF($A259="","",IFERROR(VALUE(MID(TRIM('Template Setup'!$C$4),FIND("-",TRIM('Template Setup'!$C$4))+1,10)),0))</f>
        <v/>
      </c>
      <c r="M259" s="11" t="str">
        <f>IF($A259="","",IFERROR(VALUE(MID(TRIM('Template Setup'!$C$5),FIND("-",TRIM('Template Setup'!$C$5))+1,10)),0))</f>
        <v/>
      </c>
      <c r="N259" s="11" t="str">
        <f>IF($A259="","",IFERROR(VALUE(MID(TRIM('Template Setup'!$C$6),FIND("-",TRIM('Template Setup'!$C$6))+1,10)),0))</f>
        <v/>
      </c>
      <c r="O259" s="11" t="str">
        <f>IF($A259="","",IFERROR(VALUE(MID(TRIM('Template Setup'!$C$7),FIND("-",TRIM('Template Setup'!$C$7))+1,10)),0))</f>
        <v/>
      </c>
      <c r="P259" s="11" t="str">
        <f>IF($A259="","",IFERROR(VALUE(MID(TRIM('Template Setup'!$C$8),FIND("-",TRIM('Template Setup'!$C$8))+1,10)),0))</f>
        <v/>
      </c>
      <c r="Q259" s="9" t="str">
        <f>IF($A259="","",$A259&amp;"-"&amp;'Template Setup'!$C$16)</f>
        <v/>
      </c>
      <c r="R259" s="24" t="str">
        <f t="shared" si="17"/>
        <v/>
      </c>
      <c r="S259" s="24"/>
      <c r="T259" s="24" t="str">
        <f t="shared" si="18"/>
        <v/>
      </c>
      <c r="U259" s="6" t="str">
        <f t="shared" si="16"/>
        <v/>
      </c>
    </row>
    <row r="260" spans="1:21">
      <c r="A260" s="11"/>
      <c r="B260" s="11"/>
      <c r="C260" s="11"/>
      <c r="D260" s="11" t="str">
        <f>IF($A260="","",_xlfn.TEXTJOIN(", ",TRUE,IF($G260&gt;0,'Template Setup'!$C$4,""),IF($H260&gt;0,'Template Setup'!$C$5,""),IF($I260&gt;0,'Template Setup'!$C$6,""),IF($J260&gt;0,'Template Setup'!$C$7,""),IF($K260&gt;0,'Template Setup'!$C$8,"")))</f>
        <v/>
      </c>
      <c r="E260" s="6" t="str" cm="1">
        <f t="array" ref="E260">IF($A260="","",_xlfn.LET(_xlpm.sheets,CHOOSE({1,2,3,4,5},'Template Setup'!$C$4,'Template Setup'!$C$5,'Template Setup'!$C$6,'Template Setup'!$C$7,'Template Setup'!$C$8),_xlpm.nums,CHOOSE({1,2,3,4,5},$L260,$M260,$N260,$O260,$P260),_xlpm.qtys,CHOOSE({1,2,3,4,5},$G260,$H260,$I260,$J260,$K260),_xlpm.validNums,_xlfn._xlws.FILTER(_xlpm.nums,_xlpm.qtys&gt;0),_xlpm.validSheets,_xlfn._xlws.FILTER(_xlpm.sheets,_xlpm.qtys&gt;0),_xlpm.mx,IFERROR(MAX(_xlpm.validNums),0),IF(_xlpm.mx=0,"",INDEX(_xlpm.validSheets,MATCH(_xlpm.mx,_xlpm.validNums,0))&amp;" (+"&amp;$R260&amp;")")))</f>
        <v/>
      </c>
      <c r="F260" s="11" t="str">
        <f t="shared" si="19"/>
        <v/>
      </c>
      <c r="G260" s="12" t="str">
        <f ca="1">IF($A260="","",IFERROR(SUMIF(INDIRECT("'"&amp;'Template Setup'!$C$4&amp;"'!C:C"),$A260,INDIRECT("'"&amp;'Template Setup'!$C$4&amp;"'!A:A")),0))</f>
        <v/>
      </c>
      <c r="H260" s="12" t="str">
        <f ca="1">IF($A260="","",IFERROR(SUMIF(INDIRECT("'"&amp;'Template Setup'!$C$5&amp;"'!C:C"),$A260,INDIRECT("'"&amp;'Template Setup'!$C$5&amp;"'!A:A")),0))</f>
        <v/>
      </c>
      <c r="I260" s="12" t="str">
        <f ca="1">IF($A260="","",IFERROR(SUMIF(INDIRECT("'"&amp;'Template Setup'!$C$6&amp;"'!C:C"),$A260,INDIRECT("'"&amp;'Template Setup'!$C$6&amp;"'!A:A")),0))</f>
        <v/>
      </c>
      <c r="J260" s="12" t="str">
        <f ca="1">IF($A260="","",IFERROR(SUMIF(INDIRECT("'"&amp;'Template Setup'!$C$7&amp;"'!C:C"),$A260,INDIRECT("'"&amp;'Template Setup'!$C$7&amp;"'!A:A")),0))</f>
        <v/>
      </c>
      <c r="K260" s="12" t="str">
        <f ca="1">IF($A260="","",IFERROR(SUMIF(INDIRECT("'"&amp;'Template Setup'!$C$8&amp;"'!C:C"),$A260,INDIRECT("'"&amp;'Template Setup'!$C$8&amp;"'!A:A")),0))</f>
        <v/>
      </c>
      <c r="L260" s="11" t="str">
        <f>IF($A260="","",IFERROR(VALUE(MID(TRIM('Template Setup'!$C$4),FIND("-",TRIM('Template Setup'!$C$4))+1,10)),0))</f>
        <v/>
      </c>
      <c r="M260" s="11" t="str">
        <f>IF($A260="","",IFERROR(VALUE(MID(TRIM('Template Setup'!$C$5),FIND("-",TRIM('Template Setup'!$C$5))+1,10)),0))</f>
        <v/>
      </c>
      <c r="N260" s="11" t="str">
        <f>IF($A260="","",IFERROR(VALUE(MID(TRIM('Template Setup'!$C$6),FIND("-",TRIM('Template Setup'!$C$6))+1,10)),0))</f>
        <v/>
      </c>
      <c r="O260" s="11" t="str">
        <f>IF($A260="","",IFERROR(VALUE(MID(TRIM('Template Setup'!$C$7),FIND("-",TRIM('Template Setup'!$C$7))+1,10)),0))</f>
        <v/>
      </c>
      <c r="P260" s="11" t="str">
        <f>IF($A260="","",IFERROR(VALUE(MID(TRIM('Template Setup'!$C$8),FIND("-",TRIM('Template Setup'!$C$8))+1,10)),0))</f>
        <v/>
      </c>
      <c r="Q260" s="9" t="str">
        <f>IF($A260="","",$A260&amp;"-"&amp;'Template Setup'!$C$16)</f>
        <v/>
      </c>
      <c r="R260" s="24" t="str">
        <f t="shared" si="17"/>
        <v/>
      </c>
      <c r="S260" s="24"/>
      <c r="T260" s="24" t="str">
        <f t="shared" si="18"/>
        <v/>
      </c>
      <c r="U260" s="6" t="str">
        <f t="shared" si="16"/>
        <v/>
      </c>
    </row>
    <row r="261" spans="1:21">
      <c r="A261" s="11"/>
      <c r="B261" s="11"/>
      <c r="C261" s="11"/>
      <c r="D261" s="11" t="str">
        <f>IF($A261="","",_xlfn.TEXTJOIN(", ",TRUE,IF($G261&gt;0,'Template Setup'!$C$4,""),IF($H261&gt;0,'Template Setup'!$C$5,""),IF($I261&gt;0,'Template Setup'!$C$6,""),IF($J261&gt;0,'Template Setup'!$C$7,""),IF($K261&gt;0,'Template Setup'!$C$8,"")))</f>
        <v/>
      </c>
      <c r="E261" s="6" t="str" cm="1">
        <f t="array" ref="E261">IF($A261="","",_xlfn.LET(_xlpm.sheets,CHOOSE({1,2,3,4,5},'Template Setup'!$C$4,'Template Setup'!$C$5,'Template Setup'!$C$6,'Template Setup'!$C$7,'Template Setup'!$C$8),_xlpm.nums,CHOOSE({1,2,3,4,5},$L261,$M261,$N261,$O261,$P261),_xlpm.qtys,CHOOSE({1,2,3,4,5},$G261,$H261,$I261,$J261,$K261),_xlpm.validNums,_xlfn._xlws.FILTER(_xlpm.nums,_xlpm.qtys&gt;0),_xlpm.validSheets,_xlfn._xlws.FILTER(_xlpm.sheets,_xlpm.qtys&gt;0),_xlpm.mx,IFERROR(MAX(_xlpm.validNums),0),IF(_xlpm.mx=0,"",INDEX(_xlpm.validSheets,MATCH(_xlpm.mx,_xlpm.validNums,0))&amp;" (+"&amp;$R261&amp;")")))</f>
        <v/>
      </c>
      <c r="F261" s="11" t="str">
        <f t="shared" si="19"/>
        <v/>
      </c>
      <c r="G261" s="12" t="str">
        <f ca="1">IF($A261="","",IFERROR(SUMIF(INDIRECT("'"&amp;'Template Setup'!$C$4&amp;"'!C:C"),$A261,INDIRECT("'"&amp;'Template Setup'!$C$4&amp;"'!A:A")),0))</f>
        <v/>
      </c>
      <c r="H261" s="12" t="str">
        <f ca="1">IF($A261="","",IFERROR(SUMIF(INDIRECT("'"&amp;'Template Setup'!$C$5&amp;"'!C:C"),$A261,INDIRECT("'"&amp;'Template Setup'!$C$5&amp;"'!A:A")),0))</f>
        <v/>
      </c>
      <c r="I261" s="12" t="str">
        <f ca="1">IF($A261="","",IFERROR(SUMIF(INDIRECT("'"&amp;'Template Setup'!$C$6&amp;"'!C:C"),$A261,INDIRECT("'"&amp;'Template Setup'!$C$6&amp;"'!A:A")),0))</f>
        <v/>
      </c>
      <c r="J261" s="12" t="str">
        <f ca="1">IF($A261="","",IFERROR(SUMIF(INDIRECT("'"&amp;'Template Setup'!$C$7&amp;"'!C:C"),$A261,INDIRECT("'"&amp;'Template Setup'!$C$7&amp;"'!A:A")),0))</f>
        <v/>
      </c>
      <c r="K261" s="12" t="str">
        <f ca="1">IF($A261="","",IFERROR(SUMIF(INDIRECT("'"&amp;'Template Setup'!$C$8&amp;"'!C:C"),$A261,INDIRECT("'"&amp;'Template Setup'!$C$8&amp;"'!A:A")),0))</f>
        <v/>
      </c>
      <c r="L261" s="11" t="str">
        <f>IF($A261="","",IFERROR(VALUE(MID(TRIM('Template Setup'!$C$4),FIND("-",TRIM('Template Setup'!$C$4))+1,10)),0))</f>
        <v/>
      </c>
      <c r="M261" s="11" t="str">
        <f>IF($A261="","",IFERROR(VALUE(MID(TRIM('Template Setup'!$C$5),FIND("-",TRIM('Template Setup'!$C$5))+1,10)),0))</f>
        <v/>
      </c>
      <c r="N261" s="11" t="str">
        <f>IF($A261="","",IFERROR(VALUE(MID(TRIM('Template Setup'!$C$6),FIND("-",TRIM('Template Setup'!$C$6))+1,10)),0))</f>
        <v/>
      </c>
      <c r="O261" s="11" t="str">
        <f>IF($A261="","",IFERROR(VALUE(MID(TRIM('Template Setup'!$C$7),FIND("-",TRIM('Template Setup'!$C$7))+1,10)),0))</f>
        <v/>
      </c>
      <c r="P261" s="11" t="str">
        <f>IF($A261="","",IFERROR(VALUE(MID(TRIM('Template Setup'!$C$8),FIND("-",TRIM('Template Setup'!$C$8))+1,10)),0))</f>
        <v/>
      </c>
      <c r="Q261" s="9" t="str">
        <f>IF($A261="","",$A261&amp;"-"&amp;'Template Setup'!$C$16)</f>
        <v/>
      </c>
      <c r="R261" s="24" t="str">
        <f t="shared" si="17"/>
        <v/>
      </c>
      <c r="S261" s="24"/>
      <c r="T261" s="24" t="str">
        <f t="shared" si="18"/>
        <v/>
      </c>
      <c r="U261" s="6" t="str">
        <f t="shared" si="16"/>
        <v/>
      </c>
    </row>
    <row r="262" spans="1:21">
      <c r="A262" s="11"/>
      <c r="B262" s="11"/>
      <c r="C262" s="11"/>
      <c r="D262" s="11" t="str">
        <f>IF($A262="","",_xlfn.TEXTJOIN(", ",TRUE,IF($G262&gt;0,'Template Setup'!$C$4,""),IF($H262&gt;0,'Template Setup'!$C$5,""),IF($I262&gt;0,'Template Setup'!$C$6,""),IF($J262&gt;0,'Template Setup'!$C$7,""),IF($K262&gt;0,'Template Setup'!$C$8,"")))</f>
        <v/>
      </c>
      <c r="E262" s="6" t="str" cm="1">
        <f t="array" ref="E262">IF($A262="","",_xlfn.LET(_xlpm.sheets,CHOOSE({1,2,3,4,5},'Template Setup'!$C$4,'Template Setup'!$C$5,'Template Setup'!$C$6,'Template Setup'!$C$7,'Template Setup'!$C$8),_xlpm.nums,CHOOSE({1,2,3,4,5},$L262,$M262,$N262,$O262,$P262),_xlpm.qtys,CHOOSE({1,2,3,4,5},$G262,$H262,$I262,$J262,$K262),_xlpm.validNums,_xlfn._xlws.FILTER(_xlpm.nums,_xlpm.qtys&gt;0),_xlpm.validSheets,_xlfn._xlws.FILTER(_xlpm.sheets,_xlpm.qtys&gt;0),_xlpm.mx,IFERROR(MAX(_xlpm.validNums),0),IF(_xlpm.mx=0,"",INDEX(_xlpm.validSheets,MATCH(_xlpm.mx,_xlpm.validNums,0))&amp;" (+"&amp;$R262&amp;")")))</f>
        <v/>
      </c>
      <c r="F262" s="11" t="str">
        <f t="shared" si="19"/>
        <v/>
      </c>
      <c r="G262" s="12" t="str">
        <f ca="1">IF($A262="","",IFERROR(SUMIF(INDIRECT("'"&amp;'Template Setup'!$C$4&amp;"'!C:C"),$A262,INDIRECT("'"&amp;'Template Setup'!$C$4&amp;"'!A:A")),0))</f>
        <v/>
      </c>
      <c r="H262" s="12" t="str">
        <f ca="1">IF($A262="","",IFERROR(SUMIF(INDIRECT("'"&amp;'Template Setup'!$C$5&amp;"'!C:C"),$A262,INDIRECT("'"&amp;'Template Setup'!$C$5&amp;"'!A:A")),0))</f>
        <v/>
      </c>
      <c r="I262" s="12" t="str">
        <f ca="1">IF($A262="","",IFERROR(SUMIF(INDIRECT("'"&amp;'Template Setup'!$C$6&amp;"'!C:C"),$A262,INDIRECT("'"&amp;'Template Setup'!$C$6&amp;"'!A:A")),0))</f>
        <v/>
      </c>
      <c r="J262" s="12" t="str">
        <f ca="1">IF($A262="","",IFERROR(SUMIF(INDIRECT("'"&amp;'Template Setup'!$C$7&amp;"'!C:C"),$A262,INDIRECT("'"&amp;'Template Setup'!$C$7&amp;"'!A:A")),0))</f>
        <v/>
      </c>
      <c r="K262" s="12" t="str">
        <f ca="1">IF($A262="","",IFERROR(SUMIF(INDIRECT("'"&amp;'Template Setup'!$C$8&amp;"'!C:C"),$A262,INDIRECT("'"&amp;'Template Setup'!$C$8&amp;"'!A:A")),0))</f>
        <v/>
      </c>
      <c r="L262" s="11" t="str">
        <f>IF($A262="","",IFERROR(VALUE(MID(TRIM('Template Setup'!$C$4),FIND("-",TRIM('Template Setup'!$C$4))+1,10)),0))</f>
        <v/>
      </c>
      <c r="M262" s="11" t="str">
        <f>IF($A262="","",IFERROR(VALUE(MID(TRIM('Template Setup'!$C$5),FIND("-",TRIM('Template Setup'!$C$5))+1,10)),0))</f>
        <v/>
      </c>
      <c r="N262" s="11" t="str">
        <f>IF($A262="","",IFERROR(VALUE(MID(TRIM('Template Setup'!$C$6),FIND("-",TRIM('Template Setup'!$C$6))+1,10)),0))</f>
        <v/>
      </c>
      <c r="O262" s="11" t="str">
        <f>IF($A262="","",IFERROR(VALUE(MID(TRIM('Template Setup'!$C$7),FIND("-",TRIM('Template Setup'!$C$7))+1,10)),0))</f>
        <v/>
      </c>
      <c r="P262" s="11" t="str">
        <f>IF($A262="","",IFERROR(VALUE(MID(TRIM('Template Setup'!$C$8),FIND("-",TRIM('Template Setup'!$C$8))+1,10)),0))</f>
        <v/>
      </c>
      <c r="Q262" s="9" t="str">
        <f>IF($A262="","",$A262&amp;"-"&amp;'Template Setup'!$C$16)</f>
        <v/>
      </c>
      <c r="R262" s="24" t="str">
        <f t="shared" si="17"/>
        <v/>
      </c>
      <c r="S262" s="24"/>
      <c r="T262" s="24" t="str">
        <f t="shared" si="18"/>
        <v/>
      </c>
      <c r="U262" s="6" t="str">
        <f t="shared" si="16"/>
        <v/>
      </c>
    </row>
    <row r="263" spans="1:21">
      <c r="A263" s="11"/>
      <c r="B263" s="11"/>
      <c r="C263" s="11"/>
      <c r="D263" s="11" t="str">
        <f>IF($A263="","",_xlfn.TEXTJOIN(", ",TRUE,IF($G263&gt;0,'Template Setup'!$C$4,""),IF($H263&gt;0,'Template Setup'!$C$5,""),IF($I263&gt;0,'Template Setup'!$C$6,""),IF($J263&gt;0,'Template Setup'!$C$7,""),IF($K263&gt;0,'Template Setup'!$C$8,"")))</f>
        <v/>
      </c>
      <c r="E263" s="6" t="str" cm="1">
        <f t="array" ref="E263">IF($A263="","",_xlfn.LET(_xlpm.sheets,CHOOSE({1,2,3,4,5},'Template Setup'!$C$4,'Template Setup'!$C$5,'Template Setup'!$C$6,'Template Setup'!$C$7,'Template Setup'!$C$8),_xlpm.nums,CHOOSE({1,2,3,4,5},$L263,$M263,$N263,$O263,$P263),_xlpm.qtys,CHOOSE({1,2,3,4,5},$G263,$H263,$I263,$J263,$K263),_xlpm.validNums,_xlfn._xlws.FILTER(_xlpm.nums,_xlpm.qtys&gt;0),_xlpm.validSheets,_xlfn._xlws.FILTER(_xlpm.sheets,_xlpm.qtys&gt;0),_xlpm.mx,IFERROR(MAX(_xlpm.validNums),0),IF(_xlpm.mx=0,"",INDEX(_xlpm.validSheets,MATCH(_xlpm.mx,_xlpm.validNums,0))&amp;" (+"&amp;$R263&amp;")")))</f>
        <v/>
      </c>
      <c r="F263" s="11" t="str">
        <f t="shared" si="19"/>
        <v/>
      </c>
      <c r="G263" s="12" t="str">
        <f ca="1">IF($A263="","",IFERROR(SUMIF(INDIRECT("'"&amp;'Template Setup'!$C$4&amp;"'!C:C"),$A263,INDIRECT("'"&amp;'Template Setup'!$C$4&amp;"'!A:A")),0))</f>
        <v/>
      </c>
      <c r="H263" s="12" t="str">
        <f ca="1">IF($A263="","",IFERROR(SUMIF(INDIRECT("'"&amp;'Template Setup'!$C$5&amp;"'!C:C"),$A263,INDIRECT("'"&amp;'Template Setup'!$C$5&amp;"'!A:A")),0))</f>
        <v/>
      </c>
      <c r="I263" s="12" t="str">
        <f ca="1">IF($A263="","",IFERROR(SUMIF(INDIRECT("'"&amp;'Template Setup'!$C$6&amp;"'!C:C"),$A263,INDIRECT("'"&amp;'Template Setup'!$C$6&amp;"'!A:A")),0))</f>
        <v/>
      </c>
      <c r="J263" s="12" t="str">
        <f ca="1">IF($A263="","",IFERROR(SUMIF(INDIRECT("'"&amp;'Template Setup'!$C$7&amp;"'!C:C"),$A263,INDIRECT("'"&amp;'Template Setup'!$C$7&amp;"'!A:A")),0))</f>
        <v/>
      </c>
      <c r="K263" s="12" t="str">
        <f ca="1">IF($A263="","",IFERROR(SUMIF(INDIRECT("'"&amp;'Template Setup'!$C$8&amp;"'!C:C"),$A263,INDIRECT("'"&amp;'Template Setup'!$C$8&amp;"'!A:A")),0))</f>
        <v/>
      </c>
      <c r="L263" s="11" t="str">
        <f>IF($A263="","",IFERROR(VALUE(MID(TRIM('Template Setup'!$C$4),FIND("-",TRIM('Template Setup'!$C$4))+1,10)),0))</f>
        <v/>
      </c>
      <c r="M263" s="11" t="str">
        <f>IF($A263="","",IFERROR(VALUE(MID(TRIM('Template Setup'!$C$5),FIND("-",TRIM('Template Setup'!$C$5))+1,10)),0))</f>
        <v/>
      </c>
      <c r="N263" s="11" t="str">
        <f>IF($A263="","",IFERROR(VALUE(MID(TRIM('Template Setup'!$C$6),FIND("-",TRIM('Template Setup'!$C$6))+1,10)),0))</f>
        <v/>
      </c>
      <c r="O263" s="11" t="str">
        <f>IF($A263="","",IFERROR(VALUE(MID(TRIM('Template Setup'!$C$7),FIND("-",TRIM('Template Setup'!$C$7))+1,10)),0))</f>
        <v/>
      </c>
      <c r="P263" s="11" t="str">
        <f>IF($A263="","",IFERROR(VALUE(MID(TRIM('Template Setup'!$C$8),FIND("-",TRIM('Template Setup'!$C$8))+1,10)),0))</f>
        <v/>
      </c>
      <c r="Q263" s="9" t="str">
        <f>IF($A263="","",$A263&amp;"-"&amp;'Template Setup'!$C$16)</f>
        <v/>
      </c>
      <c r="R263" s="24" t="str">
        <f t="shared" si="17"/>
        <v/>
      </c>
      <c r="S263" s="24"/>
      <c r="T263" s="24" t="str">
        <f t="shared" si="18"/>
        <v/>
      </c>
      <c r="U263" s="6" t="str">
        <f t="shared" si="16"/>
        <v/>
      </c>
    </row>
    <row r="264" spans="1:21">
      <c r="A264" s="11"/>
      <c r="B264" s="11"/>
      <c r="C264" s="11"/>
      <c r="D264" s="11" t="str">
        <f>IF($A264="","",_xlfn.TEXTJOIN(", ",TRUE,IF($G264&gt;0,'Template Setup'!$C$4,""),IF($H264&gt;0,'Template Setup'!$C$5,""),IF($I264&gt;0,'Template Setup'!$C$6,""),IF($J264&gt;0,'Template Setup'!$C$7,""),IF($K264&gt;0,'Template Setup'!$C$8,"")))</f>
        <v/>
      </c>
      <c r="E264" s="6" t="str" cm="1">
        <f t="array" ref="E264">IF($A264="","",_xlfn.LET(_xlpm.sheets,CHOOSE({1,2,3,4,5},'Template Setup'!$C$4,'Template Setup'!$C$5,'Template Setup'!$C$6,'Template Setup'!$C$7,'Template Setup'!$C$8),_xlpm.nums,CHOOSE({1,2,3,4,5},$L264,$M264,$N264,$O264,$P264),_xlpm.qtys,CHOOSE({1,2,3,4,5},$G264,$H264,$I264,$J264,$K264),_xlpm.validNums,_xlfn._xlws.FILTER(_xlpm.nums,_xlpm.qtys&gt;0),_xlpm.validSheets,_xlfn._xlws.FILTER(_xlpm.sheets,_xlpm.qtys&gt;0),_xlpm.mx,IFERROR(MAX(_xlpm.validNums),0),IF(_xlpm.mx=0,"",INDEX(_xlpm.validSheets,MATCH(_xlpm.mx,_xlpm.validNums,0))&amp;" (+"&amp;$R264&amp;")")))</f>
        <v/>
      </c>
      <c r="F264" s="11" t="str">
        <f t="shared" si="19"/>
        <v/>
      </c>
      <c r="G264" s="12" t="str">
        <f ca="1">IF($A264="","",IFERROR(SUMIF(INDIRECT("'"&amp;'Template Setup'!$C$4&amp;"'!C:C"),$A264,INDIRECT("'"&amp;'Template Setup'!$C$4&amp;"'!A:A")),0))</f>
        <v/>
      </c>
      <c r="H264" s="12" t="str">
        <f ca="1">IF($A264="","",IFERROR(SUMIF(INDIRECT("'"&amp;'Template Setup'!$C$5&amp;"'!C:C"),$A264,INDIRECT("'"&amp;'Template Setup'!$C$5&amp;"'!A:A")),0))</f>
        <v/>
      </c>
      <c r="I264" s="12" t="str">
        <f ca="1">IF($A264="","",IFERROR(SUMIF(INDIRECT("'"&amp;'Template Setup'!$C$6&amp;"'!C:C"),$A264,INDIRECT("'"&amp;'Template Setup'!$C$6&amp;"'!A:A")),0))</f>
        <v/>
      </c>
      <c r="J264" s="12" t="str">
        <f ca="1">IF($A264="","",IFERROR(SUMIF(INDIRECT("'"&amp;'Template Setup'!$C$7&amp;"'!C:C"),$A264,INDIRECT("'"&amp;'Template Setup'!$C$7&amp;"'!A:A")),0))</f>
        <v/>
      </c>
      <c r="K264" s="12" t="str">
        <f ca="1">IF($A264="","",IFERROR(SUMIF(INDIRECT("'"&amp;'Template Setup'!$C$8&amp;"'!C:C"),$A264,INDIRECT("'"&amp;'Template Setup'!$C$8&amp;"'!A:A")),0))</f>
        <v/>
      </c>
      <c r="L264" s="11" t="str">
        <f>IF($A264="","",IFERROR(VALUE(MID(TRIM('Template Setup'!$C$4),FIND("-",TRIM('Template Setup'!$C$4))+1,10)),0))</f>
        <v/>
      </c>
      <c r="M264" s="11" t="str">
        <f>IF($A264="","",IFERROR(VALUE(MID(TRIM('Template Setup'!$C$5),FIND("-",TRIM('Template Setup'!$C$5))+1,10)),0))</f>
        <v/>
      </c>
      <c r="N264" s="11" t="str">
        <f>IF($A264="","",IFERROR(VALUE(MID(TRIM('Template Setup'!$C$6),FIND("-",TRIM('Template Setup'!$C$6))+1,10)),0))</f>
        <v/>
      </c>
      <c r="O264" s="11" t="str">
        <f>IF($A264="","",IFERROR(VALUE(MID(TRIM('Template Setup'!$C$7),FIND("-",TRIM('Template Setup'!$C$7))+1,10)),0))</f>
        <v/>
      </c>
      <c r="P264" s="11" t="str">
        <f>IF($A264="","",IFERROR(VALUE(MID(TRIM('Template Setup'!$C$8),FIND("-",TRIM('Template Setup'!$C$8))+1,10)),0))</f>
        <v/>
      </c>
      <c r="Q264" s="9" t="str">
        <f>IF($A264="","",$A264&amp;"-"&amp;'Template Setup'!$C$16)</f>
        <v/>
      </c>
      <c r="R264" s="24" t="str">
        <f t="shared" si="17"/>
        <v/>
      </c>
      <c r="S264" s="24"/>
      <c r="T264" s="24" t="str">
        <f t="shared" si="18"/>
        <v/>
      </c>
      <c r="U264" s="6" t="str">
        <f t="shared" si="16"/>
        <v/>
      </c>
    </row>
    <row r="265" spans="1:21">
      <c r="A265" s="11"/>
      <c r="B265" s="11"/>
      <c r="C265" s="11"/>
      <c r="D265" s="11" t="str">
        <f>IF($A265="","",_xlfn.TEXTJOIN(", ",TRUE,IF($G265&gt;0,'Template Setup'!$C$4,""),IF($H265&gt;0,'Template Setup'!$C$5,""),IF($I265&gt;0,'Template Setup'!$C$6,""),IF($J265&gt;0,'Template Setup'!$C$7,""),IF($K265&gt;0,'Template Setup'!$C$8,"")))</f>
        <v/>
      </c>
      <c r="E265" s="6" t="str" cm="1">
        <f t="array" ref="E265">IF($A265="","",_xlfn.LET(_xlpm.sheets,CHOOSE({1,2,3,4,5},'Template Setup'!$C$4,'Template Setup'!$C$5,'Template Setup'!$C$6,'Template Setup'!$C$7,'Template Setup'!$C$8),_xlpm.nums,CHOOSE({1,2,3,4,5},$L265,$M265,$N265,$O265,$P265),_xlpm.qtys,CHOOSE({1,2,3,4,5},$G265,$H265,$I265,$J265,$K265),_xlpm.validNums,_xlfn._xlws.FILTER(_xlpm.nums,_xlpm.qtys&gt;0),_xlpm.validSheets,_xlfn._xlws.FILTER(_xlpm.sheets,_xlpm.qtys&gt;0),_xlpm.mx,IFERROR(MAX(_xlpm.validNums),0),IF(_xlpm.mx=0,"",INDEX(_xlpm.validSheets,MATCH(_xlpm.mx,_xlpm.validNums,0))&amp;" (+"&amp;$R265&amp;")")))</f>
        <v/>
      </c>
      <c r="F265" s="11" t="str">
        <f t="shared" si="19"/>
        <v/>
      </c>
      <c r="G265" s="12" t="str">
        <f ca="1">IF($A265="","",IFERROR(SUMIF(INDIRECT("'"&amp;'Template Setup'!$C$4&amp;"'!C:C"),$A265,INDIRECT("'"&amp;'Template Setup'!$C$4&amp;"'!A:A")),0))</f>
        <v/>
      </c>
      <c r="H265" s="12" t="str">
        <f ca="1">IF($A265="","",IFERROR(SUMIF(INDIRECT("'"&amp;'Template Setup'!$C$5&amp;"'!C:C"),$A265,INDIRECT("'"&amp;'Template Setup'!$C$5&amp;"'!A:A")),0))</f>
        <v/>
      </c>
      <c r="I265" s="12" t="str">
        <f ca="1">IF($A265="","",IFERROR(SUMIF(INDIRECT("'"&amp;'Template Setup'!$C$6&amp;"'!C:C"),$A265,INDIRECT("'"&amp;'Template Setup'!$C$6&amp;"'!A:A")),0))</f>
        <v/>
      </c>
      <c r="J265" s="12" t="str">
        <f ca="1">IF($A265="","",IFERROR(SUMIF(INDIRECT("'"&amp;'Template Setup'!$C$7&amp;"'!C:C"),$A265,INDIRECT("'"&amp;'Template Setup'!$C$7&amp;"'!A:A")),0))</f>
        <v/>
      </c>
      <c r="K265" s="12" t="str">
        <f ca="1">IF($A265="","",IFERROR(SUMIF(INDIRECT("'"&amp;'Template Setup'!$C$8&amp;"'!C:C"),$A265,INDIRECT("'"&amp;'Template Setup'!$C$8&amp;"'!A:A")),0))</f>
        <v/>
      </c>
      <c r="L265" s="11" t="str">
        <f>IF($A265="","",IFERROR(VALUE(MID(TRIM('Template Setup'!$C$4),FIND("-",TRIM('Template Setup'!$C$4))+1,10)),0))</f>
        <v/>
      </c>
      <c r="M265" s="11" t="str">
        <f>IF($A265="","",IFERROR(VALUE(MID(TRIM('Template Setup'!$C$5),FIND("-",TRIM('Template Setup'!$C$5))+1,10)),0))</f>
        <v/>
      </c>
      <c r="N265" s="11" t="str">
        <f>IF($A265="","",IFERROR(VALUE(MID(TRIM('Template Setup'!$C$6),FIND("-",TRIM('Template Setup'!$C$6))+1,10)),0))</f>
        <v/>
      </c>
      <c r="O265" s="11" t="str">
        <f>IF($A265="","",IFERROR(VALUE(MID(TRIM('Template Setup'!$C$7),FIND("-",TRIM('Template Setup'!$C$7))+1,10)),0))</f>
        <v/>
      </c>
      <c r="P265" s="11" t="str">
        <f>IF($A265="","",IFERROR(VALUE(MID(TRIM('Template Setup'!$C$8),FIND("-",TRIM('Template Setup'!$C$8))+1,10)),0))</f>
        <v/>
      </c>
      <c r="Q265" s="9" t="str">
        <f>IF($A265="","",$A265&amp;"-"&amp;'Template Setup'!$C$16)</f>
        <v/>
      </c>
      <c r="R265" s="24" t="str">
        <f t="shared" si="17"/>
        <v/>
      </c>
      <c r="S265" s="24"/>
      <c r="T265" s="24" t="str">
        <f t="shared" si="18"/>
        <v/>
      </c>
      <c r="U265" s="6" t="str">
        <f t="shared" si="16"/>
        <v/>
      </c>
    </row>
    <row r="266" spans="1:21">
      <c r="A266" s="11"/>
      <c r="B266" s="11"/>
      <c r="C266" s="11"/>
      <c r="D266" s="11" t="str">
        <f>IF($A266="","",_xlfn.TEXTJOIN(", ",TRUE,IF($G266&gt;0,'Template Setup'!$C$4,""),IF($H266&gt;0,'Template Setup'!$C$5,""),IF($I266&gt;0,'Template Setup'!$C$6,""),IF($J266&gt;0,'Template Setup'!$C$7,""),IF($K266&gt;0,'Template Setup'!$C$8,"")))</f>
        <v/>
      </c>
      <c r="E266" s="6" t="str" cm="1">
        <f t="array" ref="E266">IF($A266="","",_xlfn.LET(_xlpm.sheets,CHOOSE({1,2,3,4,5},'Template Setup'!$C$4,'Template Setup'!$C$5,'Template Setup'!$C$6,'Template Setup'!$C$7,'Template Setup'!$C$8),_xlpm.nums,CHOOSE({1,2,3,4,5},$L266,$M266,$N266,$O266,$P266),_xlpm.qtys,CHOOSE({1,2,3,4,5},$G266,$H266,$I266,$J266,$K266),_xlpm.validNums,_xlfn._xlws.FILTER(_xlpm.nums,_xlpm.qtys&gt;0),_xlpm.validSheets,_xlfn._xlws.FILTER(_xlpm.sheets,_xlpm.qtys&gt;0),_xlpm.mx,IFERROR(MAX(_xlpm.validNums),0),IF(_xlpm.mx=0,"",INDEX(_xlpm.validSheets,MATCH(_xlpm.mx,_xlpm.validNums,0))&amp;" (+"&amp;$R266&amp;")")))</f>
        <v/>
      </c>
      <c r="F266" s="11" t="str">
        <f t="shared" si="19"/>
        <v/>
      </c>
      <c r="G266" s="12" t="str">
        <f ca="1">IF($A266="","",IFERROR(SUMIF(INDIRECT("'"&amp;'Template Setup'!$C$4&amp;"'!C:C"),$A266,INDIRECT("'"&amp;'Template Setup'!$C$4&amp;"'!A:A")),0))</f>
        <v/>
      </c>
      <c r="H266" s="12" t="str">
        <f ca="1">IF($A266="","",IFERROR(SUMIF(INDIRECT("'"&amp;'Template Setup'!$C$5&amp;"'!C:C"),$A266,INDIRECT("'"&amp;'Template Setup'!$C$5&amp;"'!A:A")),0))</f>
        <v/>
      </c>
      <c r="I266" s="12" t="str">
        <f ca="1">IF($A266="","",IFERROR(SUMIF(INDIRECT("'"&amp;'Template Setup'!$C$6&amp;"'!C:C"),$A266,INDIRECT("'"&amp;'Template Setup'!$C$6&amp;"'!A:A")),0))</f>
        <v/>
      </c>
      <c r="J266" s="12" t="str">
        <f ca="1">IF($A266="","",IFERROR(SUMIF(INDIRECT("'"&amp;'Template Setup'!$C$7&amp;"'!C:C"),$A266,INDIRECT("'"&amp;'Template Setup'!$C$7&amp;"'!A:A")),0))</f>
        <v/>
      </c>
      <c r="K266" s="12" t="str">
        <f ca="1">IF($A266="","",IFERROR(SUMIF(INDIRECT("'"&amp;'Template Setup'!$C$8&amp;"'!C:C"),$A266,INDIRECT("'"&amp;'Template Setup'!$C$8&amp;"'!A:A")),0))</f>
        <v/>
      </c>
      <c r="L266" s="11" t="str">
        <f>IF($A266="","",IFERROR(VALUE(MID(TRIM('Template Setup'!$C$4),FIND("-",TRIM('Template Setup'!$C$4))+1,10)),0))</f>
        <v/>
      </c>
      <c r="M266" s="11" t="str">
        <f>IF($A266="","",IFERROR(VALUE(MID(TRIM('Template Setup'!$C$5),FIND("-",TRIM('Template Setup'!$C$5))+1,10)),0))</f>
        <v/>
      </c>
      <c r="N266" s="11" t="str">
        <f>IF($A266="","",IFERROR(VALUE(MID(TRIM('Template Setup'!$C$6),FIND("-",TRIM('Template Setup'!$C$6))+1,10)),0))</f>
        <v/>
      </c>
      <c r="O266" s="11" t="str">
        <f>IF($A266="","",IFERROR(VALUE(MID(TRIM('Template Setup'!$C$7),FIND("-",TRIM('Template Setup'!$C$7))+1,10)),0))</f>
        <v/>
      </c>
      <c r="P266" s="11" t="str">
        <f>IF($A266="","",IFERROR(VALUE(MID(TRIM('Template Setup'!$C$8),FIND("-",TRIM('Template Setup'!$C$8))+1,10)),0))</f>
        <v/>
      </c>
      <c r="Q266" s="9" t="str">
        <f>IF($A266="","",$A266&amp;"-"&amp;'Template Setup'!$C$16)</f>
        <v/>
      </c>
      <c r="R266" s="24" t="str">
        <f t="shared" si="17"/>
        <v/>
      </c>
      <c r="S266" s="24"/>
      <c r="T266" s="24" t="str">
        <f t="shared" si="18"/>
        <v/>
      </c>
      <c r="U266" s="6" t="str">
        <f t="shared" si="16"/>
        <v/>
      </c>
    </row>
    <row r="267" spans="1:21">
      <c r="A267" s="11"/>
      <c r="B267" s="11"/>
      <c r="C267" s="11"/>
      <c r="D267" s="11" t="str">
        <f>IF($A267="","",_xlfn.TEXTJOIN(", ",TRUE,IF($G267&gt;0,'Template Setup'!$C$4,""),IF($H267&gt;0,'Template Setup'!$C$5,""),IF($I267&gt;0,'Template Setup'!$C$6,""),IF($J267&gt;0,'Template Setup'!$C$7,""),IF($K267&gt;0,'Template Setup'!$C$8,"")))</f>
        <v/>
      </c>
      <c r="E267" s="6" t="str" cm="1">
        <f t="array" ref="E267">IF($A267="","",_xlfn.LET(_xlpm.sheets,CHOOSE({1,2,3,4,5},'Template Setup'!$C$4,'Template Setup'!$C$5,'Template Setup'!$C$6,'Template Setup'!$C$7,'Template Setup'!$C$8),_xlpm.nums,CHOOSE({1,2,3,4,5},$L267,$M267,$N267,$O267,$P267),_xlpm.qtys,CHOOSE({1,2,3,4,5},$G267,$H267,$I267,$J267,$K267),_xlpm.validNums,_xlfn._xlws.FILTER(_xlpm.nums,_xlpm.qtys&gt;0),_xlpm.validSheets,_xlfn._xlws.FILTER(_xlpm.sheets,_xlpm.qtys&gt;0),_xlpm.mx,IFERROR(MAX(_xlpm.validNums),0),IF(_xlpm.mx=0,"",INDEX(_xlpm.validSheets,MATCH(_xlpm.mx,_xlpm.validNums,0))&amp;" (+"&amp;$R267&amp;")")))</f>
        <v/>
      </c>
      <c r="F267" s="11" t="str">
        <f t="shared" si="19"/>
        <v/>
      </c>
      <c r="G267" s="12" t="str">
        <f ca="1">IF($A267="","",IFERROR(SUMIF(INDIRECT("'"&amp;'Template Setup'!$C$4&amp;"'!C:C"),$A267,INDIRECT("'"&amp;'Template Setup'!$C$4&amp;"'!A:A")),0))</f>
        <v/>
      </c>
      <c r="H267" s="12" t="str">
        <f ca="1">IF($A267="","",IFERROR(SUMIF(INDIRECT("'"&amp;'Template Setup'!$C$5&amp;"'!C:C"),$A267,INDIRECT("'"&amp;'Template Setup'!$C$5&amp;"'!A:A")),0))</f>
        <v/>
      </c>
      <c r="I267" s="12" t="str">
        <f ca="1">IF($A267="","",IFERROR(SUMIF(INDIRECT("'"&amp;'Template Setup'!$C$6&amp;"'!C:C"),$A267,INDIRECT("'"&amp;'Template Setup'!$C$6&amp;"'!A:A")),0))</f>
        <v/>
      </c>
      <c r="J267" s="12" t="str">
        <f ca="1">IF($A267="","",IFERROR(SUMIF(INDIRECT("'"&amp;'Template Setup'!$C$7&amp;"'!C:C"),$A267,INDIRECT("'"&amp;'Template Setup'!$C$7&amp;"'!A:A")),0))</f>
        <v/>
      </c>
      <c r="K267" s="12" t="str">
        <f ca="1">IF($A267="","",IFERROR(SUMIF(INDIRECT("'"&amp;'Template Setup'!$C$8&amp;"'!C:C"),$A267,INDIRECT("'"&amp;'Template Setup'!$C$8&amp;"'!A:A")),0))</f>
        <v/>
      </c>
      <c r="L267" s="11" t="str">
        <f>IF($A267="","",IFERROR(VALUE(MID(TRIM('Template Setup'!$C$4),FIND("-",TRIM('Template Setup'!$C$4))+1,10)),0))</f>
        <v/>
      </c>
      <c r="M267" s="11" t="str">
        <f>IF($A267="","",IFERROR(VALUE(MID(TRIM('Template Setup'!$C$5),FIND("-",TRIM('Template Setup'!$C$5))+1,10)),0))</f>
        <v/>
      </c>
      <c r="N267" s="11" t="str">
        <f>IF($A267="","",IFERROR(VALUE(MID(TRIM('Template Setup'!$C$6),FIND("-",TRIM('Template Setup'!$C$6))+1,10)),0))</f>
        <v/>
      </c>
      <c r="O267" s="11" t="str">
        <f>IF($A267="","",IFERROR(VALUE(MID(TRIM('Template Setup'!$C$7),FIND("-",TRIM('Template Setup'!$C$7))+1,10)),0))</f>
        <v/>
      </c>
      <c r="P267" s="11" t="str">
        <f>IF($A267="","",IFERROR(VALUE(MID(TRIM('Template Setup'!$C$8),FIND("-",TRIM('Template Setup'!$C$8))+1,10)),0))</f>
        <v/>
      </c>
      <c r="Q267" s="9" t="str">
        <f>IF($A267="","",$A267&amp;"-"&amp;'Template Setup'!$C$16)</f>
        <v/>
      </c>
      <c r="R267" s="24" t="str">
        <f t="shared" si="17"/>
        <v/>
      </c>
      <c r="S267" s="24"/>
      <c r="T267" s="24" t="str">
        <f t="shared" si="18"/>
        <v/>
      </c>
      <c r="U267" s="6" t="str">
        <f t="shared" si="16"/>
        <v/>
      </c>
    </row>
    <row r="268" spans="1:21">
      <c r="A268" s="11"/>
      <c r="B268" s="11"/>
      <c r="C268" s="11"/>
      <c r="D268" s="11" t="str">
        <f>IF($A268="","",_xlfn.TEXTJOIN(", ",TRUE,IF($G268&gt;0,'Template Setup'!$C$4,""),IF($H268&gt;0,'Template Setup'!$C$5,""),IF($I268&gt;0,'Template Setup'!$C$6,""),IF($J268&gt;0,'Template Setup'!$C$7,""),IF($K268&gt;0,'Template Setup'!$C$8,"")))</f>
        <v/>
      </c>
      <c r="E268" s="6" t="str" cm="1">
        <f t="array" ref="E268">IF($A268="","",_xlfn.LET(_xlpm.sheets,CHOOSE({1,2,3,4,5},'Template Setup'!$C$4,'Template Setup'!$C$5,'Template Setup'!$C$6,'Template Setup'!$C$7,'Template Setup'!$C$8),_xlpm.nums,CHOOSE({1,2,3,4,5},$L268,$M268,$N268,$O268,$P268),_xlpm.qtys,CHOOSE({1,2,3,4,5},$G268,$H268,$I268,$J268,$K268),_xlpm.validNums,_xlfn._xlws.FILTER(_xlpm.nums,_xlpm.qtys&gt;0),_xlpm.validSheets,_xlfn._xlws.FILTER(_xlpm.sheets,_xlpm.qtys&gt;0),_xlpm.mx,IFERROR(MAX(_xlpm.validNums),0),IF(_xlpm.mx=0,"",INDEX(_xlpm.validSheets,MATCH(_xlpm.mx,_xlpm.validNums,0))&amp;" (+"&amp;$R268&amp;")")))</f>
        <v/>
      </c>
      <c r="F268" s="11" t="str">
        <f t="shared" si="19"/>
        <v/>
      </c>
      <c r="G268" s="12" t="str">
        <f ca="1">IF($A268="","",IFERROR(SUMIF(INDIRECT("'"&amp;'Template Setup'!$C$4&amp;"'!C:C"),$A268,INDIRECT("'"&amp;'Template Setup'!$C$4&amp;"'!A:A")),0))</f>
        <v/>
      </c>
      <c r="H268" s="12" t="str">
        <f ca="1">IF($A268="","",IFERROR(SUMIF(INDIRECT("'"&amp;'Template Setup'!$C$5&amp;"'!C:C"),$A268,INDIRECT("'"&amp;'Template Setup'!$C$5&amp;"'!A:A")),0))</f>
        <v/>
      </c>
      <c r="I268" s="12" t="str">
        <f ca="1">IF($A268="","",IFERROR(SUMIF(INDIRECT("'"&amp;'Template Setup'!$C$6&amp;"'!C:C"),$A268,INDIRECT("'"&amp;'Template Setup'!$C$6&amp;"'!A:A")),0))</f>
        <v/>
      </c>
      <c r="J268" s="12" t="str">
        <f ca="1">IF($A268="","",IFERROR(SUMIF(INDIRECT("'"&amp;'Template Setup'!$C$7&amp;"'!C:C"),$A268,INDIRECT("'"&amp;'Template Setup'!$C$7&amp;"'!A:A")),0))</f>
        <v/>
      </c>
      <c r="K268" s="12" t="str">
        <f ca="1">IF($A268="","",IFERROR(SUMIF(INDIRECT("'"&amp;'Template Setup'!$C$8&amp;"'!C:C"),$A268,INDIRECT("'"&amp;'Template Setup'!$C$8&amp;"'!A:A")),0))</f>
        <v/>
      </c>
      <c r="L268" s="11" t="str">
        <f>IF($A268="","",IFERROR(VALUE(MID(TRIM('Template Setup'!$C$4),FIND("-",TRIM('Template Setup'!$C$4))+1,10)),0))</f>
        <v/>
      </c>
      <c r="M268" s="11" t="str">
        <f>IF($A268="","",IFERROR(VALUE(MID(TRIM('Template Setup'!$C$5),FIND("-",TRIM('Template Setup'!$C$5))+1,10)),0))</f>
        <v/>
      </c>
      <c r="N268" s="11" t="str">
        <f>IF($A268="","",IFERROR(VALUE(MID(TRIM('Template Setup'!$C$6),FIND("-",TRIM('Template Setup'!$C$6))+1,10)),0))</f>
        <v/>
      </c>
      <c r="O268" s="11" t="str">
        <f>IF($A268="","",IFERROR(VALUE(MID(TRIM('Template Setup'!$C$7),FIND("-",TRIM('Template Setup'!$C$7))+1,10)),0))</f>
        <v/>
      </c>
      <c r="P268" s="11" t="str">
        <f>IF($A268="","",IFERROR(VALUE(MID(TRIM('Template Setup'!$C$8),FIND("-",TRIM('Template Setup'!$C$8))+1,10)),0))</f>
        <v/>
      </c>
      <c r="Q268" s="9" t="str">
        <f>IF($A268="","",$A268&amp;"-"&amp;'Template Setup'!$C$16)</f>
        <v/>
      </c>
      <c r="R268" s="24" t="str">
        <f t="shared" si="17"/>
        <v/>
      </c>
      <c r="S268" s="24"/>
      <c r="T268" s="24" t="str">
        <f t="shared" si="18"/>
        <v/>
      </c>
      <c r="U268" s="6" t="str">
        <f t="shared" si="16"/>
        <v/>
      </c>
    </row>
    <row r="269" spans="1:21">
      <c r="A269" s="11"/>
      <c r="B269" s="11"/>
      <c r="C269" s="11"/>
      <c r="D269" s="11" t="str">
        <f>IF($A269="","",_xlfn.TEXTJOIN(", ",TRUE,IF($G269&gt;0,'Template Setup'!$C$4,""),IF($H269&gt;0,'Template Setup'!$C$5,""),IF($I269&gt;0,'Template Setup'!$C$6,""),IF($J269&gt;0,'Template Setup'!$C$7,""),IF($K269&gt;0,'Template Setup'!$C$8,"")))</f>
        <v/>
      </c>
      <c r="E269" s="6" t="str" cm="1">
        <f t="array" ref="E269">IF($A269="","",_xlfn.LET(_xlpm.sheets,CHOOSE({1,2,3,4,5},'Template Setup'!$C$4,'Template Setup'!$C$5,'Template Setup'!$C$6,'Template Setup'!$C$7,'Template Setup'!$C$8),_xlpm.nums,CHOOSE({1,2,3,4,5},$L269,$M269,$N269,$O269,$P269),_xlpm.qtys,CHOOSE({1,2,3,4,5},$G269,$H269,$I269,$J269,$K269),_xlpm.validNums,_xlfn._xlws.FILTER(_xlpm.nums,_xlpm.qtys&gt;0),_xlpm.validSheets,_xlfn._xlws.FILTER(_xlpm.sheets,_xlpm.qtys&gt;0),_xlpm.mx,IFERROR(MAX(_xlpm.validNums),0),IF(_xlpm.mx=0,"",INDEX(_xlpm.validSheets,MATCH(_xlpm.mx,_xlpm.validNums,0))&amp;" (+"&amp;$R269&amp;")")))</f>
        <v/>
      </c>
      <c r="F269" s="11" t="str">
        <f t="shared" si="19"/>
        <v/>
      </c>
      <c r="G269" s="12" t="str">
        <f ca="1">IF($A269="","",IFERROR(SUMIF(INDIRECT("'"&amp;'Template Setup'!$C$4&amp;"'!C:C"),$A269,INDIRECT("'"&amp;'Template Setup'!$C$4&amp;"'!A:A")),0))</f>
        <v/>
      </c>
      <c r="H269" s="12" t="str">
        <f ca="1">IF($A269="","",IFERROR(SUMIF(INDIRECT("'"&amp;'Template Setup'!$C$5&amp;"'!C:C"),$A269,INDIRECT("'"&amp;'Template Setup'!$C$5&amp;"'!A:A")),0))</f>
        <v/>
      </c>
      <c r="I269" s="12" t="str">
        <f ca="1">IF($A269="","",IFERROR(SUMIF(INDIRECT("'"&amp;'Template Setup'!$C$6&amp;"'!C:C"),$A269,INDIRECT("'"&amp;'Template Setup'!$C$6&amp;"'!A:A")),0))</f>
        <v/>
      </c>
      <c r="J269" s="12" t="str">
        <f ca="1">IF($A269="","",IFERROR(SUMIF(INDIRECT("'"&amp;'Template Setup'!$C$7&amp;"'!C:C"),$A269,INDIRECT("'"&amp;'Template Setup'!$C$7&amp;"'!A:A")),0))</f>
        <v/>
      </c>
      <c r="K269" s="12" t="str">
        <f ca="1">IF($A269="","",IFERROR(SUMIF(INDIRECT("'"&amp;'Template Setup'!$C$8&amp;"'!C:C"),$A269,INDIRECT("'"&amp;'Template Setup'!$C$8&amp;"'!A:A")),0))</f>
        <v/>
      </c>
      <c r="L269" s="11" t="str">
        <f>IF($A269="","",IFERROR(VALUE(MID(TRIM('Template Setup'!$C$4),FIND("-",TRIM('Template Setup'!$C$4))+1,10)),0))</f>
        <v/>
      </c>
      <c r="M269" s="11" t="str">
        <f>IF($A269="","",IFERROR(VALUE(MID(TRIM('Template Setup'!$C$5),FIND("-",TRIM('Template Setup'!$C$5))+1,10)),0))</f>
        <v/>
      </c>
      <c r="N269" s="11" t="str">
        <f>IF($A269="","",IFERROR(VALUE(MID(TRIM('Template Setup'!$C$6),FIND("-",TRIM('Template Setup'!$C$6))+1,10)),0))</f>
        <v/>
      </c>
      <c r="O269" s="11" t="str">
        <f>IF($A269="","",IFERROR(VALUE(MID(TRIM('Template Setup'!$C$7),FIND("-",TRIM('Template Setup'!$C$7))+1,10)),0))</f>
        <v/>
      </c>
      <c r="P269" s="11" t="str">
        <f>IF($A269="","",IFERROR(VALUE(MID(TRIM('Template Setup'!$C$8),FIND("-",TRIM('Template Setup'!$C$8))+1,10)),0))</f>
        <v/>
      </c>
      <c r="Q269" s="9" t="str">
        <f>IF($A269="","",$A269&amp;"-"&amp;'Template Setup'!$C$16)</f>
        <v/>
      </c>
      <c r="R269" s="24" t="str">
        <f t="shared" si="17"/>
        <v/>
      </c>
      <c r="S269" s="24"/>
      <c r="T269" s="24" t="str">
        <f t="shared" si="18"/>
        <v/>
      </c>
      <c r="U269" s="6" t="str">
        <f t="shared" si="16"/>
        <v/>
      </c>
    </row>
    <row r="270" spans="1:21">
      <c r="A270" s="11"/>
      <c r="B270" s="11"/>
      <c r="C270" s="11"/>
      <c r="D270" s="11" t="str">
        <f>IF($A270="","",_xlfn.TEXTJOIN(", ",TRUE,IF($G270&gt;0,'Template Setup'!$C$4,""),IF($H270&gt;0,'Template Setup'!$C$5,""),IF($I270&gt;0,'Template Setup'!$C$6,""),IF($J270&gt;0,'Template Setup'!$C$7,""),IF($K270&gt;0,'Template Setup'!$C$8,"")))</f>
        <v/>
      </c>
      <c r="E270" s="6" t="str" cm="1">
        <f t="array" ref="E270">IF($A270="","",_xlfn.LET(_xlpm.sheets,CHOOSE({1,2,3,4,5},'Template Setup'!$C$4,'Template Setup'!$C$5,'Template Setup'!$C$6,'Template Setup'!$C$7,'Template Setup'!$C$8),_xlpm.nums,CHOOSE({1,2,3,4,5},$L270,$M270,$N270,$O270,$P270),_xlpm.qtys,CHOOSE({1,2,3,4,5},$G270,$H270,$I270,$J270,$K270),_xlpm.validNums,_xlfn._xlws.FILTER(_xlpm.nums,_xlpm.qtys&gt;0),_xlpm.validSheets,_xlfn._xlws.FILTER(_xlpm.sheets,_xlpm.qtys&gt;0),_xlpm.mx,IFERROR(MAX(_xlpm.validNums),0),IF(_xlpm.mx=0,"",INDEX(_xlpm.validSheets,MATCH(_xlpm.mx,_xlpm.validNums,0))&amp;" (+"&amp;$R270&amp;")")))</f>
        <v/>
      </c>
      <c r="F270" s="11" t="str">
        <f t="shared" si="19"/>
        <v/>
      </c>
      <c r="G270" s="12" t="str">
        <f ca="1">IF($A270="","",IFERROR(SUMIF(INDIRECT("'"&amp;'Template Setup'!$C$4&amp;"'!C:C"),$A270,INDIRECT("'"&amp;'Template Setup'!$C$4&amp;"'!A:A")),0))</f>
        <v/>
      </c>
      <c r="H270" s="12" t="str">
        <f ca="1">IF($A270="","",IFERROR(SUMIF(INDIRECT("'"&amp;'Template Setup'!$C$5&amp;"'!C:C"),$A270,INDIRECT("'"&amp;'Template Setup'!$C$5&amp;"'!A:A")),0))</f>
        <v/>
      </c>
      <c r="I270" s="12" t="str">
        <f ca="1">IF($A270="","",IFERROR(SUMIF(INDIRECT("'"&amp;'Template Setup'!$C$6&amp;"'!C:C"),$A270,INDIRECT("'"&amp;'Template Setup'!$C$6&amp;"'!A:A")),0))</f>
        <v/>
      </c>
      <c r="J270" s="12" t="str">
        <f ca="1">IF($A270="","",IFERROR(SUMIF(INDIRECT("'"&amp;'Template Setup'!$C$7&amp;"'!C:C"),$A270,INDIRECT("'"&amp;'Template Setup'!$C$7&amp;"'!A:A")),0))</f>
        <v/>
      </c>
      <c r="K270" s="12" t="str">
        <f ca="1">IF($A270="","",IFERROR(SUMIF(INDIRECT("'"&amp;'Template Setup'!$C$8&amp;"'!C:C"),$A270,INDIRECT("'"&amp;'Template Setup'!$C$8&amp;"'!A:A")),0))</f>
        <v/>
      </c>
      <c r="L270" s="11" t="str">
        <f>IF($A270="","",IFERROR(VALUE(MID(TRIM('Template Setup'!$C$4),FIND("-",TRIM('Template Setup'!$C$4))+1,10)),0))</f>
        <v/>
      </c>
      <c r="M270" s="11" t="str">
        <f>IF($A270="","",IFERROR(VALUE(MID(TRIM('Template Setup'!$C$5),FIND("-",TRIM('Template Setup'!$C$5))+1,10)),0))</f>
        <v/>
      </c>
      <c r="N270" s="11" t="str">
        <f>IF($A270="","",IFERROR(VALUE(MID(TRIM('Template Setup'!$C$6),FIND("-",TRIM('Template Setup'!$C$6))+1,10)),0))</f>
        <v/>
      </c>
      <c r="O270" s="11" t="str">
        <f>IF($A270="","",IFERROR(VALUE(MID(TRIM('Template Setup'!$C$7),FIND("-",TRIM('Template Setup'!$C$7))+1,10)),0))</f>
        <v/>
      </c>
      <c r="P270" s="11" t="str">
        <f>IF($A270="","",IFERROR(VALUE(MID(TRIM('Template Setup'!$C$8),FIND("-",TRIM('Template Setup'!$C$8))+1,10)),0))</f>
        <v/>
      </c>
      <c r="Q270" s="9" t="str">
        <f>IF($A270="","",$A270&amp;"-"&amp;'Template Setup'!$C$16)</f>
        <v/>
      </c>
      <c r="R270" s="24" t="str">
        <f t="shared" si="17"/>
        <v/>
      </c>
      <c r="S270" s="24"/>
      <c r="T270" s="24" t="str">
        <f t="shared" si="18"/>
        <v/>
      </c>
      <c r="U270" s="6" t="str">
        <f t="shared" si="16"/>
        <v/>
      </c>
    </row>
    <row r="271" spans="1:21">
      <c r="A271" s="11"/>
      <c r="B271" s="11"/>
      <c r="C271" s="11"/>
      <c r="D271" s="11" t="str">
        <f>IF($A271="","",_xlfn.TEXTJOIN(", ",TRUE,IF($G271&gt;0,'Template Setup'!$C$4,""),IF($H271&gt;0,'Template Setup'!$C$5,""),IF($I271&gt;0,'Template Setup'!$C$6,""),IF($J271&gt;0,'Template Setup'!$C$7,""),IF($K271&gt;0,'Template Setup'!$C$8,"")))</f>
        <v/>
      </c>
      <c r="E271" s="6" t="str" cm="1">
        <f t="array" ref="E271">IF($A271="","",_xlfn.LET(_xlpm.sheets,CHOOSE({1,2,3,4,5},'Template Setup'!$C$4,'Template Setup'!$C$5,'Template Setup'!$C$6,'Template Setup'!$C$7,'Template Setup'!$C$8),_xlpm.nums,CHOOSE({1,2,3,4,5},$L271,$M271,$N271,$O271,$P271),_xlpm.qtys,CHOOSE({1,2,3,4,5},$G271,$H271,$I271,$J271,$K271),_xlpm.validNums,_xlfn._xlws.FILTER(_xlpm.nums,_xlpm.qtys&gt;0),_xlpm.validSheets,_xlfn._xlws.FILTER(_xlpm.sheets,_xlpm.qtys&gt;0),_xlpm.mx,IFERROR(MAX(_xlpm.validNums),0),IF(_xlpm.mx=0,"",INDEX(_xlpm.validSheets,MATCH(_xlpm.mx,_xlpm.validNums,0))&amp;" (+"&amp;$R271&amp;")")))</f>
        <v/>
      </c>
      <c r="F271" s="11" t="str">
        <f t="shared" si="19"/>
        <v/>
      </c>
      <c r="G271" s="12" t="str">
        <f ca="1">IF($A271="","",IFERROR(SUMIF(INDIRECT("'"&amp;'Template Setup'!$C$4&amp;"'!C:C"),$A271,INDIRECT("'"&amp;'Template Setup'!$C$4&amp;"'!A:A")),0))</f>
        <v/>
      </c>
      <c r="H271" s="12" t="str">
        <f ca="1">IF($A271="","",IFERROR(SUMIF(INDIRECT("'"&amp;'Template Setup'!$C$5&amp;"'!C:C"),$A271,INDIRECT("'"&amp;'Template Setup'!$C$5&amp;"'!A:A")),0))</f>
        <v/>
      </c>
      <c r="I271" s="12" t="str">
        <f ca="1">IF($A271="","",IFERROR(SUMIF(INDIRECT("'"&amp;'Template Setup'!$C$6&amp;"'!C:C"),$A271,INDIRECT("'"&amp;'Template Setup'!$C$6&amp;"'!A:A")),0))</f>
        <v/>
      </c>
      <c r="J271" s="12" t="str">
        <f ca="1">IF($A271="","",IFERROR(SUMIF(INDIRECT("'"&amp;'Template Setup'!$C$7&amp;"'!C:C"),$A271,INDIRECT("'"&amp;'Template Setup'!$C$7&amp;"'!A:A")),0))</f>
        <v/>
      </c>
      <c r="K271" s="12" t="str">
        <f ca="1">IF($A271="","",IFERROR(SUMIF(INDIRECT("'"&amp;'Template Setup'!$C$8&amp;"'!C:C"),$A271,INDIRECT("'"&amp;'Template Setup'!$C$8&amp;"'!A:A")),0))</f>
        <v/>
      </c>
      <c r="L271" s="11" t="str">
        <f>IF($A271="","",IFERROR(VALUE(MID(TRIM('Template Setup'!$C$4),FIND("-",TRIM('Template Setup'!$C$4))+1,10)),0))</f>
        <v/>
      </c>
      <c r="M271" s="11" t="str">
        <f>IF($A271="","",IFERROR(VALUE(MID(TRIM('Template Setup'!$C$5),FIND("-",TRIM('Template Setup'!$C$5))+1,10)),0))</f>
        <v/>
      </c>
      <c r="N271" s="11" t="str">
        <f>IF($A271="","",IFERROR(VALUE(MID(TRIM('Template Setup'!$C$6),FIND("-",TRIM('Template Setup'!$C$6))+1,10)),0))</f>
        <v/>
      </c>
      <c r="O271" s="11" t="str">
        <f>IF($A271="","",IFERROR(VALUE(MID(TRIM('Template Setup'!$C$7),FIND("-",TRIM('Template Setup'!$C$7))+1,10)),0))</f>
        <v/>
      </c>
      <c r="P271" s="11" t="str">
        <f>IF($A271="","",IFERROR(VALUE(MID(TRIM('Template Setup'!$C$8),FIND("-",TRIM('Template Setup'!$C$8))+1,10)),0))</f>
        <v/>
      </c>
      <c r="Q271" s="9" t="str">
        <f>IF($A271="","",$A271&amp;"-"&amp;'Template Setup'!$C$16)</f>
        <v/>
      </c>
      <c r="R271" s="24" t="str">
        <f t="shared" si="17"/>
        <v/>
      </c>
      <c r="S271" s="24"/>
      <c r="T271" s="24" t="str">
        <f t="shared" si="18"/>
        <v/>
      </c>
      <c r="U271" s="6" t="str">
        <f t="shared" si="16"/>
        <v/>
      </c>
    </row>
    <row r="272" spans="1:21">
      <c r="A272" s="11"/>
      <c r="B272" s="11"/>
      <c r="C272" s="11"/>
      <c r="D272" s="11" t="str">
        <f>IF($A272="","",_xlfn.TEXTJOIN(", ",TRUE,IF($G272&gt;0,'Template Setup'!$C$4,""),IF($H272&gt;0,'Template Setup'!$C$5,""),IF($I272&gt;0,'Template Setup'!$C$6,""),IF($J272&gt;0,'Template Setup'!$C$7,""),IF($K272&gt;0,'Template Setup'!$C$8,"")))</f>
        <v/>
      </c>
      <c r="E272" s="6" t="str" cm="1">
        <f t="array" ref="E272">IF($A272="","",_xlfn.LET(_xlpm.sheets,CHOOSE({1,2,3,4,5},'Template Setup'!$C$4,'Template Setup'!$C$5,'Template Setup'!$C$6,'Template Setup'!$C$7,'Template Setup'!$C$8),_xlpm.nums,CHOOSE({1,2,3,4,5},$L272,$M272,$N272,$O272,$P272),_xlpm.qtys,CHOOSE({1,2,3,4,5},$G272,$H272,$I272,$J272,$K272),_xlpm.validNums,_xlfn._xlws.FILTER(_xlpm.nums,_xlpm.qtys&gt;0),_xlpm.validSheets,_xlfn._xlws.FILTER(_xlpm.sheets,_xlpm.qtys&gt;0),_xlpm.mx,IFERROR(MAX(_xlpm.validNums),0),IF(_xlpm.mx=0,"",INDEX(_xlpm.validSheets,MATCH(_xlpm.mx,_xlpm.validNums,0))&amp;" (+"&amp;$R272&amp;")")))</f>
        <v/>
      </c>
      <c r="F272" s="11" t="str">
        <f t="shared" si="19"/>
        <v/>
      </c>
      <c r="G272" s="12" t="str">
        <f ca="1">IF($A272="","",IFERROR(SUMIF(INDIRECT("'"&amp;'Template Setup'!$C$4&amp;"'!C:C"),$A272,INDIRECT("'"&amp;'Template Setup'!$C$4&amp;"'!A:A")),0))</f>
        <v/>
      </c>
      <c r="H272" s="12" t="str">
        <f ca="1">IF($A272="","",IFERROR(SUMIF(INDIRECT("'"&amp;'Template Setup'!$C$5&amp;"'!C:C"),$A272,INDIRECT("'"&amp;'Template Setup'!$C$5&amp;"'!A:A")),0))</f>
        <v/>
      </c>
      <c r="I272" s="12" t="str">
        <f ca="1">IF($A272="","",IFERROR(SUMIF(INDIRECT("'"&amp;'Template Setup'!$C$6&amp;"'!C:C"),$A272,INDIRECT("'"&amp;'Template Setup'!$C$6&amp;"'!A:A")),0))</f>
        <v/>
      </c>
      <c r="J272" s="12" t="str">
        <f ca="1">IF($A272="","",IFERROR(SUMIF(INDIRECT("'"&amp;'Template Setup'!$C$7&amp;"'!C:C"),$A272,INDIRECT("'"&amp;'Template Setup'!$C$7&amp;"'!A:A")),0))</f>
        <v/>
      </c>
      <c r="K272" s="12" t="str">
        <f ca="1">IF($A272="","",IFERROR(SUMIF(INDIRECT("'"&amp;'Template Setup'!$C$8&amp;"'!C:C"),$A272,INDIRECT("'"&amp;'Template Setup'!$C$8&amp;"'!A:A")),0))</f>
        <v/>
      </c>
      <c r="L272" s="11" t="str">
        <f>IF($A272="","",IFERROR(VALUE(MID(TRIM('Template Setup'!$C$4),FIND("-",TRIM('Template Setup'!$C$4))+1,10)),0))</f>
        <v/>
      </c>
      <c r="M272" s="11" t="str">
        <f>IF($A272="","",IFERROR(VALUE(MID(TRIM('Template Setup'!$C$5),FIND("-",TRIM('Template Setup'!$C$5))+1,10)),0))</f>
        <v/>
      </c>
      <c r="N272" s="11" t="str">
        <f>IF($A272="","",IFERROR(VALUE(MID(TRIM('Template Setup'!$C$6),FIND("-",TRIM('Template Setup'!$C$6))+1,10)),0))</f>
        <v/>
      </c>
      <c r="O272" s="11" t="str">
        <f>IF($A272="","",IFERROR(VALUE(MID(TRIM('Template Setup'!$C$7),FIND("-",TRIM('Template Setup'!$C$7))+1,10)),0))</f>
        <v/>
      </c>
      <c r="P272" s="11" t="str">
        <f>IF($A272="","",IFERROR(VALUE(MID(TRIM('Template Setup'!$C$8),FIND("-",TRIM('Template Setup'!$C$8))+1,10)),0))</f>
        <v/>
      </c>
      <c r="Q272" s="9" t="str">
        <f>IF($A272="","",$A272&amp;"-"&amp;'Template Setup'!$C$16)</f>
        <v/>
      </c>
      <c r="R272" s="24" t="str">
        <f t="shared" si="17"/>
        <v/>
      </c>
      <c r="S272" s="24"/>
      <c r="T272" s="24" t="str">
        <f t="shared" si="18"/>
        <v/>
      </c>
      <c r="U272" s="6" t="str">
        <f t="shared" si="16"/>
        <v/>
      </c>
    </row>
    <row r="273" spans="1:21">
      <c r="A273" s="11"/>
      <c r="B273" s="11"/>
      <c r="C273" s="11"/>
      <c r="D273" s="11" t="str">
        <f>IF($A273="","",_xlfn.TEXTJOIN(", ",TRUE,IF($G273&gt;0,'Template Setup'!$C$4,""),IF($H273&gt;0,'Template Setup'!$C$5,""),IF($I273&gt;0,'Template Setup'!$C$6,""),IF($J273&gt;0,'Template Setup'!$C$7,""),IF($K273&gt;0,'Template Setup'!$C$8,"")))</f>
        <v/>
      </c>
      <c r="E273" s="6" t="str" cm="1">
        <f t="array" ref="E273">IF($A273="","",_xlfn.LET(_xlpm.sheets,CHOOSE({1,2,3,4,5},'Template Setup'!$C$4,'Template Setup'!$C$5,'Template Setup'!$C$6,'Template Setup'!$C$7,'Template Setup'!$C$8),_xlpm.nums,CHOOSE({1,2,3,4,5},$L273,$M273,$N273,$O273,$P273),_xlpm.qtys,CHOOSE({1,2,3,4,5},$G273,$H273,$I273,$J273,$K273),_xlpm.validNums,_xlfn._xlws.FILTER(_xlpm.nums,_xlpm.qtys&gt;0),_xlpm.validSheets,_xlfn._xlws.FILTER(_xlpm.sheets,_xlpm.qtys&gt;0),_xlpm.mx,IFERROR(MAX(_xlpm.validNums),0),IF(_xlpm.mx=0,"",INDEX(_xlpm.validSheets,MATCH(_xlpm.mx,_xlpm.validNums,0))&amp;" (+"&amp;$R273&amp;")")))</f>
        <v/>
      </c>
      <c r="F273" s="11" t="str">
        <f t="shared" si="19"/>
        <v/>
      </c>
      <c r="G273" s="12" t="str">
        <f ca="1">IF($A273="","",IFERROR(SUMIF(INDIRECT("'"&amp;'Template Setup'!$C$4&amp;"'!C:C"),$A273,INDIRECT("'"&amp;'Template Setup'!$C$4&amp;"'!A:A")),0))</f>
        <v/>
      </c>
      <c r="H273" s="12" t="str">
        <f ca="1">IF($A273="","",IFERROR(SUMIF(INDIRECT("'"&amp;'Template Setup'!$C$5&amp;"'!C:C"),$A273,INDIRECT("'"&amp;'Template Setup'!$C$5&amp;"'!A:A")),0))</f>
        <v/>
      </c>
      <c r="I273" s="12" t="str">
        <f ca="1">IF($A273="","",IFERROR(SUMIF(INDIRECT("'"&amp;'Template Setup'!$C$6&amp;"'!C:C"),$A273,INDIRECT("'"&amp;'Template Setup'!$C$6&amp;"'!A:A")),0))</f>
        <v/>
      </c>
      <c r="J273" s="12" t="str">
        <f ca="1">IF($A273="","",IFERROR(SUMIF(INDIRECT("'"&amp;'Template Setup'!$C$7&amp;"'!C:C"),$A273,INDIRECT("'"&amp;'Template Setup'!$C$7&amp;"'!A:A")),0))</f>
        <v/>
      </c>
      <c r="K273" s="12" t="str">
        <f ca="1">IF($A273="","",IFERROR(SUMIF(INDIRECT("'"&amp;'Template Setup'!$C$8&amp;"'!C:C"),$A273,INDIRECT("'"&amp;'Template Setup'!$C$8&amp;"'!A:A")),0))</f>
        <v/>
      </c>
      <c r="L273" s="11" t="str">
        <f>IF($A273="","",IFERROR(VALUE(MID(TRIM('Template Setup'!$C$4),FIND("-",TRIM('Template Setup'!$C$4))+1,10)),0))</f>
        <v/>
      </c>
      <c r="M273" s="11" t="str">
        <f>IF($A273="","",IFERROR(VALUE(MID(TRIM('Template Setup'!$C$5),FIND("-",TRIM('Template Setup'!$C$5))+1,10)),0))</f>
        <v/>
      </c>
      <c r="N273" s="11" t="str">
        <f>IF($A273="","",IFERROR(VALUE(MID(TRIM('Template Setup'!$C$6),FIND("-",TRIM('Template Setup'!$C$6))+1,10)),0))</f>
        <v/>
      </c>
      <c r="O273" s="11" t="str">
        <f>IF($A273="","",IFERROR(VALUE(MID(TRIM('Template Setup'!$C$7),FIND("-",TRIM('Template Setup'!$C$7))+1,10)),0))</f>
        <v/>
      </c>
      <c r="P273" s="11" t="str">
        <f>IF($A273="","",IFERROR(VALUE(MID(TRIM('Template Setup'!$C$8),FIND("-",TRIM('Template Setup'!$C$8))+1,10)),0))</f>
        <v/>
      </c>
      <c r="Q273" s="9" t="str">
        <f>IF($A273="","",$A273&amp;"-"&amp;'Template Setup'!$C$16)</f>
        <v/>
      </c>
      <c r="R273" s="24" t="str">
        <f t="shared" si="17"/>
        <v/>
      </c>
      <c r="S273" s="24"/>
      <c r="T273" s="24" t="str">
        <f t="shared" si="18"/>
        <v/>
      </c>
      <c r="U273" s="6" t="str">
        <f t="shared" si="16"/>
        <v/>
      </c>
    </row>
    <row r="274" spans="1:21">
      <c r="A274" s="11"/>
      <c r="B274" s="11"/>
      <c r="C274" s="11"/>
      <c r="D274" s="11" t="str">
        <f>IF($A274="","",_xlfn.TEXTJOIN(", ",TRUE,IF($G274&gt;0,'Template Setup'!$C$4,""),IF($H274&gt;0,'Template Setup'!$C$5,""),IF($I274&gt;0,'Template Setup'!$C$6,""),IF($J274&gt;0,'Template Setup'!$C$7,""),IF($K274&gt;0,'Template Setup'!$C$8,"")))</f>
        <v/>
      </c>
      <c r="E274" s="6" t="str" cm="1">
        <f t="array" ref="E274">IF($A274="","",_xlfn.LET(_xlpm.sheets,CHOOSE({1,2,3,4,5},'Template Setup'!$C$4,'Template Setup'!$C$5,'Template Setup'!$C$6,'Template Setup'!$C$7,'Template Setup'!$C$8),_xlpm.nums,CHOOSE({1,2,3,4,5},$L274,$M274,$N274,$O274,$P274),_xlpm.qtys,CHOOSE({1,2,3,4,5},$G274,$H274,$I274,$J274,$K274),_xlpm.validNums,_xlfn._xlws.FILTER(_xlpm.nums,_xlpm.qtys&gt;0),_xlpm.validSheets,_xlfn._xlws.FILTER(_xlpm.sheets,_xlpm.qtys&gt;0),_xlpm.mx,IFERROR(MAX(_xlpm.validNums),0),IF(_xlpm.mx=0,"",INDEX(_xlpm.validSheets,MATCH(_xlpm.mx,_xlpm.validNums,0))&amp;" (+"&amp;$R274&amp;")")))</f>
        <v/>
      </c>
      <c r="F274" s="11" t="str">
        <f t="shared" si="19"/>
        <v/>
      </c>
      <c r="G274" s="12" t="str">
        <f ca="1">IF($A274="","",IFERROR(SUMIF(INDIRECT("'"&amp;'Template Setup'!$C$4&amp;"'!C:C"),$A274,INDIRECT("'"&amp;'Template Setup'!$C$4&amp;"'!A:A")),0))</f>
        <v/>
      </c>
      <c r="H274" s="12" t="str">
        <f ca="1">IF($A274="","",IFERROR(SUMIF(INDIRECT("'"&amp;'Template Setup'!$C$5&amp;"'!C:C"),$A274,INDIRECT("'"&amp;'Template Setup'!$C$5&amp;"'!A:A")),0))</f>
        <v/>
      </c>
      <c r="I274" s="12" t="str">
        <f ca="1">IF($A274="","",IFERROR(SUMIF(INDIRECT("'"&amp;'Template Setup'!$C$6&amp;"'!C:C"),$A274,INDIRECT("'"&amp;'Template Setup'!$C$6&amp;"'!A:A")),0))</f>
        <v/>
      </c>
      <c r="J274" s="12" t="str">
        <f ca="1">IF($A274="","",IFERROR(SUMIF(INDIRECT("'"&amp;'Template Setup'!$C$7&amp;"'!C:C"),$A274,INDIRECT("'"&amp;'Template Setup'!$C$7&amp;"'!A:A")),0))</f>
        <v/>
      </c>
      <c r="K274" s="12" t="str">
        <f ca="1">IF($A274="","",IFERROR(SUMIF(INDIRECT("'"&amp;'Template Setup'!$C$8&amp;"'!C:C"),$A274,INDIRECT("'"&amp;'Template Setup'!$C$8&amp;"'!A:A")),0))</f>
        <v/>
      </c>
      <c r="L274" s="11" t="str">
        <f>IF($A274="","",IFERROR(VALUE(MID(TRIM('Template Setup'!$C$4),FIND("-",TRIM('Template Setup'!$C$4))+1,10)),0))</f>
        <v/>
      </c>
      <c r="M274" s="11" t="str">
        <f>IF($A274="","",IFERROR(VALUE(MID(TRIM('Template Setup'!$C$5),FIND("-",TRIM('Template Setup'!$C$5))+1,10)),0))</f>
        <v/>
      </c>
      <c r="N274" s="11" t="str">
        <f>IF($A274="","",IFERROR(VALUE(MID(TRIM('Template Setup'!$C$6),FIND("-",TRIM('Template Setup'!$C$6))+1,10)),0))</f>
        <v/>
      </c>
      <c r="O274" s="11" t="str">
        <f>IF($A274="","",IFERROR(VALUE(MID(TRIM('Template Setup'!$C$7),FIND("-",TRIM('Template Setup'!$C$7))+1,10)),0))</f>
        <v/>
      </c>
      <c r="P274" s="11" t="str">
        <f>IF($A274="","",IFERROR(VALUE(MID(TRIM('Template Setup'!$C$8),FIND("-",TRIM('Template Setup'!$C$8))+1,10)),0))</f>
        <v/>
      </c>
      <c r="Q274" s="9" t="str">
        <f>IF($A274="","",$A274&amp;"-"&amp;'Template Setup'!$C$16)</f>
        <v/>
      </c>
      <c r="R274" s="24" t="str">
        <f t="shared" si="17"/>
        <v/>
      </c>
      <c r="S274" s="24"/>
      <c r="T274" s="24" t="str">
        <f t="shared" si="18"/>
        <v/>
      </c>
      <c r="U274" s="6" t="str">
        <f t="shared" ref="U274:U337" si="20">IF($A274="","","☐")</f>
        <v/>
      </c>
    </row>
    <row r="275" spans="1:21">
      <c r="A275" s="11"/>
      <c r="B275" s="11"/>
      <c r="C275" s="11"/>
      <c r="D275" s="11" t="str">
        <f>IF($A275="","",_xlfn.TEXTJOIN(", ",TRUE,IF($G275&gt;0,'Template Setup'!$C$4,""),IF($H275&gt;0,'Template Setup'!$C$5,""),IF($I275&gt;0,'Template Setup'!$C$6,""),IF($J275&gt;0,'Template Setup'!$C$7,""),IF($K275&gt;0,'Template Setup'!$C$8,"")))</f>
        <v/>
      </c>
      <c r="E275" s="6" t="str" cm="1">
        <f t="array" ref="E275">IF($A275="","",_xlfn.LET(_xlpm.sheets,CHOOSE({1,2,3,4,5},'Template Setup'!$C$4,'Template Setup'!$C$5,'Template Setup'!$C$6,'Template Setup'!$C$7,'Template Setup'!$C$8),_xlpm.nums,CHOOSE({1,2,3,4,5},$L275,$M275,$N275,$O275,$P275),_xlpm.qtys,CHOOSE({1,2,3,4,5},$G275,$H275,$I275,$J275,$K275),_xlpm.validNums,_xlfn._xlws.FILTER(_xlpm.nums,_xlpm.qtys&gt;0),_xlpm.validSheets,_xlfn._xlws.FILTER(_xlpm.sheets,_xlpm.qtys&gt;0),_xlpm.mx,IFERROR(MAX(_xlpm.validNums),0),IF(_xlpm.mx=0,"",INDEX(_xlpm.validSheets,MATCH(_xlpm.mx,_xlpm.validNums,0))&amp;" (+"&amp;$R275&amp;")")))</f>
        <v/>
      </c>
      <c r="F275" s="11" t="str">
        <f t="shared" si="19"/>
        <v/>
      </c>
      <c r="G275" s="12" t="str">
        <f ca="1">IF($A275="","",IFERROR(SUMIF(INDIRECT("'"&amp;'Template Setup'!$C$4&amp;"'!C:C"),$A275,INDIRECT("'"&amp;'Template Setup'!$C$4&amp;"'!A:A")),0))</f>
        <v/>
      </c>
      <c r="H275" s="12" t="str">
        <f ca="1">IF($A275="","",IFERROR(SUMIF(INDIRECT("'"&amp;'Template Setup'!$C$5&amp;"'!C:C"),$A275,INDIRECT("'"&amp;'Template Setup'!$C$5&amp;"'!A:A")),0))</f>
        <v/>
      </c>
      <c r="I275" s="12" t="str">
        <f ca="1">IF($A275="","",IFERROR(SUMIF(INDIRECT("'"&amp;'Template Setup'!$C$6&amp;"'!C:C"),$A275,INDIRECT("'"&amp;'Template Setup'!$C$6&amp;"'!A:A")),0))</f>
        <v/>
      </c>
      <c r="J275" s="12" t="str">
        <f ca="1">IF($A275="","",IFERROR(SUMIF(INDIRECT("'"&amp;'Template Setup'!$C$7&amp;"'!C:C"),$A275,INDIRECT("'"&amp;'Template Setup'!$C$7&amp;"'!A:A")),0))</f>
        <v/>
      </c>
      <c r="K275" s="12" t="str">
        <f ca="1">IF($A275="","",IFERROR(SUMIF(INDIRECT("'"&amp;'Template Setup'!$C$8&amp;"'!C:C"),$A275,INDIRECT("'"&amp;'Template Setup'!$C$8&amp;"'!A:A")),0))</f>
        <v/>
      </c>
      <c r="L275" s="11" t="str">
        <f>IF($A275="","",IFERROR(VALUE(MID(TRIM('Template Setup'!$C$4),FIND("-",TRIM('Template Setup'!$C$4))+1,10)),0))</f>
        <v/>
      </c>
      <c r="M275" s="11" t="str">
        <f>IF($A275="","",IFERROR(VALUE(MID(TRIM('Template Setup'!$C$5),FIND("-",TRIM('Template Setup'!$C$5))+1,10)),0))</f>
        <v/>
      </c>
      <c r="N275" s="11" t="str">
        <f>IF($A275="","",IFERROR(VALUE(MID(TRIM('Template Setup'!$C$6),FIND("-",TRIM('Template Setup'!$C$6))+1,10)),0))</f>
        <v/>
      </c>
      <c r="O275" s="11" t="str">
        <f>IF($A275="","",IFERROR(VALUE(MID(TRIM('Template Setup'!$C$7),FIND("-",TRIM('Template Setup'!$C$7))+1,10)),0))</f>
        <v/>
      </c>
      <c r="P275" s="11" t="str">
        <f>IF($A275="","",IFERROR(VALUE(MID(TRIM('Template Setup'!$C$8),FIND("-",TRIM('Template Setup'!$C$8))+1,10)),0))</f>
        <v/>
      </c>
      <c r="Q275" s="9" t="str">
        <f>IF($A275="","",$A275&amp;"-"&amp;'Template Setup'!$C$16)</f>
        <v/>
      </c>
      <c r="R275" s="24" t="str">
        <f t="shared" si="17"/>
        <v/>
      </c>
      <c r="S275" s="24"/>
      <c r="T275" s="24" t="str">
        <f t="shared" si="18"/>
        <v/>
      </c>
      <c r="U275" s="6" t="str">
        <f t="shared" si="20"/>
        <v/>
      </c>
    </row>
    <row r="276" spans="1:21">
      <c r="A276" s="11"/>
      <c r="B276" s="11"/>
      <c r="C276" s="11"/>
      <c r="D276" s="11" t="str">
        <f>IF($A276="","",_xlfn.TEXTJOIN(", ",TRUE,IF($G276&gt;0,'Template Setup'!$C$4,""),IF($H276&gt;0,'Template Setup'!$C$5,""),IF($I276&gt;0,'Template Setup'!$C$6,""),IF($J276&gt;0,'Template Setup'!$C$7,""),IF($K276&gt;0,'Template Setup'!$C$8,"")))</f>
        <v/>
      </c>
      <c r="E276" s="6" t="str" cm="1">
        <f t="array" ref="E276">IF($A276="","",_xlfn.LET(_xlpm.sheets,CHOOSE({1,2,3,4,5},'Template Setup'!$C$4,'Template Setup'!$C$5,'Template Setup'!$C$6,'Template Setup'!$C$7,'Template Setup'!$C$8),_xlpm.nums,CHOOSE({1,2,3,4,5},$L276,$M276,$N276,$O276,$P276),_xlpm.qtys,CHOOSE({1,2,3,4,5},$G276,$H276,$I276,$J276,$K276),_xlpm.validNums,_xlfn._xlws.FILTER(_xlpm.nums,_xlpm.qtys&gt;0),_xlpm.validSheets,_xlfn._xlws.FILTER(_xlpm.sheets,_xlpm.qtys&gt;0),_xlpm.mx,IFERROR(MAX(_xlpm.validNums),0),IF(_xlpm.mx=0,"",INDEX(_xlpm.validSheets,MATCH(_xlpm.mx,_xlpm.validNums,0))&amp;" (+"&amp;$R276&amp;")")))</f>
        <v/>
      </c>
      <c r="F276" s="11" t="str">
        <f t="shared" si="19"/>
        <v/>
      </c>
      <c r="G276" s="12" t="str">
        <f ca="1">IF($A276="","",IFERROR(SUMIF(INDIRECT("'"&amp;'Template Setup'!$C$4&amp;"'!C:C"),$A276,INDIRECT("'"&amp;'Template Setup'!$C$4&amp;"'!A:A")),0))</f>
        <v/>
      </c>
      <c r="H276" s="12" t="str">
        <f ca="1">IF($A276="","",IFERROR(SUMIF(INDIRECT("'"&amp;'Template Setup'!$C$5&amp;"'!C:C"),$A276,INDIRECT("'"&amp;'Template Setup'!$C$5&amp;"'!A:A")),0))</f>
        <v/>
      </c>
      <c r="I276" s="12" t="str">
        <f ca="1">IF($A276="","",IFERROR(SUMIF(INDIRECT("'"&amp;'Template Setup'!$C$6&amp;"'!C:C"),$A276,INDIRECT("'"&amp;'Template Setup'!$C$6&amp;"'!A:A")),0))</f>
        <v/>
      </c>
      <c r="J276" s="12" t="str">
        <f ca="1">IF($A276="","",IFERROR(SUMIF(INDIRECT("'"&amp;'Template Setup'!$C$7&amp;"'!C:C"),$A276,INDIRECT("'"&amp;'Template Setup'!$C$7&amp;"'!A:A")),0))</f>
        <v/>
      </c>
      <c r="K276" s="12" t="str">
        <f ca="1">IF($A276="","",IFERROR(SUMIF(INDIRECT("'"&amp;'Template Setup'!$C$8&amp;"'!C:C"),$A276,INDIRECT("'"&amp;'Template Setup'!$C$8&amp;"'!A:A")),0))</f>
        <v/>
      </c>
      <c r="L276" s="11" t="str">
        <f>IF($A276="","",IFERROR(VALUE(MID(TRIM('Template Setup'!$C$4),FIND("-",TRIM('Template Setup'!$C$4))+1,10)),0))</f>
        <v/>
      </c>
      <c r="M276" s="11" t="str">
        <f>IF($A276="","",IFERROR(VALUE(MID(TRIM('Template Setup'!$C$5),FIND("-",TRIM('Template Setup'!$C$5))+1,10)),0))</f>
        <v/>
      </c>
      <c r="N276" s="11" t="str">
        <f>IF($A276="","",IFERROR(VALUE(MID(TRIM('Template Setup'!$C$6),FIND("-",TRIM('Template Setup'!$C$6))+1,10)),0))</f>
        <v/>
      </c>
      <c r="O276" s="11" t="str">
        <f>IF($A276="","",IFERROR(VALUE(MID(TRIM('Template Setup'!$C$7),FIND("-",TRIM('Template Setup'!$C$7))+1,10)),0))</f>
        <v/>
      </c>
      <c r="P276" s="11" t="str">
        <f>IF($A276="","",IFERROR(VALUE(MID(TRIM('Template Setup'!$C$8),FIND("-",TRIM('Template Setup'!$C$8))+1,10)),0))</f>
        <v/>
      </c>
      <c r="Q276" s="9" t="str">
        <f>IF($A276="","",$A276&amp;"-"&amp;'Template Setup'!$C$16)</f>
        <v/>
      </c>
      <c r="R276" s="24" t="str">
        <f t="shared" si="17"/>
        <v/>
      </c>
      <c r="S276" s="24"/>
      <c r="T276" s="24" t="str">
        <f t="shared" si="18"/>
        <v/>
      </c>
      <c r="U276" s="6" t="str">
        <f t="shared" si="20"/>
        <v/>
      </c>
    </row>
    <row r="277" spans="1:21">
      <c r="A277" s="11"/>
      <c r="B277" s="11"/>
      <c r="C277" s="11"/>
      <c r="D277" s="11" t="str">
        <f>IF($A277="","",_xlfn.TEXTJOIN(", ",TRUE,IF($G277&gt;0,'Template Setup'!$C$4,""),IF($H277&gt;0,'Template Setup'!$C$5,""),IF($I277&gt;0,'Template Setup'!$C$6,""),IF($J277&gt;0,'Template Setup'!$C$7,""),IF($K277&gt;0,'Template Setup'!$C$8,"")))</f>
        <v/>
      </c>
      <c r="E277" s="6" t="str" cm="1">
        <f t="array" ref="E277">IF($A277="","",_xlfn.LET(_xlpm.sheets,CHOOSE({1,2,3,4,5},'Template Setup'!$C$4,'Template Setup'!$C$5,'Template Setup'!$C$6,'Template Setup'!$C$7,'Template Setup'!$C$8),_xlpm.nums,CHOOSE({1,2,3,4,5},$L277,$M277,$N277,$O277,$P277),_xlpm.qtys,CHOOSE({1,2,3,4,5},$G277,$H277,$I277,$J277,$K277),_xlpm.validNums,_xlfn._xlws.FILTER(_xlpm.nums,_xlpm.qtys&gt;0),_xlpm.validSheets,_xlfn._xlws.FILTER(_xlpm.sheets,_xlpm.qtys&gt;0),_xlpm.mx,IFERROR(MAX(_xlpm.validNums),0),IF(_xlpm.mx=0,"",INDEX(_xlpm.validSheets,MATCH(_xlpm.mx,_xlpm.validNums,0))&amp;" (+"&amp;$R277&amp;")")))</f>
        <v/>
      </c>
      <c r="F277" s="11" t="str">
        <f t="shared" si="19"/>
        <v/>
      </c>
      <c r="G277" s="12" t="str">
        <f ca="1">IF($A277="","",IFERROR(SUMIF(INDIRECT("'"&amp;'Template Setup'!$C$4&amp;"'!C:C"),$A277,INDIRECT("'"&amp;'Template Setup'!$C$4&amp;"'!A:A")),0))</f>
        <v/>
      </c>
      <c r="H277" s="12" t="str">
        <f ca="1">IF($A277="","",IFERROR(SUMIF(INDIRECT("'"&amp;'Template Setup'!$C$5&amp;"'!C:C"),$A277,INDIRECT("'"&amp;'Template Setup'!$C$5&amp;"'!A:A")),0))</f>
        <v/>
      </c>
      <c r="I277" s="12" t="str">
        <f ca="1">IF($A277="","",IFERROR(SUMIF(INDIRECT("'"&amp;'Template Setup'!$C$6&amp;"'!C:C"),$A277,INDIRECT("'"&amp;'Template Setup'!$C$6&amp;"'!A:A")),0))</f>
        <v/>
      </c>
      <c r="J277" s="12" t="str">
        <f ca="1">IF($A277="","",IFERROR(SUMIF(INDIRECT("'"&amp;'Template Setup'!$C$7&amp;"'!C:C"),$A277,INDIRECT("'"&amp;'Template Setup'!$C$7&amp;"'!A:A")),0))</f>
        <v/>
      </c>
      <c r="K277" s="12" t="str">
        <f ca="1">IF($A277="","",IFERROR(SUMIF(INDIRECT("'"&amp;'Template Setup'!$C$8&amp;"'!C:C"),$A277,INDIRECT("'"&amp;'Template Setup'!$C$8&amp;"'!A:A")),0))</f>
        <v/>
      </c>
      <c r="L277" s="11" t="str">
        <f>IF($A277="","",IFERROR(VALUE(MID(TRIM('Template Setup'!$C$4),FIND("-",TRIM('Template Setup'!$C$4))+1,10)),0))</f>
        <v/>
      </c>
      <c r="M277" s="11" t="str">
        <f>IF($A277="","",IFERROR(VALUE(MID(TRIM('Template Setup'!$C$5),FIND("-",TRIM('Template Setup'!$C$5))+1,10)),0))</f>
        <v/>
      </c>
      <c r="N277" s="11" t="str">
        <f>IF($A277="","",IFERROR(VALUE(MID(TRIM('Template Setup'!$C$6),FIND("-",TRIM('Template Setup'!$C$6))+1,10)),0))</f>
        <v/>
      </c>
      <c r="O277" s="11" t="str">
        <f>IF($A277="","",IFERROR(VALUE(MID(TRIM('Template Setup'!$C$7),FIND("-",TRIM('Template Setup'!$C$7))+1,10)),0))</f>
        <v/>
      </c>
      <c r="P277" s="11" t="str">
        <f>IF($A277="","",IFERROR(VALUE(MID(TRIM('Template Setup'!$C$8),FIND("-",TRIM('Template Setup'!$C$8))+1,10)),0))</f>
        <v/>
      </c>
      <c r="Q277" s="9" t="str">
        <f>IF($A277="","",$A277&amp;"-"&amp;'Template Setup'!$C$16)</f>
        <v/>
      </c>
      <c r="R277" s="24" t="str">
        <f t="shared" si="17"/>
        <v/>
      </c>
      <c r="S277" s="24"/>
      <c r="T277" s="24" t="str">
        <f t="shared" si="18"/>
        <v/>
      </c>
      <c r="U277" s="6" t="str">
        <f t="shared" si="20"/>
        <v/>
      </c>
    </row>
    <row r="278" spans="1:21">
      <c r="A278" s="11"/>
      <c r="B278" s="11"/>
      <c r="C278" s="11"/>
      <c r="D278" s="11" t="str">
        <f>IF($A278="","",_xlfn.TEXTJOIN(", ",TRUE,IF($G278&gt;0,'Template Setup'!$C$4,""),IF($H278&gt;0,'Template Setup'!$C$5,""),IF($I278&gt;0,'Template Setup'!$C$6,""),IF($J278&gt;0,'Template Setup'!$C$7,""),IF($K278&gt;0,'Template Setup'!$C$8,"")))</f>
        <v/>
      </c>
      <c r="E278" s="6" t="str" cm="1">
        <f t="array" ref="E278">IF($A278="","",_xlfn.LET(_xlpm.sheets,CHOOSE({1,2,3,4,5},'Template Setup'!$C$4,'Template Setup'!$C$5,'Template Setup'!$C$6,'Template Setup'!$C$7,'Template Setup'!$C$8),_xlpm.nums,CHOOSE({1,2,3,4,5},$L278,$M278,$N278,$O278,$P278),_xlpm.qtys,CHOOSE({1,2,3,4,5},$G278,$H278,$I278,$J278,$K278),_xlpm.validNums,_xlfn._xlws.FILTER(_xlpm.nums,_xlpm.qtys&gt;0),_xlpm.validSheets,_xlfn._xlws.FILTER(_xlpm.sheets,_xlpm.qtys&gt;0),_xlpm.mx,IFERROR(MAX(_xlpm.validNums),0),IF(_xlpm.mx=0,"",INDEX(_xlpm.validSheets,MATCH(_xlpm.mx,_xlpm.validNums,0))&amp;" (+"&amp;$R278&amp;")")))</f>
        <v/>
      </c>
      <c r="F278" s="11" t="str">
        <f t="shared" si="19"/>
        <v/>
      </c>
      <c r="G278" s="12" t="str">
        <f ca="1">IF($A278="","",IFERROR(SUMIF(INDIRECT("'"&amp;'Template Setup'!$C$4&amp;"'!C:C"),$A278,INDIRECT("'"&amp;'Template Setup'!$C$4&amp;"'!A:A")),0))</f>
        <v/>
      </c>
      <c r="H278" s="12" t="str">
        <f ca="1">IF($A278="","",IFERROR(SUMIF(INDIRECT("'"&amp;'Template Setup'!$C$5&amp;"'!C:C"),$A278,INDIRECT("'"&amp;'Template Setup'!$C$5&amp;"'!A:A")),0))</f>
        <v/>
      </c>
      <c r="I278" s="12" t="str">
        <f ca="1">IF($A278="","",IFERROR(SUMIF(INDIRECT("'"&amp;'Template Setup'!$C$6&amp;"'!C:C"),$A278,INDIRECT("'"&amp;'Template Setup'!$C$6&amp;"'!A:A")),0))</f>
        <v/>
      </c>
      <c r="J278" s="12" t="str">
        <f ca="1">IF($A278="","",IFERROR(SUMIF(INDIRECT("'"&amp;'Template Setup'!$C$7&amp;"'!C:C"),$A278,INDIRECT("'"&amp;'Template Setup'!$C$7&amp;"'!A:A")),0))</f>
        <v/>
      </c>
      <c r="K278" s="12" t="str">
        <f ca="1">IF($A278="","",IFERROR(SUMIF(INDIRECT("'"&amp;'Template Setup'!$C$8&amp;"'!C:C"),$A278,INDIRECT("'"&amp;'Template Setup'!$C$8&amp;"'!A:A")),0))</f>
        <v/>
      </c>
      <c r="L278" s="11" t="str">
        <f>IF($A278="","",IFERROR(VALUE(MID(TRIM('Template Setup'!$C$4),FIND("-",TRIM('Template Setup'!$C$4))+1,10)),0))</f>
        <v/>
      </c>
      <c r="M278" s="11" t="str">
        <f>IF($A278="","",IFERROR(VALUE(MID(TRIM('Template Setup'!$C$5),FIND("-",TRIM('Template Setup'!$C$5))+1,10)),0))</f>
        <v/>
      </c>
      <c r="N278" s="11" t="str">
        <f>IF($A278="","",IFERROR(VALUE(MID(TRIM('Template Setup'!$C$6),FIND("-",TRIM('Template Setup'!$C$6))+1,10)),0))</f>
        <v/>
      </c>
      <c r="O278" s="11" t="str">
        <f>IF($A278="","",IFERROR(VALUE(MID(TRIM('Template Setup'!$C$7),FIND("-",TRIM('Template Setup'!$C$7))+1,10)),0))</f>
        <v/>
      </c>
      <c r="P278" s="11" t="str">
        <f>IF($A278="","",IFERROR(VALUE(MID(TRIM('Template Setup'!$C$8),FIND("-",TRIM('Template Setup'!$C$8))+1,10)),0))</f>
        <v/>
      </c>
      <c r="Q278" s="9" t="str">
        <f>IF($A278="","",$A278&amp;"-"&amp;'Template Setup'!$C$16)</f>
        <v/>
      </c>
      <c r="R278" s="24" t="str">
        <f t="shared" si="17"/>
        <v/>
      </c>
      <c r="S278" s="24"/>
      <c r="T278" s="24" t="str">
        <f t="shared" si="18"/>
        <v/>
      </c>
      <c r="U278" s="6" t="str">
        <f t="shared" si="20"/>
        <v/>
      </c>
    </row>
    <row r="279" spans="1:21">
      <c r="A279" s="11"/>
      <c r="B279" s="11"/>
      <c r="C279" s="11"/>
      <c r="D279" s="11" t="str">
        <f>IF($A279="","",_xlfn.TEXTJOIN(", ",TRUE,IF($G279&gt;0,'Template Setup'!$C$4,""),IF($H279&gt;0,'Template Setup'!$C$5,""),IF($I279&gt;0,'Template Setup'!$C$6,""),IF($J279&gt;0,'Template Setup'!$C$7,""),IF($K279&gt;0,'Template Setup'!$C$8,"")))</f>
        <v/>
      </c>
      <c r="E279" s="6" t="str" cm="1">
        <f t="array" ref="E279">IF($A279="","",_xlfn.LET(_xlpm.sheets,CHOOSE({1,2,3,4,5},'Template Setup'!$C$4,'Template Setup'!$C$5,'Template Setup'!$C$6,'Template Setup'!$C$7,'Template Setup'!$C$8),_xlpm.nums,CHOOSE({1,2,3,4,5},$L279,$M279,$N279,$O279,$P279),_xlpm.qtys,CHOOSE({1,2,3,4,5},$G279,$H279,$I279,$J279,$K279),_xlpm.validNums,_xlfn._xlws.FILTER(_xlpm.nums,_xlpm.qtys&gt;0),_xlpm.validSheets,_xlfn._xlws.FILTER(_xlpm.sheets,_xlpm.qtys&gt;0),_xlpm.mx,IFERROR(MAX(_xlpm.validNums),0),IF(_xlpm.mx=0,"",INDEX(_xlpm.validSheets,MATCH(_xlpm.mx,_xlpm.validNums,0))&amp;" (+"&amp;$R279&amp;")")))</f>
        <v/>
      </c>
      <c r="F279" s="11" t="str">
        <f t="shared" si="19"/>
        <v/>
      </c>
      <c r="G279" s="12" t="str">
        <f ca="1">IF($A279="","",IFERROR(SUMIF(INDIRECT("'"&amp;'Template Setup'!$C$4&amp;"'!C:C"),$A279,INDIRECT("'"&amp;'Template Setup'!$C$4&amp;"'!A:A")),0))</f>
        <v/>
      </c>
      <c r="H279" s="12" t="str">
        <f ca="1">IF($A279="","",IFERROR(SUMIF(INDIRECT("'"&amp;'Template Setup'!$C$5&amp;"'!C:C"),$A279,INDIRECT("'"&amp;'Template Setup'!$C$5&amp;"'!A:A")),0))</f>
        <v/>
      </c>
      <c r="I279" s="12" t="str">
        <f ca="1">IF($A279="","",IFERROR(SUMIF(INDIRECT("'"&amp;'Template Setup'!$C$6&amp;"'!C:C"),$A279,INDIRECT("'"&amp;'Template Setup'!$C$6&amp;"'!A:A")),0))</f>
        <v/>
      </c>
      <c r="J279" s="12" t="str">
        <f ca="1">IF($A279="","",IFERROR(SUMIF(INDIRECT("'"&amp;'Template Setup'!$C$7&amp;"'!C:C"),$A279,INDIRECT("'"&amp;'Template Setup'!$C$7&amp;"'!A:A")),0))</f>
        <v/>
      </c>
      <c r="K279" s="12" t="str">
        <f ca="1">IF($A279="","",IFERROR(SUMIF(INDIRECT("'"&amp;'Template Setup'!$C$8&amp;"'!C:C"),$A279,INDIRECT("'"&amp;'Template Setup'!$C$8&amp;"'!A:A")),0))</f>
        <v/>
      </c>
      <c r="L279" s="11" t="str">
        <f>IF($A279="","",IFERROR(VALUE(MID(TRIM('Template Setup'!$C$4),FIND("-",TRIM('Template Setup'!$C$4))+1,10)),0))</f>
        <v/>
      </c>
      <c r="M279" s="11" t="str">
        <f>IF($A279="","",IFERROR(VALUE(MID(TRIM('Template Setup'!$C$5),FIND("-",TRIM('Template Setup'!$C$5))+1,10)),0))</f>
        <v/>
      </c>
      <c r="N279" s="11" t="str">
        <f>IF($A279="","",IFERROR(VALUE(MID(TRIM('Template Setup'!$C$6),FIND("-",TRIM('Template Setup'!$C$6))+1,10)),0))</f>
        <v/>
      </c>
      <c r="O279" s="11" t="str">
        <f>IF($A279="","",IFERROR(VALUE(MID(TRIM('Template Setup'!$C$7),FIND("-",TRIM('Template Setup'!$C$7))+1,10)),0))</f>
        <v/>
      </c>
      <c r="P279" s="11" t="str">
        <f>IF($A279="","",IFERROR(VALUE(MID(TRIM('Template Setup'!$C$8),FIND("-",TRIM('Template Setup'!$C$8))+1,10)),0))</f>
        <v/>
      </c>
      <c r="Q279" s="9" t="str">
        <f>IF($A279="","",$A279&amp;"-"&amp;'Template Setup'!$C$16)</f>
        <v/>
      </c>
      <c r="R279" s="24" t="str">
        <f t="shared" si="17"/>
        <v/>
      </c>
      <c r="S279" s="24"/>
      <c r="T279" s="24" t="str">
        <f t="shared" si="18"/>
        <v/>
      </c>
      <c r="U279" s="6" t="str">
        <f t="shared" si="20"/>
        <v/>
      </c>
    </row>
    <row r="280" spans="1:21">
      <c r="A280" s="11"/>
      <c r="B280" s="11"/>
      <c r="C280" s="11"/>
      <c r="D280" s="11" t="str">
        <f>IF($A280="","",_xlfn.TEXTJOIN(", ",TRUE,IF($G280&gt;0,'Template Setup'!$C$4,""),IF($H280&gt;0,'Template Setup'!$C$5,""),IF($I280&gt;0,'Template Setup'!$C$6,""),IF($J280&gt;0,'Template Setup'!$C$7,""),IF($K280&gt;0,'Template Setup'!$C$8,"")))</f>
        <v/>
      </c>
      <c r="E280" s="6" t="str" cm="1">
        <f t="array" ref="E280">IF($A280="","",_xlfn.LET(_xlpm.sheets,CHOOSE({1,2,3,4,5},'Template Setup'!$C$4,'Template Setup'!$C$5,'Template Setup'!$C$6,'Template Setup'!$C$7,'Template Setup'!$C$8),_xlpm.nums,CHOOSE({1,2,3,4,5},$L280,$M280,$N280,$O280,$P280),_xlpm.qtys,CHOOSE({1,2,3,4,5},$G280,$H280,$I280,$J280,$K280),_xlpm.validNums,_xlfn._xlws.FILTER(_xlpm.nums,_xlpm.qtys&gt;0),_xlpm.validSheets,_xlfn._xlws.FILTER(_xlpm.sheets,_xlpm.qtys&gt;0),_xlpm.mx,IFERROR(MAX(_xlpm.validNums),0),IF(_xlpm.mx=0,"",INDEX(_xlpm.validSheets,MATCH(_xlpm.mx,_xlpm.validNums,0))&amp;" (+"&amp;$R280&amp;")")))</f>
        <v/>
      </c>
      <c r="F280" s="11" t="str">
        <f t="shared" si="19"/>
        <v/>
      </c>
      <c r="G280" s="12" t="str">
        <f ca="1">IF($A280="","",IFERROR(SUMIF(INDIRECT("'"&amp;'Template Setup'!$C$4&amp;"'!C:C"),$A280,INDIRECT("'"&amp;'Template Setup'!$C$4&amp;"'!A:A")),0))</f>
        <v/>
      </c>
      <c r="H280" s="12" t="str">
        <f ca="1">IF($A280="","",IFERROR(SUMIF(INDIRECT("'"&amp;'Template Setup'!$C$5&amp;"'!C:C"),$A280,INDIRECT("'"&amp;'Template Setup'!$C$5&amp;"'!A:A")),0))</f>
        <v/>
      </c>
      <c r="I280" s="12" t="str">
        <f ca="1">IF($A280="","",IFERROR(SUMIF(INDIRECT("'"&amp;'Template Setup'!$C$6&amp;"'!C:C"),$A280,INDIRECT("'"&amp;'Template Setup'!$C$6&amp;"'!A:A")),0))</f>
        <v/>
      </c>
      <c r="J280" s="12" t="str">
        <f ca="1">IF($A280="","",IFERROR(SUMIF(INDIRECT("'"&amp;'Template Setup'!$C$7&amp;"'!C:C"),$A280,INDIRECT("'"&amp;'Template Setup'!$C$7&amp;"'!A:A")),0))</f>
        <v/>
      </c>
      <c r="K280" s="12" t="str">
        <f ca="1">IF($A280="","",IFERROR(SUMIF(INDIRECT("'"&amp;'Template Setup'!$C$8&amp;"'!C:C"),$A280,INDIRECT("'"&amp;'Template Setup'!$C$8&amp;"'!A:A")),0))</f>
        <v/>
      </c>
      <c r="L280" s="11" t="str">
        <f>IF($A280="","",IFERROR(VALUE(MID(TRIM('Template Setup'!$C$4),FIND("-",TRIM('Template Setup'!$C$4))+1,10)),0))</f>
        <v/>
      </c>
      <c r="M280" s="11" t="str">
        <f>IF($A280="","",IFERROR(VALUE(MID(TRIM('Template Setup'!$C$5),FIND("-",TRIM('Template Setup'!$C$5))+1,10)),0))</f>
        <v/>
      </c>
      <c r="N280" s="11" t="str">
        <f>IF($A280="","",IFERROR(VALUE(MID(TRIM('Template Setup'!$C$6),FIND("-",TRIM('Template Setup'!$C$6))+1,10)),0))</f>
        <v/>
      </c>
      <c r="O280" s="11" t="str">
        <f>IF($A280="","",IFERROR(VALUE(MID(TRIM('Template Setup'!$C$7),FIND("-",TRIM('Template Setup'!$C$7))+1,10)),0))</f>
        <v/>
      </c>
      <c r="P280" s="11" t="str">
        <f>IF($A280="","",IFERROR(VALUE(MID(TRIM('Template Setup'!$C$8),FIND("-",TRIM('Template Setup'!$C$8))+1,10)),0))</f>
        <v/>
      </c>
      <c r="Q280" s="9" t="str">
        <f>IF($A280="","",$A280&amp;"-"&amp;'Template Setup'!$C$16)</f>
        <v/>
      </c>
      <c r="R280" s="24" t="str">
        <f t="shared" si="17"/>
        <v/>
      </c>
      <c r="S280" s="24"/>
      <c r="T280" s="24" t="str">
        <f t="shared" si="18"/>
        <v/>
      </c>
      <c r="U280" s="6" t="str">
        <f t="shared" si="20"/>
        <v/>
      </c>
    </row>
    <row r="281" spans="1:21">
      <c r="A281" s="11"/>
      <c r="B281" s="11"/>
      <c r="C281" s="11"/>
      <c r="D281" s="11" t="str">
        <f>IF($A281="","",_xlfn.TEXTJOIN(", ",TRUE,IF($G281&gt;0,'Template Setup'!$C$4,""),IF($H281&gt;0,'Template Setup'!$C$5,""),IF($I281&gt;0,'Template Setup'!$C$6,""),IF($J281&gt;0,'Template Setup'!$C$7,""),IF($K281&gt;0,'Template Setup'!$C$8,"")))</f>
        <v/>
      </c>
      <c r="E281" s="6" t="str" cm="1">
        <f t="array" ref="E281">IF($A281="","",_xlfn.LET(_xlpm.sheets,CHOOSE({1,2,3,4,5},'Template Setup'!$C$4,'Template Setup'!$C$5,'Template Setup'!$C$6,'Template Setup'!$C$7,'Template Setup'!$C$8),_xlpm.nums,CHOOSE({1,2,3,4,5},$L281,$M281,$N281,$O281,$P281),_xlpm.qtys,CHOOSE({1,2,3,4,5},$G281,$H281,$I281,$J281,$K281),_xlpm.validNums,_xlfn._xlws.FILTER(_xlpm.nums,_xlpm.qtys&gt;0),_xlpm.validSheets,_xlfn._xlws.FILTER(_xlpm.sheets,_xlpm.qtys&gt;0),_xlpm.mx,IFERROR(MAX(_xlpm.validNums),0),IF(_xlpm.mx=0,"",INDEX(_xlpm.validSheets,MATCH(_xlpm.mx,_xlpm.validNums,0))&amp;" (+"&amp;$R281&amp;")")))</f>
        <v/>
      </c>
      <c r="F281" s="11" t="str">
        <f t="shared" si="19"/>
        <v/>
      </c>
      <c r="G281" s="12" t="str">
        <f ca="1">IF($A281="","",IFERROR(SUMIF(INDIRECT("'"&amp;'Template Setup'!$C$4&amp;"'!C:C"),$A281,INDIRECT("'"&amp;'Template Setup'!$C$4&amp;"'!A:A")),0))</f>
        <v/>
      </c>
      <c r="H281" s="12" t="str">
        <f ca="1">IF($A281="","",IFERROR(SUMIF(INDIRECT("'"&amp;'Template Setup'!$C$5&amp;"'!C:C"),$A281,INDIRECT("'"&amp;'Template Setup'!$C$5&amp;"'!A:A")),0))</f>
        <v/>
      </c>
      <c r="I281" s="12" t="str">
        <f ca="1">IF($A281="","",IFERROR(SUMIF(INDIRECT("'"&amp;'Template Setup'!$C$6&amp;"'!C:C"),$A281,INDIRECT("'"&amp;'Template Setup'!$C$6&amp;"'!A:A")),0))</f>
        <v/>
      </c>
      <c r="J281" s="12" t="str">
        <f ca="1">IF($A281="","",IFERROR(SUMIF(INDIRECT("'"&amp;'Template Setup'!$C$7&amp;"'!C:C"),$A281,INDIRECT("'"&amp;'Template Setup'!$C$7&amp;"'!A:A")),0))</f>
        <v/>
      </c>
      <c r="K281" s="12" t="str">
        <f ca="1">IF($A281="","",IFERROR(SUMIF(INDIRECT("'"&amp;'Template Setup'!$C$8&amp;"'!C:C"),$A281,INDIRECT("'"&amp;'Template Setup'!$C$8&amp;"'!A:A")),0))</f>
        <v/>
      </c>
      <c r="L281" s="11" t="str">
        <f>IF($A281="","",IFERROR(VALUE(MID(TRIM('Template Setup'!$C$4),FIND("-",TRIM('Template Setup'!$C$4))+1,10)),0))</f>
        <v/>
      </c>
      <c r="M281" s="11" t="str">
        <f>IF($A281="","",IFERROR(VALUE(MID(TRIM('Template Setup'!$C$5),FIND("-",TRIM('Template Setup'!$C$5))+1,10)),0))</f>
        <v/>
      </c>
      <c r="N281" s="11" t="str">
        <f>IF($A281="","",IFERROR(VALUE(MID(TRIM('Template Setup'!$C$6),FIND("-",TRIM('Template Setup'!$C$6))+1,10)),0))</f>
        <v/>
      </c>
      <c r="O281" s="11" t="str">
        <f>IF($A281="","",IFERROR(VALUE(MID(TRIM('Template Setup'!$C$7),FIND("-",TRIM('Template Setup'!$C$7))+1,10)),0))</f>
        <v/>
      </c>
      <c r="P281" s="11" t="str">
        <f>IF($A281="","",IFERROR(VALUE(MID(TRIM('Template Setup'!$C$8),FIND("-",TRIM('Template Setup'!$C$8))+1,10)),0))</f>
        <v/>
      </c>
      <c r="Q281" s="9" t="str">
        <f>IF($A281="","",$A281&amp;"-"&amp;'Template Setup'!$C$16)</f>
        <v/>
      </c>
      <c r="R281" s="24" t="str">
        <f t="shared" si="17"/>
        <v/>
      </c>
      <c r="S281" s="24"/>
      <c r="T281" s="24" t="str">
        <f t="shared" si="18"/>
        <v/>
      </c>
      <c r="U281" s="6" t="str">
        <f t="shared" si="20"/>
        <v/>
      </c>
    </row>
    <row r="282" spans="1:21">
      <c r="A282" s="11"/>
      <c r="B282" s="11"/>
      <c r="C282" s="11"/>
      <c r="D282" s="11" t="str">
        <f>IF($A282="","",_xlfn.TEXTJOIN(", ",TRUE,IF($G282&gt;0,'Template Setup'!$C$4,""),IF($H282&gt;0,'Template Setup'!$C$5,""),IF($I282&gt;0,'Template Setup'!$C$6,""),IF($J282&gt;0,'Template Setup'!$C$7,""),IF($K282&gt;0,'Template Setup'!$C$8,"")))</f>
        <v/>
      </c>
      <c r="E282" s="6" t="str" cm="1">
        <f t="array" ref="E282">IF($A282="","",_xlfn.LET(_xlpm.sheets,CHOOSE({1,2,3,4,5},'Template Setup'!$C$4,'Template Setup'!$C$5,'Template Setup'!$C$6,'Template Setup'!$C$7,'Template Setup'!$C$8),_xlpm.nums,CHOOSE({1,2,3,4,5},$L282,$M282,$N282,$O282,$P282),_xlpm.qtys,CHOOSE({1,2,3,4,5},$G282,$H282,$I282,$J282,$K282),_xlpm.validNums,_xlfn._xlws.FILTER(_xlpm.nums,_xlpm.qtys&gt;0),_xlpm.validSheets,_xlfn._xlws.FILTER(_xlpm.sheets,_xlpm.qtys&gt;0),_xlpm.mx,IFERROR(MAX(_xlpm.validNums),0),IF(_xlpm.mx=0,"",INDEX(_xlpm.validSheets,MATCH(_xlpm.mx,_xlpm.validNums,0))&amp;" (+"&amp;$R282&amp;")")))</f>
        <v/>
      </c>
      <c r="F282" s="11" t="str">
        <f t="shared" si="19"/>
        <v/>
      </c>
      <c r="G282" s="12" t="str">
        <f ca="1">IF($A282="","",IFERROR(SUMIF(INDIRECT("'"&amp;'Template Setup'!$C$4&amp;"'!C:C"),$A282,INDIRECT("'"&amp;'Template Setup'!$C$4&amp;"'!A:A")),0))</f>
        <v/>
      </c>
      <c r="H282" s="12" t="str">
        <f ca="1">IF($A282="","",IFERROR(SUMIF(INDIRECT("'"&amp;'Template Setup'!$C$5&amp;"'!C:C"),$A282,INDIRECT("'"&amp;'Template Setup'!$C$5&amp;"'!A:A")),0))</f>
        <v/>
      </c>
      <c r="I282" s="12" t="str">
        <f ca="1">IF($A282="","",IFERROR(SUMIF(INDIRECT("'"&amp;'Template Setup'!$C$6&amp;"'!C:C"),$A282,INDIRECT("'"&amp;'Template Setup'!$C$6&amp;"'!A:A")),0))</f>
        <v/>
      </c>
      <c r="J282" s="12" t="str">
        <f ca="1">IF($A282="","",IFERROR(SUMIF(INDIRECT("'"&amp;'Template Setup'!$C$7&amp;"'!C:C"),$A282,INDIRECT("'"&amp;'Template Setup'!$C$7&amp;"'!A:A")),0))</f>
        <v/>
      </c>
      <c r="K282" s="12" t="str">
        <f ca="1">IF($A282="","",IFERROR(SUMIF(INDIRECT("'"&amp;'Template Setup'!$C$8&amp;"'!C:C"),$A282,INDIRECT("'"&amp;'Template Setup'!$C$8&amp;"'!A:A")),0))</f>
        <v/>
      </c>
      <c r="L282" s="11" t="str">
        <f>IF($A282="","",IFERROR(VALUE(MID(TRIM('Template Setup'!$C$4),FIND("-",TRIM('Template Setup'!$C$4))+1,10)),0))</f>
        <v/>
      </c>
      <c r="M282" s="11" t="str">
        <f>IF($A282="","",IFERROR(VALUE(MID(TRIM('Template Setup'!$C$5),FIND("-",TRIM('Template Setup'!$C$5))+1,10)),0))</f>
        <v/>
      </c>
      <c r="N282" s="11" t="str">
        <f>IF($A282="","",IFERROR(VALUE(MID(TRIM('Template Setup'!$C$6),FIND("-",TRIM('Template Setup'!$C$6))+1,10)),0))</f>
        <v/>
      </c>
      <c r="O282" s="11" t="str">
        <f>IF($A282="","",IFERROR(VALUE(MID(TRIM('Template Setup'!$C$7),FIND("-",TRIM('Template Setup'!$C$7))+1,10)),0))</f>
        <v/>
      </c>
      <c r="P282" s="11" t="str">
        <f>IF($A282="","",IFERROR(VALUE(MID(TRIM('Template Setup'!$C$8),FIND("-",TRIM('Template Setup'!$C$8))+1,10)),0))</f>
        <v/>
      </c>
      <c r="Q282" s="9" t="str">
        <f>IF($A282="","",$A282&amp;"-"&amp;'Template Setup'!$C$16)</f>
        <v/>
      </c>
      <c r="R282" s="24" t="str">
        <f t="shared" si="17"/>
        <v/>
      </c>
      <c r="S282" s="24"/>
      <c r="T282" s="24" t="str">
        <f t="shared" si="18"/>
        <v/>
      </c>
      <c r="U282" s="6" t="str">
        <f t="shared" si="20"/>
        <v/>
      </c>
    </row>
    <row r="283" spans="1:21">
      <c r="A283" s="11"/>
      <c r="B283" s="11"/>
      <c r="C283" s="11"/>
      <c r="D283" s="11" t="str">
        <f>IF($A283="","",_xlfn.TEXTJOIN(", ",TRUE,IF($G283&gt;0,'Template Setup'!$C$4,""),IF($H283&gt;0,'Template Setup'!$C$5,""),IF($I283&gt;0,'Template Setup'!$C$6,""),IF($J283&gt;0,'Template Setup'!$C$7,""),IF($K283&gt;0,'Template Setup'!$C$8,"")))</f>
        <v/>
      </c>
      <c r="E283" s="6" t="str" cm="1">
        <f t="array" ref="E283">IF($A283="","",_xlfn.LET(_xlpm.sheets,CHOOSE({1,2,3,4,5},'Template Setup'!$C$4,'Template Setup'!$C$5,'Template Setup'!$C$6,'Template Setup'!$C$7,'Template Setup'!$C$8),_xlpm.nums,CHOOSE({1,2,3,4,5},$L283,$M283,$N283,$O283,$P283),_xlpm.qtys,CHOOSE({1,2,3,4,5},$G283,$H283,$I283,$J283,$K283),_xlpm.validNums,_xlfn._xlws.FILTER(_xlpm.nums,_xlpm.qtys&gt;0),_xlpm.validSheets,_xlfn._xlws.FILTER(_xlpm.sheets,_xlpm.qtys&gt;0),_xlpm.mx,IFERROR(MAX(_xlpm.validNums),0),IF(_xlpm.mx=0,"",INDEX(_xlpm.validSheets,MATCH(_xlpm.mx,_xlpm.validNums,0))&amp;" (+"&amp;$R283&amp;")")))</f>
        <v/>
      </c>
      <c r="F283" s="11" t="str">
        <f t="shared" si="19"/>
        <v/>
      </c>
      <c r="G283" s="12" t="str">
        <f ca="1">IF($A283="","",IFERROR(SUMIF(INDIRECT("'"&amp;'Template Setup'!$C$4&amp;"'!C:C"),$A283,INDIRECT("'"&amp;'Template Setup'!$C$4&amp;"'!A:A")),0))</f>
        <v/>
      </c>
      <c r="H283" s="12" t="str">
        <f ca="1">IF($A283="","",IFERROR(SUMIF(INDIRECT("'"&amp;'Template Setup'!$C$5&amp;"'!C:C"),$A283,INDIRECT("'"&amp;'Template Setup'!$C$5&amp;"'!A:A")),0))</f>
        <v/>
      </c>
      <c r="I283" s="12" t="str">
        <f ca="1">IF($A283="","",IFERROR(SUMIF(INDIRECT("'"&amp;'Template Setup'!$C$6&amp;"'!C:C"),$A283,INDIRECT("'"&amp;'Template Setup'!$C$6&amp;"'!A:A")),0))</f>
        <v/>
      </c>
      <c r="J283" s="12" t="str">
        <f ca="1">IF($A283="","",IFERROR(SUMIF(INDIRECT("'"&amp;'Template Setup'!$C$7&amp;"'!C:C"),$A283,INDIRECT("'"&amp;'Template Setup'!$C$7&amp;"'!A:A")),0))</f>
        <v/>
      </c>
      <c r="K283" s="12" t="str">
        <f ca="1">IF($A283="","",IFERROR(SUMIF(INDIRECT("'"&amp;'Template Setup'!$C$8&amp;"'!C:C"),$A283,INDIRECT("'"&amp;'Template Setup'!$C$8&amp;"'!A:A")),0))</f>
        <v/>
      </c>
      <c r="L283" s="11" t="str">
        <f>IF($A283="","",IFERROR(VALUE(MID(TRIM('Template Setup'!$C$4),FIND("-",TRIM('Template Setup'!$C$4))+1,10)),0))</f>
        <v/>
      </c>
      <c r="M283" s="11" t="str">
        <f>IF($A283="","",IFERROR(VALUE(MID(TRIM('Template Setup'!$C$5),FIND("-",TRIM('Template Setup'!$C$5))+1,10)),0))</f>
        <v/>
      </c>
      <c r="N283" s="11" t="str">
        <f>IF($A283="","",IFERROR(VALUE(MID(TRIM('Template Setup'!$C$6),FIND("-",TRIM('Template Setup'!$C$6))+1,10)),0))</f>
        <v/>
      </c>
      <c r="O283" s="11" t="str">
        <f>IF($A283="","",IFERROR(VALUE(MID(TRIM('Template Setup'!$C$7),FIND("-",TRIM('Template Setup'!$C$7))+1,10)),0))</f>
        <v/>
      </c>
      <c r="P283" s="11" t="str">
        <f>IF($A283="","",IFERROR(VALUE(MID(TRIM('Template Setup'!$C$8),FIND("-",TRIM('Template Setup'!$C$8))+1,10)),0))</f>
        <v/>
      </c>
      <c r="Q283" s="9" t="str">
        <f>IF($A283="","",$A283&amp;"-"&amp;'Template Setup'!$C$16)</f>
        <v/>
      </c>
      <c r="R283" s="24" t="str">
        <f t="shared" si="17"/>
        <v/>
      </c>
      <c r="S283" s="24"/>
      <c r="T283" s="24" t="str">
        <f t="shared" si="18"/>
        <v/>
      </c>
      <c r="U283" s="6" t="str">
        <f t="shared" si="20"/>
        <v/>
      </c>
    </row>
    <row r="284" spans="1:21">
      <c r="A284" s="11"/>
      <c r="B284" s="11"/>
      <c r="C284" s="11"/>
      <c r="D284" s="11" t="str">
        <f>IF($A284="","",_xlfn.TEXTJOIN(", ",TRUE,IF($G284&gt;0,'Template Setup'!$C$4,""),IF($H284&gt;0,'Template Setup'!$C$5,""),IF($I284&gt;0,'Template Setup'!$C$6,""),IF($J284&gt;0,'Template Setup'!$C$7,""),IF($K284&gt;0,'Template Setup'!$C$8,"")))</f>
        <v/>
      </c>
      <c r="E284" s="6" t="str" cm="1">
        <f t="array" ref="E284">IF($A284="","",_xlfn.LET(_xlpm.sheets,CHOOSE({1,2,3,4,5},'Template Setup'!$C$4,'Template Setup'!$C$5,'Template Setup'!$C$6,'Template Setup'!$C$7,'Template Setup'!$C$8),_xlpm.nums,CHOOSE({1,2,3,4,5},$L284,$M284,$N284,$O284,$P284),_xlpm.qtys,CHOOSE({1,2,3,4,5},$G284,$H284,$I284,$J284,$K284),_xlpm.validNums,_xlfn._xlws.FILTER(_xlpm.nums,_xlpm.qtys&gt;0),_xlpm.validSheets,_xlfn._xlws.FILTER(_xlpm.sheets,_xlpm.qtys&gt;0),_xlpm.mx,IFERROR(MAX(_xlpm.validNums),0),IF(_xlpm.mx=0,"",INDEX(_xlpm.validSheets,MATCH(_xlpm.mx,_xlpm.validNums,0))&amp;" (+"&amp;$R284&amp;")")))</f>
        <v/>
      </c>
      <c r="F284" s="11" t="str">
        <f t="shared" si="19"/>
        <v/>
      </c>
      <c r="G284" s="12" t="str">
        <f ca="1">IF($A284="","",IFERROR(SUMIF(INDIRECT("'"&amp;'Template Setup'!$C$4&amp;"'!C:C"),$A284,INDIRECT("'"&amp;'Template Setup'!$C$4&amp;"'!A:A")),0))</f>
        <v/>
      </c>
      <c r="H284" s="12" t="str">
        <f ca="1">IF($A284="","",IFERROR(SUMIF(INDIRECT("'"&amp;'Template Setup'!$C$5&amp;"'!C:C"),$A284,INDIRECT("'"&amp;'Template Setup'!$C$5&amp;"'!A:A")),0))</f>
        <v/>
      </c>
      <c r="I284" s="12" t="str">
        <f ca="1">IF($A284="","",IFERROR(SUMIF(INDIRECT("'"&amp;'Template Setup'!$C$6&amp;"'!C:C"),$A284,INDIRECT("'"&amp;'Template Setup'!$C$6&amp;"'!A:A")),0))</f>
        <v/>
      </c>
      <c r="J284" s="12" t="str">
        <f ca="1">IF($A284="","",IFERROR(SUMIF(INDIRECT("'"&amp;'Template Setup'!$C$7&amp;"'!C:C"),$A284,INDIRECT("'"&amp;'Template Setup'!$C$7&amp;"'!A:A")),0))</f>
        <v/>
      </c>
      <c r="K284" s="12" t="str">
        <f ca="1">IF($A284="","",IFERROR(SUMIF(INDIRECT("'"&amp;'Template Setup'!$C$8&amp;"'!C:C"),$A284,INDIRECT("'"&amp;'Template Setup'!$C$8&amp;"'!A:A")),0))</f>
        <v/>
      </c>
      <c r="L284" s="11" t="str">
        <f>IF($A284="","",IFERROR(VALUE(MID(TRIM('Template Setup'!$C$4),FIND("-",TRIM('Template Setup'!$C$4))+1,10)),0))</f>
        <v/>
      </c>
      <c r="M284" s="11" t="str">
        <f>IF($A284="","",IFERROR(VALUE(MID(TRIM('Template Setup'!$C$5),FIND("-",TRIM('Template Setup'!$C$5))+1,10)),0))</f>
        <v/>
      </c>
      <c r="N284" s="11" t="str">
        <f>IF($A284="","",IFERROR(VALUE(MID(TRIM('Template Setup'!$C$6),FIND("-",TRIM('Template Setup'!$C$6))+1,10)),0))</f>
        <v/>
      </c>
      <c r="O284" s="11" t="str">
        <f>IF($A284="","",IFERROR(VALUE(MID(TRIM('Template Setup'!$C$7),FIND("-",TRIM('Template Setup'!$C$7))+1,10)),0))</f>
        <v/>
      </c>
      <c r="P284" s="11" t="str">
        <f>IF($A284="","",IFERROR(VALUE(MID(TRIM('Template Setup'!$C$8),FIND("-",TRIM('Template Setup'!$C$8))+1,10)),0))</f>
        <v/>
      </c>
      <c r="Q284" s="9" t="str">
        <f>IF($A284="","",$A284&amp;"-"&amp;'Template Setup'!$C$16)</f>
        <v/>
      </c>
      <c r="R284" s="24" t="str">
        <f t="shared" si="17"/>
        <v/>
      </c>
      <c r="S284" s="24"/>
      <c r="T284" s="24" t="str">
        <f t="shared" si="18"/>
        <v/>
      </c>
      <c r="U284" s="6" t="str">
        <f t="shared" si="20"/>
        <v/>
      </c>
    </row>
    <row r="285" spans="1:21">
      <c r="A285" s="11"/>
      <c r="B285" s="11"/>
      <c r="C285" s="11"/>
      <c r="D285" s="11" t="str">
        <f>IF($A285="","",_xlfn.TEXTJOIN(", ",TRUE,IF($G285&gt;0,'Template Setup'!$C$4,""),IF($H285&gt;0,'Template Setup'!$C$5,""),IF($I285&gt;0,'Template Setup'!$C$6,""),IF($J285&gt;0,'Template Setup'!$C$7,""),IF($K285&gt;0,'Template Setup'!$C$8,"")))</f>
        <v/>
      </c>
      <c r="E285" s="6" t="str" cm="1">
        <f t="array" ref="E285">IF($A285="","",_xlfn.LET(_xlpm.sheets,CHOOSE({1,2,3,4,5},'Template Setup'!$C$4,'Template Setup'!$C$5,'Template Setup'!$C$6,'Template Setup'!$C$7,'Template Setup'!$C$8),_xlpm.nums,CHOOSE({1,2,3,4,5},$L285,$M285,$N285,$O285,$P285),_xlpm.qtys,CHOOSE({1,2,3,4,5},$G285,$H285,$I285,$J285,$K285),_xlpm.validNums,_xlfn._xlws.FILTER(_xlpm.nums,_xlpm.qtys&gt;0),_xlpm.validSheets,_xlfn._xlws.FILTER(_xlpm.sheets,_xlpm.qtys&gt;0),_xlpm.mx,IFERROR(MAX(_xlpm.validNums),0),IF(_xlpm.mx=0,"",INDEX(_xlpm.validSheets,MATCH(_xlpm.mx,_xlpm.validNums,0))&amp;" (+"&amp;$R285&amp;")")))</f>
        <v/>
      </c>
      <c r="F285" s="11" t="str">
        <f t="shared" si="19"/>
        <v/>
      </c>
      <c r="G285" s="12" t="str">
        <f ca="1">IF($A285="","",IFERROR(SUMIF(INDIRECT("'"&amp;'Template Setup'!$C$4&amp;"'!C:C"),$A285,INDIRECT("'"&amp;'Template Setup'!$C$4&amp;"'!A:A")),0))</f>
        <v/>
      </c>
      <c r="H285" s="12" t="str">
        <f ca="1">IF($A285="","",IFERROR(SUMIF(INDIRECT("'"&amp;'Template Setup'!$C$5&amp;"'!C:C"),$A285,INDIRECT("'"&amp;'Template Setup'!$C$5&amp;"'!A:A")),0))</f>
        <v/>
      </c>
      <c r="I285" s="12" t="str">
        <f ca="1">IF($A285="","",IFERROR(SUMIF(INDIRECT("'"&amp;'Template Setup'!$C$6&amp;"'!C:C"),$A285,INDIRECT("'"&amp;'Template Setup'!$C$6&amp;"'!A:A")),0))</f>
        <v/>
      </c>
      <c r="J285" s="12" t="str">
        <f ca="1">IF($A285="","",IFERROR(SUMIF(INDIRECT("'"&amp;'Template Setup'!$C$7&amp;"'!C:C"),$A285,INDIRECT("'"&amp;'Template Setup'!$C$7&amp;"'!A:A")),0))</f>
        <v/>
      </c>
      <c r="K285" s="12" t="str">
        <f ca="1">IF($A285="","",IFERROR(SUMIF(INDIRECT("'"&amp;'Template Setup'!$C$8&amp;"'!C:C"),$A285,INDIRECT("'"&amp;'Template Setup'!$C$8&amp;"'!A:A")),0))</f>
        <v/>
      </c>
      <c r="L285" s="11" t="str">
        <f>IF($A285="","",IFERROR(VALUE(MID(TRIM('Template Setup'!$C$4),FIND("-",TRIM('Template Setup'!$C$4))+1,10)),0))</f>
        <v/>
      </c>
      <c r="M285" s="11" t="str">
        <f>IF($A285="","",IFERROR(VALUE(MID(TRIM('Template Setup'!$C$5),FIND("-",TRIM('Template Setup'!$C$5))+1,10)),0))</f>
        <v/>
      </c>
      <c r="N285" s="11" t="str">
        <f>IF($A285="","",IFERROR(VALUE(MID(TRIM('Template Setup'!$C$6),FIND("-",TRIM('Template Setup'!$C$6))+1,10)),0))</f>
        <v/>
      </c>
      <c r="O285" s="11" t="str">
        <f>IF($A285="","",IFERROR(VALUE(MID(TRIM('Template Setup'!$C$7),FIND("-",TRIM('Template Setup'!$C$7))+1,10)),0))</f>
        <v/>
      </c>
      <c r="P285" s="11" t="str">
        <f>IF($A285="","",IFERROR(VALUE(MID(TRIM('Template Setup'!$C$8),FIND("-",TRIM('Template Setup'!$C$8))+1,10)),0))</f>
        <v/>
      </c>
      <c r="Q285" s="9" t="str">
        <f>IF($A285="","",$A285&amp;"-"&amp;'Template Setup'!$C$16)</f>
        <v/>
      </c>
      <c r="R285" s="24" t="str">
        <f t="shared" si="17"/>
        <v/>
      </c>
      <c r="S285" s="24"/>
      <c r="T285" s="24" t="str">
        <f t="shared" si="18"/>
        <v/>
      </c>
      <c r="U285" s="6" t="str">
        <f t="shared" si="20"/>
        <v/>
      </c>
    </row>
    <row r="286" spans="1:21">
      <c r="A286" s="11"/>
      <c r="B286" s="11"/>
      <c r="C286" s="11"/>
      <c r="D286" s="11" t="str">
        <f>IF($A286="","",_xlfn.TEXTJOIN(", ",TRUE,IF($G286&gt;0,'Template Setup'!$C$4,""),IF($H286&gt;0,'Template Setup'!$C$5,""),IF($I286&gt;0,'Template Setup'!$C$6,""),IF($J286&gt;0,'Template Setup'!$C$7,""),IF($K286&gt;0,'Template Setup'!$C$8,"")))</f>
        <v/>
      </c>
      <c r="E286" s="6" t="str" cm="1">
        <f t="array" ref="E286">IF($A286="","",_xlfn.LET(_xlpm.sheets,CHOOSE({1,2,3,4,5},'Template Setup'!$C$4,'Template Setup'!$C$5,'Template Setup'!$C$6,'Template Setup'!$C$7,'Template Setup'!$C$8),_xlpm.nums,CHOOSE({1,2,3,4,5},$L286,$M286,$N286,$O286,$P286),_xlpm.qtys,CHOOSE({1,2,3,4,5},$G286,$H286,$I286,$J286,$K286),_xlpm.validNums,_xlfn._xlws.FILTER(_xlpm.nums,_xlpm.qtys&gt;0),_xlpm.validSheets,_xlfn._xlws.FILTER(_xlpm.sheets,_xlpm.qtys&gt;0),_xlpm.mx,IFERROR(MAX(_xlpm.validNums),0),IF(_xlpm.mx=0,"",INDEX(_xlpm.validSheets,MATCH(_xlpm.mx,_xlpm.validNums,0))&amp;" (+"&amp;$R286&amp;")")))</f>
        <v/>
      </c>
      <c r="F286" s="11" t="str">
        <f t="shared" si="19"/>
        <v/>
      </c>
      <c r="G286" s="12" t="str">
        <f ca="1">IF($A286="","",IFERROR(SUMIF(INDIRECT("'"&amp;'Template Setup'!$C$4&amp;"'!C:C"),$A286,INDIRECT("'"&amp;'Template Setup'!$C$4&amp;"'!A:A")),0))</f>
        <v/>
      </c>
      <c r="H286" s="12" t="str">
        <f ca="1">IF($A286="","",IFERROR(SUMIF(INDIRECT("'"&amp;'Template Setup'!$C$5&amp;"'!C:C"),$A286,INDIRECT("'"&amp;'Template Setup'!$C$5&amp;"'!A:A")),0))</f>
        <v/>
      </c>
      <c r="I286" s="12" t="str">
        <f ca="1">IF($A286="","",IFERROR(SUMIF(INDIRECT("'"&amp;'Template Setup'!$C$6&amp;"'!C:C"),$A286,INDIRECT("'"&amp;'Template Setup'!$C$6&amp;"'!A:A")),0))</f>
        <v/>
      </c>
      <c r="J286" s="12" t="str">
        <f ca="1">IF($A286="","",IFERROR(SUMIF(INDIRECT("'"&amp;'Template Setup'!$C$7&amp;"'!C:C"),$A286,INDIRECT("'"&amp;'Template Setup'!$C$7&amp;"'!A:A")),0))</f>
        <v/>
      </c>
      <c r="K286" s="12" t="str">
        <f ca="1">IF($A286="","",IFERROR(SUMIF(INDIRECT("'"&amp;'Template Setup'!$C$8&amp;"'!C:C"),$A286,INDIRECT("'"&amp;'Template Setup'!$C$8&amp;"'!A:A")),0))</f>
        <v/>
      </c>
      <c r="L286" s="11" t="str">
        <f>IF($A286="","",IFERROR(VALUE(MID(TRIM('Template Setup'!$C$4),FIND("-",TRIM('Template Setup'!$C$4))+1,10)),0))</f>
        <v/>
      </c>
      <c r="M286" s="11" t="str">
        <f>IF($A286="","",IFERROR(VALUE(MID(TRIM('Template Setup'!$C$5),FIND("-",TRIM('Template Setup'!$C$5))+1,10)),0))</f>
        <v/>
      </c>
      <c r="N286" s="11" t="str">
        <f>IF($A286="","",IFERROR(VALUE(MID(TRIM('Template Setup'!$C$6),FIND("-",TRIM('Template Setup'!$C$6))+1,10)),0))</f>
        <v/>
      </c>
      <c r="O286" s="11" t="str">
        <f>IF($A286="","",IFERROR(VALUE(MID(TRIM('Template Setup'!$C$7),FIND("-",TRIM('Template Setup'!$C$7))+1,10)),0))</f>
        <v/>
      </c>
      <c r="P286" s="11" t="str">
        <f>IF($A286="","",IFERROR(VALUE(MID(TRIM('Template Setup'!$C$8),FIND("-",TRIM('Template Setup'!$C$8))+1,10)),0))</f>
        <v/>
      </c>
      <c r="Q286" s="9" t="str">
        <f>IF($A286="","",$A286&amp;"-"&amp;'Template Setup'!$C$16)</f>
        <v/>
      </c>
      <c r="R286" s="24" t="str">
        <f t="shared" si="17"/>
        <v/>
      </c>
      <c r="S286" s="24"/>
      <c r="T286" s="24" t="str">
        <f t="shared" si="18"/>
        <v/>
      </c>
      <c r="U286" s="6" t="str">
        <f t="shared" si="20"/>
        <v/>
      </c>
    </row>
    <row r="287" spans="1:21">
      <c r="A287" s="11"/>
      <c r="B287" s="11"/>
      <c r="C287" s="11"/>
      <c r="D287" s="11" t="str">
        <f>IF($A287="","",_xlfn.TEXTJOIN(", ",TRUE,IF($G287&gt;0,'Template Setup'!$C$4,""),IF($H287&gt;0,'Template Setup'!$C$5,""),IF($I287&gt;0,'Template Setup'!$C$6,""),IF($J287&gt;0,'Template Setup'!$C$7,""),IF($K287&gt;0,'Template Setup'!$C$8,"")))</f>
        <v/>
      </c>
      <c r="E287" s="6" t="str" cm="1">
        <f t="array" ref="E287">IF($A287="","",_xlfn.LET(_xlpm.sheets,CHOOSE({1,2,3,4,5},'Template Setup'!$C$4,'Template Setup'!$C$5,'Template Setup'!$C$6,'Template Setup'!$C$7,'Template Setup'!$C$8),_xlpm.nums,CHOOSE({1,2,3,4,5},$L287,$M287,$N287,$O287,$P287),_xlpm.qtys,CHOOSE({1,2,3,4,5},$G287,$H287,$I287,$J287,$K287),_xlpm.validNums,_xlfn._xlws.FILTER(_xlpm.nums,_xlpm.qtys&gt;0),_xlpm.validSheets,_xlfn._xlws.FILTER(_xlpm.sheets,_xlpm.qtys&gt;0),_xlpm.mx,IFERROR(MAX(_xlpm.validNums),0),IF(_xlpm.mx=0,"",INDEX(_xlpm.validSheets,MATCH(_xlpm.mx,_xlpm.validNums,0))&amp;" (+"&amp;$R287&amp;")")))</f>
        <v/>
      </c>
      <c r="F287" s="11" t="str">
        <f t="shared" si="19"/>
        <v/>
      </c>
      <c r="G287" s="12" t="str">
        <f ca="1">IF($A287="","",IFERROR(SUMIF(INDIRECT("'"&amp;'Template Setup'!$C$4&amp;"'!C:C"),$A287,INDIRECT("'"&amp;'Template Setup'!$C$4&amp;"'!A:A")),0))</f>
        <v/>
      </c>
      <c r="H287" s="12" t="str">
        <f ca="1">IF($A287="","",IFERROR(SUMIF(INDIRECT("'"&amp;'Template Setup'!$C$5&amp;"'!C:C"),$A287,INDIRECT("'"&amp;'Template Setup'!$C$5&amp;"'!A:A")),0))</f>
        <v/>
      </c>
      <c r="I287" s="12" t="str">
        <f ca="1">IF($A287="","",IFERROR(SUMIF(INDIRECT("'"&amp;'Template Setup'!$C$6&amp;"'!C:C"),$A287,INDIRECT("'"&amp;'Template Setup'!$C$6&amp;"'!A:A")),0))</f>
        <v/>
      </c>
      <c r="J287" s="12" t="str">
        <f ca="1">IF($A287="","",IFERROR(SUMIF(INDIRECT("'"&amp;'Template Setup'!$C$7&amp;"'!C:C"),$A287,INDIRECT("'"&amp;'Template Setup'!$C$7&amp;"'!A:A")),0))</f>
        <v/>
      </c>
      <c r="K287" s="12" t="str">
        <f ca="1">IF($A287="","",IFERROR(SUMIF(INDIRECT("'"&amp;'Template Setup'!$C$8&amp;"'!C:C"),$A287,INDIRECT("'"&amp;'Template Setup'!$C$8&amp;"'!A:A")),0))</f>
        <v/>
      </c>
      <c r="L287" s="11" t="str">
        <f>IF($A287="","",IFERROR(VALUE(MID(TRIM('Template Setup'!$C$4),FIND("-",TRIM('Template Setup'!$C$4))+1,10)),0))</f>
        <v/>
      </c>
      <c r="M287" s="11" t="str">
        <f>IF($A287="","",IFERROR(VALUE(MID(TRIM('Template Setup'!$C$5),FIND("-",TRIM('Template Setup'!$C$5))+1,10)),0))</f>
        <v/>
      </c>
      <c r="N287" s="11" t="str">
        <f>IF($A287="","",IFERROR(VALUE(MID(TRIM('Template Setup'!$C$6),FIND("-",TRIM('Template Setup'!$C$6))+1,10)),0))</f>
        <v/>
      </c>
      <c r="O287" s="11" t="str">
        <f>IF($A287="","",IFERROR(VALUE(MID(TRIM('Template Setup'!$C$7),FIND("-",TRIM('Template Setup'!$C$7))+1,10)),0))</f>
        <v/>
      </c>
      <c r="P287" s="11" t="str">
        <f>IF($A287="","",IFERROR(VALUE(MID(TRIM('Template Setup'!$C$8),FIND("-",TRIM('Template Setup'!$C$8))+1,10)),0))</f>
        <v/>
      </c>
      <c r="Q287" s="9" t="str">
        <f>IF($A287="","",$A287&amp;"-"&amp;'Template Setup'!$C$16)</f>
        <v/>
      </c>
      <c r="R287" s="24" t="str">
        <f t="shared" si="17"/>
        <v/>
      </c>
      <c r="S287" s="24"/>
      <c r="T287" s="24" t="str">
        <f t="shared" si="18"/>
        <v/>
      </c>
      <c r="U287" s="6" t="str">
        <f t="shared" si="20"/>
        <v/>
      </c>
    </row>
    <row r="288" spans="1:21">
      <c r="A288" s="11"/>
      <c r="B288" s="11"/>
      <c r="C288" s="11"/>
      <c r="D288" s="11" t="str">
        <f>IF($A288="","",_xlfn.TEXTJOIN(", ",TRUE,IF($G288&gt;0,'Template Setup'!$C$4,""),IF($H288&gt;0,'Template Setup'!$C$5,""),IF($I288&gt;0,'Template Setup'!$C$6,""),IF($J288&gt;0,'Template Setup'!$C$7,""),IF($K288&gt;0,'Template Setup'!$C$8,"")))</f>
        <v/>
      </c>
      <c r="E288" s="6" t="str" cm="1">
        <f t="array" ref="E288">IF($A288="","",_xlfn.LET(_xlpm.sheets,CHOOSE({1,2,3,4,5},'Template Setup'!$C$4,'Template Setup'!$C$5,'Template Setup'!$C$6,'Template Setup'!$C$7,'Template Setup'!$C$8),_xlpm.nums,CHOOSE({1,2,3,4,5},$L288,$M288,$N288,$O288,$P288),_xlpm.qtys,CHOOSE({1,2,3,4,5},$G288,$H288,$I288,$J288,$K288),_xlpm.validNums,_xlfn._xlws.FILTER(_xlpm.nums,_xlpm.qtys&gt;0),_xlpm.validSheets,_xlfn._xlws.FILTER(_xlpm.sheets,_xlpm.qtys&gt;0),_xlpm.mx,IFERROR(MAX(_xlpm.validNums),0),IF(_xlpm.mx=0,"",INDEX(_xlpm.validSheets,MATCH(_xlpm.mx,_xlpm.validNums,0))&amp;" (+"&amp;$R288&amp;")")))</f>
        <v/>
      </c>
      <c r="F288" s="11" t="str">
        <f t="shared" si="19"/>
        <v/>
      </c>
      <c r="G288" s="12" t="str">
        <f ca="1">IF($A288="","",IFERROR(SUMIF(INDIRECT("'"&amp;'Template Setup'!$C$4&amp;"'!C:C"),$A288,INDIRECT("'"&amp;'Template Setup'!$C$4&amp;"'!A:A")),0))</f>
        <v/>
      </c>
      <c r="H288" s="12" t="str">
        <f ca="1">IF($A288="","",IFERROR(SUMIF(INDIRECT("'"&amp;'Template Setup'!$C$5&amp;"'!C:C"),$A288,INDIRECT("'"&amp;'Template Setup'!$C$5&amp;"'!A:A")),0))</f>
        <v/>
      </c>
      <c r="I288" s="12" t="str">
        <f ca="1">IF($A288="","",IFERROR(SUMIF(INDIRECT("'"&amp;'Template Setup'!$C$6&amp;"'!C:C"),$A288,INDIRECT("'"&amp;'Template Setup'!$C$6&amp;"'!A:A")),0))</f>
        <v/>
      </c>
      <c r="J288" s="12" t="str">
        <f ca="1">IF($A288="","",IFERROR(SUMIF(INDIRECT("'"&amp;'Template Setup'!$C$7&amp;"'!C:C"),$A288,INDIRECT("'"&amp;'Template Setup'!$C$7&amp;"'!A:A")),0))</f>
        <v/>
      </c>
      <c r="K288" s="12" t="str">
        <f ca="1">IF($A288="","",IFERROR(SUMIF(INDIRECT("'"&amp;'Template Setup'!$C$8&amp;"'!C:C"),$A288,INDIRECT("'"&amp;'Template Setup'!$C$8&amp;"'!A:A")),0))</f>
        <v/>
      </c>
      <c r="L288" s="11" t="str">
        <f>IF($A288="","",IFERROR(VALUE(MID(TRIM('Template Setup'!$C$4),FIND("-",TRIM('Template Setup'!$C$4))+1,10)),0))</f>
        <v/>
      </c>
      <c r="M288" s="11" t="str">
        <f>IF($A288="","",IFERROR(VALUE(MID(TRIM('Template Setup'!$C$5),FIND("-",TRIM('Template Setup'!$C$5))+1,10)),0))</f>
        <v/>
      </c>
      <c r="N288" s="11" t="str">
        <f>IF($A288="","",IFERROR(VALUE(MID(TRIM('Template Setup'!$C$6),FIND("-",TRIM('Template Setup'!$C$6))+1,10)),0))</f>
        <v/>
      </c>
      <c r="O288" s="11" t="str">
        <f>IF($A288="","",IFERROR(VALUE(MID(TRIM('Template Setup'!$C$7),FIND("-",TRIM('Template Setup'!$C$7))+1,10)),0))</f>
        <v/>
      </c>
      <c r="P288" s="11" t="str">
        <f>IF($A288="","",IFERROR(VALUE(MID(TRIM('Template Setup'!$C$8),FIND("-",TRIM('Template Setup'!$C$8))+1,10)),0))</f>
        <v/>
      </c>
      <c r="Q288" s="9" t="str">
        <f>IF($A288="","",$A288&amp;"-"&amp;'Template Setup'!$C$16)</f>
        <v/>
      </c>
      <c r="R288" s="24" t="str">
        <f t="shared" si="17"/>
        <v/>
      </c>
      <c r="S288" s="24"/>
      <c r="T288" s="24" t="str">
        <f t="shared" si="18"/>
        <v/>
      </c>
      <c r="U288" s="6" t="str">
        <f t="shared" si="20"/>
        <v/>
      </c>
    </row>
    <row r="289" spans="1:21">
      <c r="A289" s="11"/>
      <c r="B289" s="11"/>
      <c r="C289" s="11"/>
      <c r="D289" s="11" t="str">
        <f>IF($A289="","",_xlfn.TEXTJOIN(", ",TRUE,IF($G289&gt;0,'Template Setup'!$C$4,""),IF($H289&gt;0,'Template Setup'!$C$5,""),IF($I289&gt;0,'Template Setup'!$C$6,""),IF($J289&gt;0,'Template Setup'!$C$7,""),IF($K289&gt;0,'Template Setup'!$C$8,"")))</f>
        <v/>
      </c>
      <c r="E289" s="6" t="str" cm="1">
        <f t="array" ref="E289">IF($A289="","",_xlfn.LET(_xlpm.sheets,CHOOSE({1,2,3,4,5},'Template Setup'!$C$4,'Template Setup'!$C$5,'Template Setup'!$C$6,'Template Setup'!$C$7,'Template Setup'!$C$8),_xlpm.nums,CHOOSE({1,2,3,4,5},$L289,$M289,$N289,$O289,$P289),_xlpm.qtys,CHOOSE({1,2,3,4,5},$G289,$H289,$I289,$J289,$K289),_xlpm.validNums,_xlfn._xlws.FILTER(_xlpm.nums,_xlpm.qtys&gt;0),_xlpm.validSheets,_xlfn._xlws.FILTER(_xlpm.sheets,_xlpm.qtys&gt;0),_xlpm.mx,IFERROR(MAX(_xlpm.validNums),0),IF(_xlpm.mx=0,"",INDEX(_xlpm.validSheets,MATCH(_xlpm.mx,_xlpm.validNums,0))&amp;" (+"&amp;$R289&amp;")")))</f>
        <v/>
      </c>
      <c r="F289" s="11" t="str">
        <f t="shared" si="19"/>
        <v/>
      </c>
      <c r="G289" s="12" t="str">
        <f ca="1">IF($A289="","",IFERROR(SUMIF(INDIRECT("'"&amp;'Template Setup'!$C$4&amp;"'!C:C"),$A289,INDIRECT("'"&amp;'Template Setup'!$C$4&amp;"'!A:A")),0))</f>
        <v/>
      </c>
      <c r="H289" s="12" t="str">
        <f ca="1">IF($A289="","",IFERROR(SUMIF(INDIRECT("'"&amp;'Template Setup'!$C$5&amp;"'!C:C"),$A289,INDIRECT("'"&amp;'Template Setup'!$C$5&amp;"'!A:A")),0))</f>
        <v/>
      </c>
      <c r="I289" s="12" t="str">
        <f ca="1">IF($A289="","",IFERROR(SUMIF(INDIRECT("'"&amp;'Template Setup'!$C$6&amp;"'!C:C"),$A289,INDIRECT("'"&amp;'Template Setup'!$C$6&amp;"'!A:A")),0))</f>
        <v/>
      </c>
      <c r="J289" s="12" t="str">
        <f ca="1">IF($A289="","",IFERROR(SUMIF(INDIRECT("'"&amp;'Template Setup'!$C$7&amp;"'!C:C"),$A289,INDIRECT("'"&amp;'Template Setup'!$C$7&amp;"'!A:A")),0))</f>
        <v/>
      </c>
      <c r="K289" s="12" t="str">
        <f ca="1">IF($A289="","",IFERROR(SUMIF(INDIRECT("'"&amp;'Template Setup'!$C$8&amp;"'!C:C"),$A289,INDIRECT("'"&amp;'Template Setup'!$C$8&amp;"'!A:A")),0))</f>
        <v/>
      </c>
      <c r="L289" s="11" t="str">
        <f>IF($A289="","",IFERROR(VALUE(MID(TRIM('Template Setup'!$C$4),FIND("-",TRIM('Template Setup'!$C$4))+1,10)),0))</f>
        <v/>
      </c>
      <c r="M289" s="11" t="str">
        <f>IF($A289="","",IFERROR(VALUE(MID(TRIM('Template Setup'!$C$5),FIND("-",TRIM('Template Setup'!$C$5))+1,10)),0))</f>
        <v/>
      </c>
      <c r="N289" s="11" t="str">
        <f>IF($A289="","",IFERROR(VALUE(MID(TRIM('Template Setup'!$C$6),FIND("-",TRIM('Template Setup'!$C$6))+1,10)),0))</f>
        <v/>
      </c>
      <c r="O289" s="11" t="str">
        <f>IF($A289="","",IFERROR(VALUE(MID(TRIM('Template Setup'!$C$7),FIND("-",TRIM('Template Setup'!$C$7))+1,10)),0))</f>
        <v/>
      </c>
      <c r="P289" s="11" t="str">
        <f>IF($A289="","",IFERROR(VALUE(MID(TRIM('Template Setup'!$C$8),FIND("-",TRIM('Template Setup'!$C$8))+1,10)),0))</f>
        <v/>
      </c>
      <c r="Q289" s="9" t="str">
        <f>IF($A289="","",$A289&amp;"-"&amp;'Template Setup'!$C$16)</f>
        <v/>
      </c>
      <c r="R289" s="24" t="str">
        <f t="shared" si="17"/>
        <v/>
      </c>
      <c r="S289" s="24"/>
      <c r="T289" s="24" t="str">
        <f t="shared" si="18"/>
        <v/>
      </c>
      <c r="U289" s="6" t="str">
        <f t="shared" si="20"/>
        <v/>
      </c>
    </row>
    <row r="290" spans="1:21">
      <c r="A290" s="11"/>
      <c r="B290" s="11"/>
      <c r="C290" s="11"/>
      <c r="D290" s="11" t="str">
        <f>IF($A290="","",_xlfn.TEXTJOIN(", ",TRUE,IF($G290&gt;0,'Template Setup'!$C$4,""),IF($H290&gt;0,'Template Setup'!$C$5,""),IF($I290&gt;0,'Template Setup'!$C$6,""),IF($J290&gt;0,'Template Setup'!$C$7,""),IF($K290&gt;0,'Template Setup'!$C$8,"")))</f>
        <v/>
      </c>
      <c r="E290" s="6" t="str" cm="1">
        <f t="array" ref="E290">IF($A290="","",_xlfn.LET(_xlpm.sheets,CHOOSE({1,2,3,4,5},'Template Setup'!$C$4,'Template Setup'!$C$5,'Template Setup'!$C$6,'Template Setup'!$C$7,'Template Setup'!$C$8),_xlpm.nums,CHOOSE({1,2,3,4,5},$L290,$M290,$N290,$O290,$P290),_xlpm.qtys,CHOOSE({1,2,3,4,5},$G290,$H290,$I290,$J290,$K290),_xlpm.validNums,_xlfn._xlws.FILTER(_xlpm.nums,_xlpm.qtys&gt;0),_xlpm.validSheets,_xlfn._xlws.FILTER(_xlpm.sheets,_xlpm.qtys&gt;0),_xlpm.mx,IFERROR(MAX(_xlpm.validNums),0),IF(_xlpm.mx=0,"",INDEX(_xlpm.validSheets,MATCH(_xlpm.mx,_xlpm.validNums,0))&amp;" (+"&amp;$R290&amp;")")))</f>
        <v/>
      </c>
      <c r="F290" s="11" t="str">
        <f t="shared" si="19"/>
        <v/>
      </c>
      <c r="G290" s="12" t="str">
        <f ca="1">IF($A290="","",IFERROR(SUMIF(INDIRECT("'"&amp;'Template Setup'!$C$4&amp;"'!C:C"),$A290,INDIRECT("'"&amp;'Template Setup'!$C$4&amp;"'!A:A")),0))</f>
        <v/>
      </c>
      <c r="H290" s="12" t="str">
        <f ca="1">IF($A290="","",IFERROR(SUMIF(INDIRECT("'"&amp;'Template Setup'!$C$5&amp;"'!C:C"),$A290,INDIRECT("'"&amp;'Template Setup'!$C$5&amp;"'!A:A")),0))</f>
        <v/>
      </c>
      <c r="I290" s="12" t="str">
        <f ca="1">IF($A290="","",IFERROR(SUMIF(INDIRECT("'"&amp;'Template Setup'!$C$6&amp;"'!C:C"),$A290,INDIRECT("'"&amp;'Template Setup'!$C$6&amp;"'!A:A")),0))</f>
        <v/>
      </c>
      <c r="J290" s="12" t="str">
        <f ca="1">IF($A290="","",IFERROR(SUMIF(INDIRECT("'"&amp;'Template Setup'!$C$7&amp;"'!C:C"),$A290,INDIRECT("'"&amp;'Template Setup'!$C$7&amp;"'!A:A")),0))</f>
        <v/>
      </c>
      <c r="K290" s="12" t="str">
        <f ca="1">IF($A290="","",IFERROR(SUMIF(INDIRECT("'"&amp;'Template Setup'!$C$8&amp;"'!C:C"),$A290,INDIRECT("'"&amp;'Template Setup'!$C$8&amp;"'!A:A")),0))</f>
        <v/>
      </c>
      <c r="L290" s="11" t="str">
        <f>IF($A290="","",IFERROR(VALUE(MID(TRIM('Template Setup'!$C$4),FIND("-",TRIM('Template Setup'!$C$4))+1,10)),0))</f>
        <v/>
      </c>
      <c r="M290" s="11" t="str">
        <f>IF($A290="","",IFERROR(VALUE(MID(TRIM('Template Setup'!$C$5),FIND("-",TRIM('Template Setup'!$C$5))+1,10)),0))</f>
        <v/>
      </c>
      <c r="N290" s="11" t="str">
        <f>IF($A290="","",IFERROR(VALUE(MID(TRIM('Template Setup'!$C$6),FIND("-",TRIM('Template Setup'!$C$6))+1,10)),0))</f>
        <v/>
      </c>
      <c r="O290" s="11" t="str">
        <f>IF($A290="","",IFERROR(VALUE(MID(TRIM('Template Setup'!$C$7),FIND("-",TRIM('Template Setup'!$C$7))+1,10)),0))</f>
        <v/>
      </c>
      <c r="P290" s="11" t="str">
        <f>IF($A290="","",IFERROR(VALUE(MID(TRIM('Template Setup'!$C$8),FIND("-",TRIM('Template Setup'!$C$8))+1,10)),0))</f>
        <v/>
      </c>
      <c r="Q290" s="9" t="str">
        <f>IF($A290="","",$A290&amp;"-"&amp;'Template Setup'!$C$16)</f>
        <v/>
      </c>
      <c r="R290" s="24" t="str">
        <f t="shared" si="17"/>
        <v/>
      </c>
      <c r="S290" s="24"/>
      <c r="T290" s="24" t="str">
        <f t="shared" si="18"/>
        <v/>
      </c>
      <c r="U290" s="6" t="str">
        <f t="shared" si="20"/>
        <v/>
      </c>
    </row>
    <row r="291" spans="1:21">
      <c r="A291" s="11"/>
      <c r="B291" s="11"/>
      <c r="C291" s="11"/>
      <c r="D291" s="11" t="str">
        <f>IF($A291="","",_xlfn.TEXTJOIN(", ",TRUE,IF($G291&gt;0,'Template Setup'!$C$4,""),IF($H291&gt;0,'Template Setup'!$C$5,""),IF($I291&gt;0,'Template Setup'!$C$6,""),IF($J291&gt;0,'Template Setup'!$C$7,""),IF($K291&gt;0,'Template Setup'!$C$8,"")))</f>
        <v/>
      </c>
      <c r="E291" s="6" t="str" cm="1">
        <f t="array" ref="E291">IF($A291="","",_xlfn.LET(_xlpm.sheets,CHOOSE({1,2,3,4,5},'Template Setup'!$C$4,'Template Setup'!$C$5,'Template Setup'!$C$6,'Template Setup'!$C$7,'Template Setup'!$C$8),_xlpm.nums,CHOOSE({1,2,3,4,5},$L291,$M291,$N291,$O291,$P291),_xlpm.qtys,CHOOSE({1,2,3,4,5},$G291,$H291,$I291,$J291,$K291),_xlpm.validNums,_xlfn._xlws.FILTER(_xlpm.nums,_xlpm.qtys&gt;0),_xlpm.validSheets,_xlfn._xlws.FILTER(_xlpm.sheets,_xlpm.qtys&gt;0),_xlpm.mx,IFERROR(MAX(_xlpm.validNums),0),IF(_xlpm.mx=0,"",INDEX(_xlpm.validSheets,MATCH(_xlpm.mx,_xlpm.validNums,0))&amp;" (+"&amp;$R291&amp;")")))</f>
        <v/>
      </c>
      <c r="F291" s="11" t="str">
        <f t="shared" si="19"/>
        <v/>
      </c>
      <c r="G291" s="12" t="str">
        <f ca="1">IF($A291="","",IFERROR(SUMIF(INDIRECT("'"&amp;'Template Setup'!$C$4&amp;"'!C:C"),$A291,INDIRECT("'"&amp;'Template Setup'!$C$4&amp;"'!A:A")),0))</f>
        <v/>
      </c>
      <c r="H291" s="12" t="str">
        <f ca="1">IF($A291="","",IFERROR(SUMIF(INDIRECT("'"&amp;'Template Setup'!$C$5&amp;"'!C:C"),$A291,INDIRECT("'"&amp;'Template Setup'!$C$5&amp;"'!A:A")),0))</f>
        <v/>
      </c>
      <c r="I291" s="12" t="str">
        <f ca="1">IF($A291="","",IFERROR(SUMIF(INDIRECT("'"&amp;'Template Setup'!$C$6&amp;"'!C:C"),$A291,INDIRECT("'"&amp;'Template Setup'!$C$6&amp;"'!A:A")),0))</f>
        <v/>
      </c>
      <c r="J291" s="12" t="str">
        <f ca="1">IF($A291="","",IFERROR(SUMIF(INDIRECT("'"&amp;'Template Setup'!$C$7&amp;"'!C:C"),$A291,INDIRECT("'"&amp;'Template Setup'!$C$7&amp;"'!A:A")),0))</f>
        <v/>
      </c>
      <c r="K291" s="12" t="str">
        <f ca="1">IF($A291="","",IFERROR(SUMIF(INDIRECT("'"&amp;'Template Setup'!$C$8&amp;"'!C:C"),$A291,INDIRECT("'"&amp;'Template Setup'!$C$8&amp;"'!A:A")),0))</f>
        <v/>
      </c>
      <c r="L291" s="11" t="str">
        <f>IF($A291="","",IFERROR(VALUE(MID(TRIM('Template Setup'!$C$4),FIND("-",TRIM('Template Setup'!$C$4))+1,10)),0))</f>
        <v/>
      </c>
      <c r="M291" s="11" t="str">
        <f>IF($A291="","",IFERROR(VALUE(MID(TRIM('Template Setup'!$C$5),FIND("-",TRIM('Template Setup'!$C$5))+1,10)),0))</f>
        <v/>
      </c>
      <c r="N291" s="11" t="str">
        <f>IF($A291="","",IFERROR(VALUE(MID(TRIM('Template Setup'!$C$6),FIND("-",TRIM('Template Setup'!$C$6))+1,10)),0))</f>
        <v/>
      </c>
      <c r="O291" s="11" t="str">
        <f>IF($A291="","",IFERROR(VALUE(MID(TRIM('Template Setup'!$C$7),FIND("-",TRIM('Template Setup'!$C$7))+1,10)),0))</f>
        <v/>
      </c>
      <c r="P291" s="11" t="str">
        <f>IF($A291="","",IFERROR(VALUE(MID(TRIM('Template Setup'!$C$8),FIND("-",TRIM('Template Setup'!$C$8))+1,10)),0))</f>
        <v/>
      </c>
      <c r="Q291" s="9" t="str">
        <f>IF($A291="","",$A291&amp;"-"&amp;'Template Setup'!$C$16)</f>
        <v/>
      </c>
      <c r="R291" s="24" t="str">
        <f t="shared" si="17"/>
        <v/>
      </c>
      <c r="S291" s="24"/>
      <c r="T291" s="24" t="str">
        <f t="shared" si="18"/>
        <v/>
      </c>
      <c r="U291" s="6" t="str">
        <f t="shared" si="20"/>
        <v/>
      </c>
    </row>
    <row r="292" spans="1:21">
      <c r="A292" s="11"/>
      <c r="B292" s="11"/>
      <c r="C292" s="11"/>
      <c r="D292" s="11" t="str">
        <f>IF($A292="","",_xlfn.TEXTJOIN(", ",TRUE,IF($G292&gt;0,'Template Setup'!$C$4,""),IF($H292&gt;0,'Template Setup'!$C$5,""),IF($I292&gt;0,'Template Setup'!$C$6,""),IF($J292&gt;0,'Template Setup'!$C$7,""),IF($K292&gt;0,'Template Setup'!$C$8,"")))</f>
        <v/>
      </c>
      <c r="E292" s="6" t="str" cm="1">
        <f t="array" ref="E292">IF($A292="","",_xlfn.LET(_xlpm.sheets,CHOOSE({1,2,3,4,5},'Template Setup'!$C$4,'Template Setup'!$C$5,'Template Setup'!$C$6,'Template Setup'!$C$7,'Template Setup'!$C$8),_xlpm.nums,CHOOSE({1,2,3,4,5},$L292,$M292,$N292,$O292,$P292),_xlpm.qtys,CHOOSE({1,2,3,4,5},$G292,$H292,$I292,$J292,$K292),_xlpm.validNums,_xlfn._xlws.FILTER(_xlpm.nums,_xlpm.qtys&gt;0),_xlpm.validSheets,_xlfn._xlws.FILTER(_xlpm.sheets,_xlpm.qtys&gt;0),_xlpm.mx,IFERROR(MAX(_xlpm.validNums),0),IF(_xlpm.mx=0,"",INDEX(_xlpm.validSheets,MATCH(_xlpm.mx,_xlpm.validNums,0))&amp;" (+"&amp;$R292&amp;")")))</f>
        <v/>
      </c>
      <c r="F292" s="11" t="str">
        <f t="shared" si="19"/>
        <v/>
      </c>
      <c r="G292" s="12" t="str">
        <f ca="1">IF($A292="","",IFERROR(SUMIF(INDIRECT("'"&amp;'Template Setup'!$C$4&amp;"'!C:C"),$A292,INDIRECT("'"&amp;'Template Setup'!$C$4&amp;"'!A:A")),0))</f>
        <v/>
      </c>
      <c r="H292" s="12" t="str">
        <f ca="1">IF($A292="","",IFERROR(SUMIF(INDIRECT("'"&amp;'Template Setup'!$C$5&amp;"'!C:C"),$A292,INDIRECT("'"&amp;'Template Setup'!$C$5&amp;"'!A:A")),0))</f>
        <v/>
      </c>
      <c r="I292" s="12" t="str">
        <f ca="1">IF($A292="","",IFERROR(SUMIF(INDIRECT("'"&amp;'Template Setup'!$C$6&amp;"'!C:C"),$A292,INDIRECT("'"&amp;'Template Setup'!$C$6&amp;"'!A:A")),0))</f>
        <v/>
      </c>
      <c r="J292" s="12" t="str">
        <f ca="1">IF($A292="","",IFERROR(SUMIF(INDIRECT("'"&amp;'Template Setup'!$C$7&amp;"'!C:C"),$A292,INDIRECT("'"&amp;'Template Setup'!$C$7&amp;"'!A:A")),0))</f>
        <v/>
      </c>
      <c r="K292" s="12" t="str">
        <f ca="1">IF($A292="","",IFERROR(SUMIF(INDIRECT("'"&amp;'Template Setup'!$C$8&amp;"'!C:C"),$A292,INDIRECT("'"&amp;'Template Setup'!$C$8&amp;"'!A:A")),0))</f>
        <v/>
      </c>
      <c r="L292" s="11" t="str">
        <f>IF($A292="","",IFERROR(VALUE(MID(TRIM('Template Setup'!$C$4),FIND("-",TRIM('Template Setup'!$C$4))+1,10)),0))</f>
        <v/>
      </c>
      <c r="M292" s="11" t="str">
        <f>IF($A292="","",IFERROR(VALUE(MID(TRIM('Template Setup'!$C$5),FIND("-",TRIM('Template Setup'!$C$5))+1,10)),0))</f>
        <v/>
      </c>
      <c r="N292" s="11" t="str">
        <f>IF($A292="","",IFERROR(VALUE(MID(TRIM('Template Setup'!$C$6),FIND("-",TRIM('Template Setup'!$C$6))+1,10)),0))</f>
        <v/>
      </c>
      <c r="O292" s="11" t="str">
        <f>IF($A292="","",IFERROR(VALUE(MID(TRIM('Template Setup'!$C$7),FIND("-",TRIM('Template Setup'!$C$7))+1,10)),0))</f>
        <v/>
      </c>
      <c r="P292" s="11" t="str">
        <f>IF($A292="","",IFERROR(VALUE(MID(TRIM('Template Setup'!$C$8),FIND("-",TRIM('Template Setup'!$C$8))+1,10)),0))</f>
        <v/>
      </c>
      <c r="Q292" s="9" t="str">
        <f>IF($A292="","",$A292&amp;"-"&amp;'Template Setup'!$C$16)</f>
        <v/>
      </c>
      <c r="R292" s="24" t="str">
        <f t="shared" si="17"/>
        <v/>
      </c>
      <c r="S292" s="24"/>
      <c r="T292" s="24" t="str">
        <f t="shared" si="18"/>
        <v/>
      </c>
      <c r="U292" s="6" t="str">
        <f t="shared" si="20"/>
        <v/>
      </c>
    </row>
    <row r="293" spans="1:21">
      <c r="A293" s="11"/>
      <c r="B293" s="11"/>
      <c r="C293" s="11"/>
      <c r="D293" s="11" t="str">
        <f>IF($A293="","",_xlfn.TEXTJOIN(", ",TRUE,IF($G293&gt;0,'Template Setup'!$C$4,""),IF($H293&gt;0,'Template Setup'!$C$5,""),IF($I293&gt;0,'Template Setup'!$C$6,""),IF($J293&gt;0,'Template Setup'!$C$7,""),IF($K293&gt;0,'Template Setup'!$C$8,"")))</f>
        <v/>
      </c>
      <c r="E293" s="6" t="str" cm="1">
        <f t="array" ref="E293">IF($A293="","",_xlfn.LET(_xlpm.sheets,CHOOSE({1,2,3,4,5},'Template Setup'!$C$4,'Template Setup'!$C$5,'Template Setup'!$C$6,'Template Setup'!$C$7,'Template Setup'!$C$8),_xlpm.nums,CHOOSE({1,2,3,4,5},$L293,$M293,$N293,$O293,$P293),_xlpm.qtys,CHOOSE({1,2,3,4,5},$G293,$H293,$I293,$J293,$K293),_xlpm.validNums,_xlfn._xlws.FILTER(_xlpm.nums,_xlpm.qtys&gt;0),_xlpm.validSheets,_xlfn._xlws.FILTER(_xlpm.sheets,_xlpm.qtys&gt;0),_xlpm.mx,IFERROR(MAX(_xlpm.validNums),0),IF(_xlpm.mx=0,"",INDEX(_xlpm.validSheets,MATCH(_xlpm.mx,_xlpm.validNums,0))&amp;" (+"&amp;$R293&amp;")")))</f>
        <v/>
      </c>
      <c r="F293" s="11" t="str">
        <f t="shared" si="19"/>
        <v/>
      </c>
      <c r="G293" s="12" t="str">
        <f ca="1">IF($A293="","",IFERROR(SUMIF(INDIRECT("'"&amp;'Template Setup'!$C$4&amp;"'!C:C"),$A293,INDIRECT("'"&amp;'Template Setup'!$C$4&amp;"'!A:A")),0))</f>
        <v/>
      </c>
      <c r="H293" s="12" t="str">
        <f ca="1">IF($A293="","",IFERROR(SUMIF(INDIRECT("'"&amp;'Template Setup'!$C$5&amp;"'!C:C"),$A293,INDIRECT("'"&amp;'Template Setup'!$C$5&amp;"'!A:A")),0))</f>
        <v/>
      </c>
      <c r="I293" s="12" t="str">
        <f ca="1">IF($A293="","",IFERROR(SUMIF(INDIRECT("'"&amp;'Template Setup'!$C$6&amp;"'!C:C"),$A293,INDIRECT("'"&amp;'Template Setup'!$C$6&amp;"'!A:A")),0))</f>
        <v/>
      </c>
      <c r="J293" s="12" t="str">
        <f ca="1">IF($A293="","",IFERROR(SUMIF(INDIRECT("'"&amp;'Template Setup'!$C$7&amp;"'!C:C"),$A293,INDIRECT("'"&amp;'Template Setup'!$C$7&amp;"'!A:A")),0))</f>
        <v/>
      </c>
      <c r="K293" s="12" t="str">
        <f ca="1">IF($A293="","",IFERROR(SUMIF(INDIRECT("'"&amp;'Template Setup'!$C$8&amp;"'!C:C"),$A293,INDIRECT("'"&amp;'Template Setup'!$C$8&amp;"'!A:A")),0))</f>
        <v/>
      </c>
      <c r="L293" s="11" t="str">
        <f>IF($A293="","",IFERROR(VALUE(MID(TRIM('Template Setup'!$C$4),FIND("-",TRIM('Template Setup'!$C$4))+1,10)),0))</f>
        <v/>
      </c>
      <c r="M293" s="11" t="str">
        <f>IF($A293="","",IFERROR(VALUE(MID(TRIM('Template Setup'!$C$5),FIND("-",TRIM('Template Setup'!$C$5))+1,10)),0))</f>
        <v/>
      </c>
      <c r="N293" s="11" t="str">
        <f>IF($A293="","",IFERROR(VALUE(MID(TRIM('Template Setup'!$C$6),FIND("-",TRIM('Template Setup'!$C$6))+1,10)),0))</f>
        <v/>
      </c>
      <c r="O293" s="11" t="str">
        <f>IF($A293="","",IFERROR(VALUE(MID(TRIM('Template Setup'!$C$7),FIND("-",TRIM('Template Setup'!$C$7))+1,10)),0))</f>
        <v/>
      </c>
      <c r="P293" s="11" t="str">
        <f>IF($A293="","",IFERROR(VALUE(MID(TRIM('Template Setup'!$C$8),FIND("-",TRIM('Template Setup'!$C$8))+1,10)),0))</f>
        <v/>
      </c>
      <c r="Q293" s="9" t="str">
        <f>IF($A293="","",$A293&amp;"-"&amp;'Template Setup'!$C$16)</f>
        <v/>
      </c>
      <c r="R293" s="24" t="str">
        <f t="shared" si="17"/>
        <v/>
      </c>
      <c r="S293" s="24"/>
      <c r="T293" s="24" t="str">
        <f t="shared" si="18"/>
        <v/>
      </c>
      <c r="U293" s="6" t="str">
        <f t="shared" si="20"/>
        <v/>
      </c>
    </row>
    <row r="294" spans="1:21">
      <c r="A294" s="11"/>
      <c r="B294" s="11"/>
      <c r="C294" s="11"/>
      <c r="D294" s="11" t="str">
        <f>IF($A294="","",_xlfn.TEXTJOIN(", ",TRUE,IF($G294&gt;0,'Template Setup'!$C$4,""),IF($H294&gt;0,'Template Setup'!$C$5,""),IF($I294&gt;0,'Template Setup'!$C$6,""),IF($J294&gt;0,'Template Setup'!$C$7,""),IF($K294&gt;0,'Template Setup'!$C$8,"")))</f>
        <v/>
      </c>
      <c r="E294" s="6" t="str" cm="1">
        <f t="array" ref="E294">IF($A294="","",_xlfn.LET(_xlpm.sheets,CHOOSE({1,2,3,4,5},'Template Setup'!$C$4,'Template Setup'!$C$5,'Template Setup'!$C$6,'Template Setup'!$C$7,'Template Setup'!$C$8),_xlpm.nums,CHOOSE({1,2,3,4,5},$L294,$M294,$N294,$O294,$P294),_xlpm.qtys,CHOOSE({1,2,3,4,5},$G294,$H294,$I294,$J294,$K294),_xlpm.validNums,_xlfn._xlws.FILTER(_xlpm.nums,_xlpm.qtys&gt;0),_xlpm.validSheets,_xlfn._xlws.FILTER(_xlpm.sheets,_xlpm.qtys&gt;0),_xlpm.mx,IFERROR(MAX(_xlpm.validNums),0),IF(_xlpm.mx=0,"",INDEX(_xlpm.validSheets,MATCH(_xlpm.mx,_xlpm.validNums,0))&amp;" (+"&amp;$R294&amp;")")))</f>
        <v/>
      </c>
      <c r="F294" s="11" t="str">
        <f t="shared" si="19"/>
        <v/>
      </c>
      <c r="G294" s="12" t="str">
        <f ca="1">IF($A294="","",IFERROR(SUMIF(INDIRECT("'"&amp;'Template Setup'!$C$4&amp;"'!C:C"),$A294,INDIRECT("'"&amp;'Template Setup'!$C$4&amp;"'!A:A")),0))</f>
        <v/>
      </c>
      <c r="H294" s="12" t="str">
        <f ca="1">IF($A294="","",IFERROR(SUMIF(INDIRECT("'"&amp;'Template Setup'!$C$5&amp;"'!C:C"),$A294,INDIRECT("'"&amp;'Template Setup'!$C$5&amp;"'!A:A")),0))</f>
        <v/>
      </c>
      <c r="I294" s="12" t="str">
        <f ca="1">IF($A294="","",IFERROR(SUMIF(INDIRECT("'"&amp;'Template Setup'!$C$6&amp;"'!C:C"),$A294,INDIRECT("'"&amp;'Template Setup'!$C$6&amp;"'!A:A")),0))</f>
        <v/>
      </c>
      <c r="J294" s="12" t="str">
        <f ca="1">IF($A294="","",IFERROR(SUMIF(INDIRECT("'"&amp;'Template Setup'!$C$7&amp;"'!C:C"),$A294,INDIRECT("'"&amp;'Template Setup'!$C$7&amp;"'!A:A")),0))</f>
        <v/>
      </c>
      <c r="K294" s="12" t="str">
        <f ca="1">IF($A294="","",IFERROR(SUMIF(INDIRECT("'"&amp;'Template Setup'!$C$8&amp;"'!C:C"),$A294,INDIRECT("'"&amp;'Template Setup'!$C$8&amp;"'!A:A")),0))</f>
        <v/>
      </c>
      <c r="L294" s="11" t="str">
        <f>IF($A294="","",IFERROR(VALUE(MID(TRIM('Template Setup'!$C$4),FIND("-",TRIM('Template Setup'!$C$4))+1,10)),0))</f>
        <v/>
      </c>
      <c r="M294" s="11" t="str">
        <f>IF($A294="","",IFERROR(VALUE(MID(TRIM('Template Setup'!$C$5),FIND("-",TRIM('Template Setup'!$C$5))+1,10)),0))</f>
        <v/>
      </c>
      <c r="N294" s="11" t="str">
        <f>IF($A294="","",IFERROR(VALUE(MID(TRIM('Template Setup'!$C$6),FIND("-",TRIM('Template Setup'!$C$6))+1,10)),0))</f>
        <v/>
      </c>
      <c r="O294" s="11" t="str">
        <f>IF($A294="","",IFERROR(VALUE(MID(TRIM('Template Setup'!$C$7),FIND("-",TRIM('Template Setup'!$C$7))+1,10)),0))</f>
        <v/>
      </c>
      <c r="P294" s="11" t="str">
        <f>IF($A294="","",IFERROR(VALUE(MID(TRIM('Template Setup'!$C$8),FIND("-",TRIM('Template Setup'!$C$8))+1,10)),0))</f>
        <v/>
      </c>
      <c r="Q294" s="9" t="str">
        <f>IF($A294="","",$A294&amp;"-"&amp;'Template Setup'!$C$16)</f>
        <v/>
      </c>
      <c r="R294" s="24" t="str">
        <f t="shared" si="17"/>
        <v/>
      </c>
      <c r="S294" s="24"/>
      <c r="T294" s="24" t="str">
        <f t="shared" si="18"/>
        <v/>
      </c>
      <c r="U294" s="6" t="str">
        <f t="shared" si="20"/>
        <v/>
      </c>
    </row>
    <row r="295" spans="1:21">
      <c r="A295" s="11"/>
      <c r="B295" s="11"/>
      <c r="C295" s="11"/>
      <c r="D295" s="11" t="str">
        <f>IF($A295="","",_xlfn.TEXTJOIN(", ",TRUE,IF($G295&gt;0,'Template Setup'!$C$4,""),IF($H295&gt;0,'Template Setup'!$C$5,""),IF($I295&gt;0,'Template Setup'!$C$6,""),IF($J295&gt;0,'Template Setup'!$C$7,""),IF($K295&gt;0,'Template Setup'!$C$8,"")))</f>
        <v/>
      </c>
      <c r="E295" s="6" t="str" cm="1">
        <f t="array" ref="E295">IF($A295="","",_xlfn.LET(_xlpm.sheets,CHOOSE({1,2,3,4,5},'Template Setup'!$C$4,'Template Setup'!$C$5,'Template Setup'!$C$6,'Template Setup'!$C$7,'Template Setup'!$C$8),_xlpm.nums,CHOOSE({1,2,3,4,5},$L295,$M295,$N295,$O295,$P295),_xlpm.qtys,CHOOSE({1,2,3,4,5},$G295,$H295,$I295,$J295,$K295),_xlpm.validNums,_xlfn._xlws.FILTER(_xlpm.nums,_xlpm.qtys&gt;0),_xlpm.validSheets,_xlfn._xlws.FILTER(_xlpm.sheets,_xlpm.qtys&gt;0),_xlpm.mx,IFERROR(MAX(_xlpm.validNums),0),IF(_xlpm.mx=0,"",INDEX(_xlpm.validSheets,MATCH(_xlpm.mx,_xlpm.validNums,0))&amp;" (+"&amp;$R295&amp;")")))</f>
        <v/>
      </c>
      <c r="F295" s="11" t="str">
        <f t="shared" si="19"/>
        <v/>
      </c>
      <c r="G295" s="12" t="str">
        <f ca="1">IF($A295="","",IFERROR(SUMIF(INDIRECT("'"&amp;'Template Setup'!$C$4&amp;"'!C:C"),$A295,INDIRECT("'"&amp;'Template Setup'!$C$4&amp;"'!A:A")),0))</f>
        <v/>
      </c>
      <c r="H295" s="12" t="str">
        <f ca="1">IF($A295="","",IFERROR(SUMIF(INDIRECT("'"&amp;'Template Setup'!$C$5&amp;"'!C:C"),$A295,INDIRECT("'"&amp;'Template Setup'!$C$5&amp;"'!A:A")),0))</f>
        <v/>
      </c>
      <c r="I295" s="12" t="str">
        <f ca="1">IF($A295="","",IFERROR(SUMIF(INDIRECT("'"&amp;'Template Setup'!$C$6&amp;"'!C:C"),$A295,INDIRECT("'"&amp;'Template Setup'!$C$6&amp;"'!A:A")),0))</f>
        <v/>
      </c>
      <c r="J295" s="12" t="str">
        <f ca="1">IF($A295="","",IFERROR(SUMIF(INDIRECT("'"&amp;'Template Setup'!$C$7&amp;"'!C:C"),$A295,INDIRECT("'"&amp;'Template Setup'!$C$7&amp;"'!A:A")),0))</f>
        <v/>
      </c>
      <c r="K295" s="12" t="str">
        <f ca="1">IF($A295="","",IFERROR(SUMIF(INDIRECT("'"&amp;'Template Setup'!$C$8&amp;"'!C:C"),$A295,INDIRECT("'"&amp;'Template Setup'!$C$8&amp;"'!A:A")),0))</f>
        <v/>
      </c>
      <c r="L295" s="11" t="str">
        <f>IF($A295="","",IFERROR(VALUE(MID(TRIM('Template Setup'!$C$4),FIND("-",TRIM('Template Setup'!$C$4))+1,10)),0))</f>
        <v/>
      </c>
      <c r="M295" s="11" t="str">
        <f>IF($A295="","",IFERROR(VALUE(MID(TRIM('Template Setup'!$C$5),FIND("-",TRIM('Template Setup'!$C$5))+1,10)),0))</f>
        <v/>
      </c>
      <c r="N295" s="11" t="str">
        <f>IF($A295="","",IFERROR(VALUE(MID(TRIM('Template Setup'!$C$6),FIND("-",TRIM('Template Setup'!$C$6))+1,10)),0))</f>
        <v/>
      </c>
      <c r="O295" s="11" t="str">
        <f>IF($A295="","",IFERROR(VALUE(MID(TRIM('Template Setup'!$C$7),FIND("-",TRIM('Template Setup'!$C$7))+1,10)),0))</f>
        <v/>
      </c>
      <c r="P295" s="11" t="str">
        <f>IF($A295="","",IFERROR(VALUE(MID(TRIM('Template Setup'!$C$8),FIND("-",TRIM('Template Setup'!$C$8))+1,10)),0))</f>
        <v/>
      </c>
      <c r="Q295" s="9" t="str">
        <f>IF($A295="","",$A295&amp;"-"&amp;'Template Setup'!$C$16)</f>
        <v/>
      </c>
      <c r="R295" s="24" t="str">
        <f t="shared" si="17"/>
        <v/>
      </c>
      <c r="S295" s="24"/>
      <c r="T295" s="24" t="str">
        <f t="shared" si="18"/>
        <v/>
      </c>
      <c r="U295" s="6" t="str">
        <f t="shared" si="20"/>
        <v/>
      </c>
    </row>
    <row r="296" spans="1:21">
      <c r="A296" s="11"/>
      <c r="B296" s="11"/>
      <c r="C296" s="11"/>
      <c r="D296" s="11" t="str">
        <f>IF($A296="","",_xlfn.TEXTJOIN(", ",TRUE,IF($G296&gt;0,'Template Setup'!$C$4,""),IF($H296&gt;0,'Template Setup'!$C$5,""),IF($I296&gt;0,'Template Setup'!$C$6,""),IF($J296&gt;0,'Template Setup'!$C$7,""),IF($K296&gt;0,'Template Setup'!$C$8,"")))</f>
        <v/>
      </c>
      <c r="E296" s="6" t="str" cm="1">
        <f t="array" ref="E296">IF($A296="","",_xlfn.LET(_xlpm.sheets,CHOOSE({1,2,3,4,5},'Template Setup'!$C$4,'Template Setup'!$C$5,'Template Setup'!$C$6,'Template Setup'!$C$7,'Template Setup'!$C$8),_xlpm.nums,CHOOSE({1,2,3,4,5},$L296,$M296,$N296,$O296,$P296),_xlpm.qtys,CHOOSE({1,2,3,4,5},$G296,$H296,$I296,$J296,$K296),_xlpm.validNums,_xlfn._xlws.FILTER(_xlpm.nums,_xlpm.qtys&gt;0),_xlpm.validSheets,_xlfn._xlws.FILTER(_xlpm.sheets,_xlpm.qtys&gt;0),_xlpm.mx,IFERROR(MAX(_xlpm.validNums),0),IF(_xlpm.mx=0,"",INDEX(_xlpm.validSheets,MATCH(_xlpm.mx,_xlpm.validNums,0))&amp;" (+"&amp;$R296&amp;")")))</f>
        <v/>
      </c>
      <c r="F296" s="11" t="str">
        <f t="shared" si="19"/>
        <v/>
      </c>
      <c r="G296" s="12" t="str">
        <f ca="1">IF($A296="","",IFERROR(SUMIF(INDIRECT("'"&amp;'Template Setup'!$C$4&amp;"'!C:C"),$A296,INDIRECT("'"&amp;'Template Setup'!$C$4&amp;"'!A:A")),0))</f>
        <v/>
      </c>
      <c r="H296" s="12" t="str">
        <f ca="1">IF($A296="","",IFERROR(SUMIF(INDIRECT("'"&amp;'Template Setup'!$C$5&amp;"'!C:C"),$A296,INDIRECT("'"&amp;'Template Setup'!$C$5&amp;"'!A:A")),0))</f>
        <v/>
      </c>
      <c r="I296" s="12" t="str">
        <f ca="1">IF($A296="","",IFERROR(SUMIF(INDIRECT("'"&amp;'Template Setup'!$C$6&amp;"'!C:C"),$A296,INDIRECT("'"&amp;'Template Setup'!$C$6&amp;"'!A:A")),0))</f>
        <v/>
      </c>
      <c r="J296" s="12" t="str">
        <f ca="1">IF($A296="","",IFERROR(SUMIF(INDIRECT("'"&amp;'Template Setup'!$C$7&amp;"'!C:C"),$A296,INDIRECT("'"&amp;'Template Setup'!$C$7&amp;"'!A:A")),0))</f>
        <v/>
      </c>
      <c r="K296" s="12" t="str">
        <f ca="1">IF($A296="","",IFERROR(SUMIF(INDIRECT("'"&amp;'Template Setup'!$C$8&amp;"'!C:C"),$A296,INDIRECT("'"&amp;'Template Setup'!$C$8&amp;"'!A:A")),0))</f>
        <v/>
      </c>
      <c r="L296" s="11" t="str">
        <f>IF($A296="","",IFERROR(VALUE(MID(TRIM('Template Setup'!$C$4),FIND("-",TRIM('Template Setup'!$C$4))+1,10)),0))</f>
        <v/>
      </c>
      <c r="M296" s="11" t="str">
        <f>IF($A296="","",IFERROR(VALUE(MID(TRIM('Template Setup'!$C$5),FIND("-",TRIM('Template Setup'!$C$5))+1,10)),0))</f>
        <v/>
      </c>
      <c r="N296" s="11" t="str">
        <f>IF($A296="","",IFERROR(VALUE(MID(TRIM('Template Setup'!$C$6),FIND("-",TRIM('Template Setup'!$C$6))+1,10)),0))</f>
        <v/>
      </c>
      <c r="O296" s="11" t="str">
        <f>IF($A296="","",IFERROR(VALUE(MID(TRIM('Template Setup'!$C$7),FIND("-",TRIM('Template Setup'!$C$7))+1,10)),0))</f>
        <v/>
      </c>
      <c r="P296" s="11" t="str">
        <f>IF($A296="","",IFERROR(VALUE(MID(TRIM('Template Setup'!$C$8),FIND("-",TRIM('Template Setup'!$C$8))+1,10)),0))</f>
        <v/>
      </c>
      <c r="Q296" s="9" t="str">
        <f>IF($A296="","",$A296&amp;"-"&amp;'Template Setup'!$C$16)</f>
        <v/>
      </c>
      <c r="R296" s="24" t="str">
        <f t="shared" si="17"/>
        <v/>
      </c>
      <c r="S296" s="24"/>
      <c r="T296" s="24" t="str">
        <f t="shared" si="18"/>
        <v/>
      </c>
      <c r="U296" s="6" t="str">
        <f t="shared" si="20"/>
        <v/>
      </c>
    </row>
    <row r="297" spans="1:21">
      <c r="A297" s="11"/>
      <c r="B297" s="11"/>
      <c r="C297" s="11"/>
      <c r="D297" s="11" t="str">
        <f>IF($A297="","",_xlfn.TEXTJOIN(", ",TRUE,IF($G297&gt;0,'Template Setup'!$C$4,""),IF($H297&gt;0,'Template Setup'!$C$5,""),IF($I297&gt;0,'Template Setup'!$C$6,""),IF($J297&gt;0,'Template Setup'!$C$7,""),IF($K297&gt;0,'Template Setup'!$C$8,"")))</f>
        <v/>
      </c>
      <c r="E297" s="6" t="str" cm="1">
        <f t="array" ref="E297">IF($A297="","",_xlfn.LET(_xlpm.sheets,CHOOSE({1,2,3,4,5},'Template Setup'!$C$4,'Template Setup'!$C$5,'Template Setup'!$C$6,'Template Setup'!$C$7,'Template Setup'!$C$8),_xlpm.nums,CHOOSE({1,2,3,4,5},$L297,$M297,$N297,$O297,$P297),_xlpm.qtys,CHOOSE({1,2,3,4,5},$G297,$H297,$I297,$J297,$K297),_xlpm.validNums,_xlfn._xlws.FILTER(_xlpm.nums,_xlpm.qtys&gt;0),_xlpm.validSheets,_xlfn._xlws.FILTER(_xlpm.sheets,_xlpm.qtys&gt;0),_xlpm.mx,IFERROR(MAX(_xlpm.validNums),0),IF(_xlpm.mx=0,"",INDEX(_xlpm.validSheets,MATCH(_xlpm.mx,_xlpm.validNums,0))&amp;" (+"&amp;$R297&amp;")")))</f>
        <v/>
      </c>
      <c r="F297" s="11" t="str">
        <f t="shared" si="19"/>
        <v/>
      </c>
      <c r="G297" s="12" t="str">
        <f ca="1">IF($A297="","",IFERROR(SUMIF(INDIRECT("'"&amp;'Template Setup'!$C$4&amp;"'!C:C"),$A297,INDIRECT("'"&amp;'Template Setup'!$C$4&amp;"'!A:A")),0))</f>
        <v/>
      </c>
      <c r="H297" s="12" t="str">
        <f ca="1">IF($A297="","",IFERROR(SUMIF(INDIRECT("'"&amp;'Template Setup'!$C$5&amp;"'!C:C"),$A297,INDIRECT("'"&amp;'Template Setup'!$C$5&amp;"'!A:A")),0))</f>
        <v/>
      </c>
      <c r="I297" s="12" t="str">
        <f ca="1">IF($A297="","",IFERROR(SUMIF(INDIRECT("'"&amp;'Template Setup'!$C$6&amp;"'!C:C"),$A297,INDIRECT("'"&amp;'Template Setup'!$C$6&amp;"'!A:A")),0))</f>
        <v/>
      </c>
      <c r="J297" s="12" t="str">
        <f ca="1">IF($A297="","",IFERROR(SUMIF(INDIRECT("'"&amp;'Template Setup'!$C$7&amp;"'!C:C"),$A297,INDIRECT("'"&amp;'Template Setup'!$C$7&amp;"'!A:A")),0))</f>
        <v/>
      </c>
      <c r="K297" s="12" t="str">
        <f ca="1">IF($A297="","",IFERROR(SUMIF(INDIRECT("'"&amp;'Template Setup'!$C$8&amp;"'!C:C"),$A297,INDIRECT("'"&amp;'Template Setup'!$C$8&amp;"'!A:A")),0))</f>
        <v/>
      </c>
      <c r="L297" s="11" t="str">
        <f>IF($A297="","",IFERROR(VALUE(MID(TRIM('Template Setup'!$C$4),FIND("-",TRIM('Template Setup'!$C$4))+1,10)),0))</f>
        <v/>
      </c>
      <c r="M297" s="11" t="str">
        <f>IF($A297="","",IFERROR(VALUE(MID(TRIM('Template Setup'!$C$5),FIND("-",TRIM('Template Setup'!$C$5))+1,10)),0))</f>
        <v/>
      </c>
      <c r="N297" s="11" t="str">
        <f>IF($A297="","",IFERROR(VALUE(MID(TRIM('Template Setup'!$C$6),FIND("-",TRIM('Template Setup'!$C$6))+1,10)),0))</f>
        <v/>
      </c>
      <c r="O297" s="11" t="str">
        <f>IF($A297="","",IFERROR(VALUE(MID(TRIM('Template Setup'!$C$7),FIND("-",TRIM('Template Setup'!$C$7))+1,10)),0))</f>
        <v/>
      </c>
      <c r="P297" s="11" t="str">
        <f>IF($A297="","",IFERROR(VALUE(MID(TRIM('Template Setup'!$C$8),FIND("-",TRIM('Template Setup'!$C$8))+1,10)),0))</f>
        <v/>
      </c>
      <c r="Q297" s="9" t="str">
        <f>IF($A297="","",$A297&amp;"-"&amp;'Template Setup'!$C$16)</f>
        <v/>
      </c>
      <c r="R297" s="24" t="str">
        <f t="shared" si="17"/>
        <v/>
      </c>
      <c r="S297" s="24"/>
      <c r="T297" s="24" t="str">
        <f t="shared" si="18"/>
        <v/>
      </c>
      <c r="U297" s="6" t="str">
        <f t="shared" si="20"/>
        <v/>
      </c>
    </row>
    <row r="298" spans="1:21">
      <c r="A298" s="11"/>
      <c r="B298" s="11"/>
      <c r="C298" s="11"/>
      <c r="D298" s="11" t="str">
        <f>IF($A298="","",_xlfn.TEXTJOIN(", ",TRUE,IF($G298&gt;0,'Template Setup'!$C$4,""),IF($H298&gt;0,'Template Setup'!$C$5,""),IF($I298&gt;0,'Template Setup'!$C$6,""),IF($J298&gt;0,'Template Setup'!$C$7,""),IF($K298&gt;0,'Template Setup'!$C$8,"")))</f>
        <v/>
      </c>
      <c r="E298" s="6" t="str" cm="1">
        <f t="array" ref="E298">IF($A298="","",_xlfn.LET(_xlpm.sheets,CHOOSE({1,2,3,4,5},'Template Setup'!$C$4,'Template Setup'!$C$5,'Template Setup'!$C$6,'Template Setup'!$C$7,'Template Setup'!$C$8),_xlpm.nums,CHOOSE({1,2,3,4,5},$L298,$M298,$N298,$O298,$P298),_xlpm.qtys,CHOOSE({1,2,3,4,5},$G298,$H298,$I298,$J298,$K298),_xlpm.validNums,_xlfn._xlws.FILTER(_xlpm.nums,_xlpm.qtys&gt;0),_xlpm.validSheets,_xlfn._xlws.FILTER(_xlpm.sheets,_xlpm.qtys&gt;0),_xlpm.mx,IFERROR(MAX(_xlpm.validNums),0),IF(_xlpm.mx=0,"",INDEX(_xlpm.validSheets,MATCH(_xlpm.mx,_xlpm.validNums,0))&amp;" (+"&amp;$R298&amp;")")))</f>
        <v/>
      </c>
      <c r="F298" s="11" t="str">
        <f t="shared" si="19"/>
        <v/>
      </c>
      <c r="G298" s="12" t="str">
        <f ca="1">IF($A298="","",IFERROR(SUMIF(INDIRECT("'"&amp;'Template Setup'!$C$4&amp;"'!C:C"),$A298,INDIRECT("'"&amp;'Template Setup'!$C$4&amp;"'!A:A")),0))</f>
        <v/>
      </c>
      <c r="H298" s="12" t="str">
        <f ca="1">IF($A298="","",IFERROR(SUMIF(INDIRECT("'"&amp;'Template Setup'!$C$5&amp;"'!C:C"),$A298,INDIRECT("'"&amp;'Template Setup'!$C$5&amp;"'!A:A")),0))</f>
        <v/>
      </c>
      <c r="I298" s="12" t="str">
        <f ca="1">IF($A298="","",IFERROR(SUMIF(INDIRECT("'"&amp;'Template Setup'!$C$6&amp;"'!C:C"),$A298,INDIRECT("'"&amp;'Template Setup'!$C$6&amp;"'!A:A")),0))</f>
        <v/>
      </c>
      <c r="J298" s="12" t="str">
        <f ca="1">IF($A298="","",IFERROR(SUMIF(INDIRECT("'"&amp;'Template Setup'!$C$7&amp;"'!C:C"),$A298,INDIRECT("'"&amp;'Template Setup'!$C$7&amp;"'!A:A")),0))</f>
        <v/>
      </c>
      <c r="K298" s="12" t="str">
        <f ca="1">IF($A298="","",IFERROR(SUMIF(INDIRECT("'"&amp;'Template Setup'!$C$8&amp;"'!C:C"),$A298,INDIRECT("'"&amp;'Template Setup'!$C$8&amp;"'!A:A")),0))</f>
        <v/>
      </c>
      <c r="L298" s="11" t="str">
        <f>IF($A298="","",IFERROR(VALUE(MID(TRIM('Template Setup'!$C$4),FIND("-",TRIM('Template Setup'!$C$4))+1,10)),0))</f>
        <v/>
      </c>
      <c r="M298" s="11" t="str">
        <f>IF($A298="","",IFERROR(VALUE(MID(TRIM('Template Setup'!$C$5),FIND("-",TRIM('Template Setup'!$C$5))+1,10)),0))</f>
        <v/>
      </c>
      <c r="N298" s="11" t="str">
        <f>IF($A298="","",IFERROR(VALUE(MID(TRIM('Template Setup'!$C$6),FIND("-",TRIM('Template Setup'!$C$6))+1,10)),0))</f>
        <v/>
      </c>
      <c r="O298" s="11" t="str">
        <f>IF($A298="","",IFERROR(VALUE(MID(TRIM('Template Setup'!$C$7),FIND("-",TRIM('Template Setup'!$C$7))+1,10)),0))</f>
        <v/>
      </c>
      <c r="P298" s="11" t="str">
        <f>IF($A298="","",IFERROR(VALUE(MID(TRIM('Template Setup'!$C$8),FIND("-",TRIM('Template Setup'!$C$8))+1,10)),0))</f>
        <v/>
      </c>
      <c r="Q298" s="9" t="str">
        <f>IF($A298="","",$A298&amp;"-"&amp;'Template Setup'!$C$16)</f>
        <v/>
      </c>
      <c r="R298" s="24" t="str">
        <f t="shared" si="17"/>
        <v/>
      </c>
      <c r="S298" s="24"/>
      <c r="T298" s="24" t="str">
        <f t="shared" si="18"/>
        <v/>
      </c>
      <c r="U298" s="6" t="str">
        <f t="shared" si="20"/>
        <v/>
      </c>
    </row>
    <row r="299" spans="1:21">
      <c r="A299" s="11"/>
      <c r="B299" s="11"/>
      <c r="C299" s="11"/>
      <c r="D299" s="11" t="str">
        <f>IF($A299="","",_xlfn.TEXTJOIN(", ",TRUE,IF($G299&gt;0,'Template Setup'!$C$4,""),IF($H299&gt;0,'Template Setup'!$C$5,""),IF($I299&gt;0,'Template Setup'!$C$6,""),IF($J299&gt;0,'Template Setup'!$C$7,""),IF($K299&gt;0,'Template Setup'!$C$8,"")))</f>
        <v/>
      </c>
      <c r="E299" s="6" t="str" cm="1">
        <f t="array" ref="E299">IF($A299="","",_xlfn.LET(_xlpm.sheets,CHOOSE({1,2,3,4,5},'Template Setup'!$C$4,'Template Setup'!$C$5,'Template Setup'!$C$6,'Template Setup'!$C$7,'Template Setup'!$C$8),_xlpm.nums,CHOOSE({1,2,3,4,5},$L299,$M299,$N299,$O299,$P299),_xlpm.qtys,CHOOSE({1,2,3,4,5},$G299,$H299,$I299,$J299,$K299),_xlpm.validNums,_xlfn._xlws.FILTER(_xlpm.nums,_xlpm.qtys&gt;0),_xlpm.validSheets,_xlfn._xlws.FILTER(_xlpm.sheets,_xlpm.qtys&gt;0),_xlpm.mx,IFERROR(MAX(_xlpm.validNums),0),IF(_xlpm.mx=0,"",INDEX(_xlpm.validSheets,MATCH(_xlpm.mx,_xlpm.validNums,0))&amp;" (+"&amp;$R299&amp;")")))</f>
        <v/>
      </c>
      <c r="F299" s="11" t="str">
        <f t="shared" si="19"/>
        <v/>
      </c>
      <c r="G299" s="12" t="str">
        <f ca="1">IF($A299="","",IFERROR(SUMIF(INDIRECT("'"&amp;'Template Setup'!$C$4&amp;"'!C:C"),$A299,INDIRECT("'"&amp;'Template Setup'!$C$4&amp;"'!A:A")),0))</f>
        <v/>
      </c>
      <c r="H299" s="12" t="str">
        <f ca="1">IF($A299="","",IFERROR(SUMIF(INDIRECT("'"&amp;'Template Setup'!$C$5&amp;"'!C:C"),$A299,INDIRECT("'"&amp;'Template Setup'!$C$5&amp;"'!A:A")),0))</f>
        <v/>
      </c>
      <c r="I299" s="12" t="str">
        <f ca="1">IF($A299="","",IFERROR(SUMIF(INDIRECT("'"&amp;'Template Setup'!$C$6&amp;"'!C:C"),$A299,INDIRECT("'"&amp;'Template Setup'!$C$6&amp;"'!A:A")),0))</f>
        <v/>
      </c>
      <c r="J299" s="12" t="str">
        <f ca="1">IF($A299="","",IFERROR(SUMIF(INDIRECT("'"&amp;'Template Setup'!$C$7&amp;"'!C:C"),$A299,INDIRECT("'"&amp;'Template Setup'!$C$7&amp;"'!A:A")),0))</f>
        <v/>
      </c>
      <c r="K299" s="12" t="str">
        <f ca="1">IF($A299="","",IFERROR(SUMIF(INDIRECT("'"&amp;'Template Setup'!$C$8&amp;"'!C:C"),$A299,INDIRECT("'"&amp;'Template Setup'!$C$8&amp;"'!A:A")),0))</f>
        <v/>
      </c>
      <c r="L299" s="11" t="str">
        <f>IF($A299="","",IFERROR(VALUE(MID(TRIM('Template Setup'!$C$4),FIND("-",TRIM('Template Setup'!$C$4))+1,10)),0))</f>
        <v/>
      </c>
      <c r="M299" s="11" t="str">
        <f>IF($A299="","",IFERROR(VALUE(MID(TRIM('Template Setup'!$C$5),FIND("-",TRIM('Template Setup'!$C$5))+1,10)),0))</f>
        <v/>
      </c>
      <c r="N299" s="11" t="str">
        <f>IF($A299="","",IFERROR(VALUE(MID(TRIM('Template Setup'!$C$6),FIND("-",TRIM('Template Setup'!$C$6))+1,10)),0))</f>
        <v/>
      </c>
      <c r="O299" s="11" t="str">
        <f>IF($A299="","",IFERROR(VALUE(MID(TRIM('Template Setup'!$C$7),FIND("-",TRIM('Template Setup'!$C$7))+1,10)),0))</f>
        <v/>
      </c>
      <c r="P299" s="11" t="str">
        <f>IF($A299="","",IFERROR(VALUE(MID(TRIM('Template Setup'!$C$8),FIND("-",TRIM('Template Setup'!$C$8))+1,10)),0))</f>
        <v/>
      </c>
      <c r="Q299" s="9" t="str">
        <f>IF($A299="","",$A299&amp;"-"&amp;'Template Setup'!$C$16)</f>
        <v/>
      </c>
      <c r="R299" s="24" t="str">
        <f t="shared" si="17"/>
        <v/>
      </c>
      <c r="S299" s="24"/>
      <c r="T299" s="24" t="str">
        <f t="shared" si="18"/>
        <v/>
      </c>
      <c r="U299" s="6" t="str">
        <f t="shared" si="20"/>
        <v/>
      </c>
    </row>
    <row r="300" spans="1:21">
      <c r="A300" s="11"/>
      <c r="B300" s="11"/>
      <c r="C300" s="11"/>
      <c r="D300" s="11" t="str">
        <f>IF($A300="","",_xlfn.TEXTJOIN(", ",TRUE,IF($G300&gt;0,'Template Setup'!$C$4,""),IF($H300&gt;0,'Template Setup'!$C$5,""),IF($I300&gt;0,'Template Setup'!$C$6,""),IF($J300&gt;0,'Template Setup'!$C$7,""),IF($K300&gt;0,'Template Setup'!$C$8,"")))</f>
        <v/>
      </c>
      <c r="E300" s="6" t="str" cm="1">
        <f t="array" ref="E300">IF($A300="","",_xlfn.LET(_xlpm.sheets,CHOOSE({1,2,3,4,5},'Template Setup'!$C$4,'Template Setup'!$C$5,'Template Setup'!$C$6,'Template Setup'!$C$7,'Template Setup'!$C$8),_xlpm.nums,CHOOSE({1,2,3,4,5},$L300,$M300,$N300,$O300,$P300),_xlpm.qtys,CHOOSE({1,2,3,4,5},$G300,$H300,$I300,$J300,$K300),_xlpm.validNums,_xlfn._xlws.FILTER(_xlpm.nums,_xlpm.qtys&gt;0),_xlpm.validSheets,_xlfn._xlws.FILTER(_xlpm.sheets,_xlpm.qtys&gt;0),_xlpm.mx,IFERROR(MAX(_xlpm.validNums),0),IF(_xlpm.mx=0,"",INDEX(_xlpm.validSheets,MATCH(_xlpm.mx,_xlpm.validNums,0))&amp;" (+"&amp;$R300&amp;")")))</f>
        <v/>
      </c>
      <c r="F300" s="11" t="str">
        <f t="shared" si="19"/>
        <v/>
      </c>
      <c r="G300" s="12" t="str">
        <f ca="1">IF($A300="","",IFERROR(SUMIF(INDIRECT("'"&amp;'Template Setup'!$C$4&amp;"'!C:C"),$A300,INDIRECT("'"&amp;'Template Setup'!$C$4&amp;"'!A:A")),0))</f>
        <v/>
      </c>
      <c r="H300" s="12" t="str">
        <f ca="1">IF($A300="","",IFERROR(SUMIF(INDIRECT("'"&amp;'Template Setup'!$C$5&amp;"'!C:C"),$A300,INDIRECT("'"&amp;'Template Setup'!$C$5&amp;"'!A:A")),0))</f>
        <v/>
      </c>
      <c r="I300" s="12" t="str">
        <f ca="1">IF($A300="","",IFERROR(SUMIF(INDIRECT("'"&amp;'Template Setup'!$C$6&amp;"'!C:C"),$A300,INDIRECT("'"&amp;'Template Setup'!$C$6&amp;"'!A:A")),0))</f>
        <v/>
      </c>
      <c r="J300" s="12" t="str">
        <f ca="1">IF($A300="","",IFERROR(SUMIF(INDIRECT("'"&amp;'Template Setup'!$C$7&amp;"'!C:C"),$A300,INDIRECT("'"&amp;'Template Setup'!$C$7&amp;"'!A:A")),0))</f>
        <v/>
      </c>
      <c r="K300" s="12" t="str">
        <f ca="1">IF($A300="","",IFERROR(SUMIF(INDIRECT("'"&amp;'Template Setup'!$C$8&amp;"'!C:C"),$A300,INDIRECT("'"&amp;'Template Setup'!$C$8&amp;"'!A:A")),0))</f>
        <v/>
      </c>
      <c r="L300" s="11" t="str">
        <f>IF($A300="","",IFERROR(VALUE(MID(TRIM('Template Setup'!$C$4),FIND("-",TRIM('Template Setup'!$C$4))+1,10)),0))</f>
        <v/>
      </c>
      <c r="M300" s="11" t="str">
        <f>IF($A300="","",IFERROR(VALUE(MID(TRIM('Template Setup'!$C$5),FIND("-",TRIM('Template Setup'!$C$5))+1,10)),0))</f>
        <v/>
      </c>
      <c r="N300" s="11" t="str">
        <f>IF($A300="","",IFERROR(VALUE(MID(TRIM('Template Setup'!$C$6),FIND("-",TRIM('Template Setup'!$C$6))+1,10)),0))</f>
        <v/>
      </c>
      <c r="O300" s="11" t="str">
        <f>IF($A300="","",IFERROR(VALUE(MID(TRIM('Template Setup'!$C$7),FIND("-",TRIM('Template Setup'!$C$7))+1,10)),0))</f>
        <v/>
      </c>
      <c r="P300" s="11" t="str">
        <f>IF($A300="","",IFERROR(VALUE(MID(TRIM('Template Setup'!$C$8),FIND("-",TRIM('Template Setup'!$C$8))+1,10)),0))</f>
        <v/>
      </c>
      <c r="Q300" s="9" t="str">
        <f>IF($A300="","",$A300&amp;"-"&amp;'Template Setup'!$C$16)</f>
        <v/>
      </c>
      <c r="R300" s="24" t="str">
        <f t="shared" si="17"/>
        <v/>
      </c>
      <c r="S300" s="24"/>
      <c r="T300" s="24" t="str">
        <f t="shared" si="18"/>
        <v/>
      </c>
      <c r="U300" s="6" t="str">
        <f t="shared" si="20"/>
        <v/>
      </c>
    </row>
    <row r="301" spans="1:21">
      <c r="A301" s="11"/>
      <c r="B301" s="11"/>
      <c r="C301" s="11"/>
      <c r="D301" s="11" t="str">
        <f>IF($A301="","",_xlfn.TEXTJOIN(", ",TRUE,IF($G301&gt;0,'Template Setup'!$C$4,""),IF($H301&gt;0,'Template Setup'!$C$5,""),IF($I301&gt;0,'Template Setup'!$C$6,""),IF($J301&gt;0,'Template Setup'!$C$7,""),IF($K301&gt;0,'Template Setup'!$C$8,"")))</f>
        <v/>
      </c>
      <c r="E301" s="6" t="str" cm="1">
        <f t="array" ref="E301">IF($A301="","",_xlfn.LET(_xlpm.sheets,CHOOSE({1,2,3,4,5},'Template Setup'!$C$4,'Template Setup'!$C$5,'Template Setup'!$C$6,'Template Setup'!$C$7,'Template Setup'!$C$8),_xlpm.nums,CHOOSE({1,2,3,4,5},$L301,$M301,$N301,$O301,$P301),_xlpm.qtys,CHOOSE({1,2,3,4,5},$G301,$H301,$I301,$J301,$K301),_xlpm.validNums,_xlfn._xlws.FILTER(_xlpm.nums,_xlpm.qtys&gt;0),_xlpm.validSheets,_xlfn._xlws.FILTER(_xlpm.sheets,_xlpm.qtys&gt;0),_xlpm.mx,IFERROR(MAX(_xlpm.validNums),0),IF(_xlpm.mx=0,"",INDEX(_xlpm.validSheets,MATCH(_xlpm.mx,_xlpm.validNums,0))&amp;" (+"&amp;$R301&amp;")")))</f>
        <v/>
      </c>
      <c r="F301" s="11" t="str">
        <f t="shared" si="19"/>
        <v/>
      </c>
      <c r="G301" s="12" t="str">
        <f ca="1">IF($A301="","",IFERROR(SUMIF(INDIRECT("'"&amp;'Template Setup'!$C$4&amp;"'!C:C"),$A301,INDIRECT("'"&amp;'Template Setup'!$C$4&amp;"'!A:A")),0))</f>
        <v/>
      </c>
      <c r="H301" s="12" t="str">
        <f ca="1">IF($A301="","",IFERROR(SUMIF(INDIRECT("'"&amp;'Template Setup'!$C$5&amp;"'!C:C"),$A301,INDIRECT("'"&amp;'Template Setup'!$C$5&amp;"'!A:A")),0))</f>
        <v/>
      </c>
      <c r="I301" s="12" t="str">
        <f ca="1">IF($A301="","",IFERROR(SUMIF(INDIRECT("'"&amp;'Template Setup'!$C$6&amp;"'!C:C"),$A301,INDIRECT("'"&amp;'Template Setup'!$C$6&amp;"'!A:A")),0))</f>
        <v/>
      </c>
      <c r="J301" s="12" t="str">
        <f ca="1">IF($A301="","",IFERROR(SUMIF(INDIRECT("'"&amp;'Template Setup'!$C$7&amp;"'!C:C"),$A301,INDIRECT("'"&amp;'Template Setup'!$C$7&amp;"'!A:A")),0))</f>
        <v/>
      </c>
      <c r="K301" s="12" t="str">
        <f ca="1">IF($A301="","",IFERROR(SUMIF(INDIRECT("'"&amp;'Template Setup'!$C$8&amp;"'!C:C"),$A301,INDIRECT("'"&amp;'Template Setup'!$C$8&amp;"'!A:A")),0))</f>
        <v/>
      </c>
      <c r="L301" s="11" t="str">
        <f>IF($A301="","",IFERROR(VALUE(MID(TRIM('Template Setup'!$C$4),FIND("-",TRIM('Template Setup'!$C$4))+1,10)),0))</f>
        <v/>
      </c>
      <c r="M301" s="11" t="str">
        <f>IF($A301="","",IFERROR(VALUE(MID(TRIM('Template Setup'!$C$5),FIND("-",TRIM('Template Setup'!$C$5))+1,10)),0))</f>
        <v/>
      </c>
      <c r="N301" s="11" t="str">
        <f>IF($A301="","",IFERROR(VALUE(MID(TRIM('Template Setup'!$C$6),FIND("-",TRIM('Template Setup'!$C$6))+1,10)),0))</f>
        <v/>
      </c>
      <c r="O301" s="11" t="str">
        <f>IF($A301="","",IFERROR(VALUE(MID(TRIM('Template Setup'!$C$7),FIND("-",TRIM('Template Setup'!$C$7))+1,10)),0))</f>
        <v/>
      </c>
      <c r="P301" s="11" t="str">
        <f>IF($A301="","",IFERROR(VALUE(MID(TRIM('Template Setup'!$C$8),FIND("-",TRIM('Template Setup'!$C$8))+1,10)),0))</f>
        <v/>
      </c>
      <c r="Q301" s="9" t="str">
        <f>IF($A301="","",$A301&amp;"-"&amp;'Template Setup'!$C$16)</f>
        <v/>
      </c>
      <c r="R301" s="24" t="str">
        <f t="shared" si="17"/>
        <v/>
      </c>
      <c r="S301" s="24"/>
      <c r="T301" s="24" t="str">
        <f t="shared" si="18"/>
        <v/>
      </c>
      <c r="U301" s="6" t="str">
        <f t="shared" si="20"/>
        <v/>
      </c>
    </row>
    <row r="302" spans="1:21">
      <c r="A302" s="11"/>
      <c r="B302" s="11"/>
      <c r="C302" s="11"/>
      <c r="D302" s="11" t="str">
        <f>IF($A302="","",_xlfn.TEXTJOIN(", ",TRUE,IF($G302&gt;0,'Template Setup'!$C$4,""),IF($H302&gt;0,'Template Setup'!$C$5,""),IF($I302&gt;0,'Template Setup'!$C$6,""),IF($J302&gt;0,'Template Setup'!$C$7,""),IF($K302&gt;0,'Template Setup'!$C$8,"")))</f>
        <v/>
      </c>
      <c r="E302" s="6" t="str" cm="1">
        <f t="array" ref="E302">IF($A302="","",_xlfn.LET(_xlpm.sheets,CHOOSE({1,2,3,4,5},'Template Setup'!$C$4,'Template Setup'!$C$5,'Template Setup'!$C$6,'Template Setup'!$C$7,'Template Setup'!$C$8),_xlpm.nums,CHOOSE({1,2,3,4,5},$L302,$M302,$N302,$O302,$P302),_xlpm.qtys,CHOOSE({1,2,3,4,5},$G302,$H302,$I302,$J302,$K302),_xlpm.validNums,_xlfn._xlws.FILTER(_xlpm.nums,_xlpm.qtys&gt;0),_xlpm.validSheets,_xlfn._xlws.FILTER(_xlpm.sheets,_xlpm.qtys&gt;0),_xlpm.mx,IFERROR(MAX(_xlpm.validNums),0),IF(_xlpm.mx=0,"",INDEX(_xlpm.validSheets,MATCH(_xlpm.mx,_xlpm.validNums,0))&amp;" (+"&amp;$R302&amp;")")))</f>
        <v/>
      </c>
      <c r="F302" s="11" t="str">
        <f t="shared" si="19"/>
        <v/>
      </c>
      <c r="G302" s="12" t="str">
        <f ca="1">IF($A302="","",IFERROR(SUMIF(INDIRECT("'"&amp;'Template Setup'!$C$4&amp;"'!C:C"),$A302,INDIRECT("'"&amp;'Template Setup'!$C$4&amp;"'!A:A")),0))</f>
        <v/>
      </c>
      <c r="H302" s="12" t="str">
        <f ca="1">IF($A302="","",IFERROR(SUMIF(INDIRECT("'"&amp;'Template Setup'!$C$5&amp;"'!C:C"),$A302,INDIRECT("'"&amp;'Template Setup'!$C$5&amp;"'!A:A")),0))</f>
        <v/>
      </c>
      <c r="I302" s="12" t="str">
        <f ca="1">IF($A302="","",IFERROR(SUMIF(INDIRECT("'"&amp;'Template Setup'!$C$6&amp;"'!C:C"),$A302,INDIRECT("'"&amp;'Template Setup'!$C$6&amp;"'!A:A")),0))</f>
        <v/>
      </c>
      <c r="J302" s="12" t="str">
        <f ca="1">IF($A302="","",IFERROR(SUMIF(INDIRECT("'"&amp;'Template Setup'!$C$7&amp;"'!C:C"),$A302,INDIRECT("'"&amp;'Template Setup'!$C$7&amp;"'!A:A")),0))</f>
        <v/>
      </c>
      <c r="K302" s="12" t="str">
        <f ca="1">IF($A302="","",IFERROR(SUMIF(INDIRECT("'"&amp;'Template Setup'!$C$8&amp;"'!C:C"),$A302,INDIRECT("'"&amp;'Template Setup'!$C$8&amp;"'!A:A")),0))</f>
        <v/>
      </c>
      <c r="L302" s="11" t="str">
        <f>IF($A302="","",IFERROR(VALUE(MID(TRIM('Template Setup'!$C$4),FIND("-",TRIM('Template Setup'!$C$4))+1,10)),0))</f>
        <v/>
      </c>
      <c r="M302" s="11" t="str">
        <f>IF($A302="","",IFERROR(VALUE(MID(TRIM('Template Setup'!$C$5),FIND("-",TRIM('Template Setup'!$C$5))+1,10)),0))</f>
        <v/>
      </c>
      <c r="N302" s="11" t="str">
        <f>IF($A302="","",IFERROR(VALUE(MID(TRIM('Template Setup'!$C$6),FIND("-",TRIM('Template Setup'!$C$6))+1,10)),0))</f>
        <v/>
      </c>
      <c r="O302" s="11" t="str">
        <f>IF($A302="","",IFERROR(VALUE(MID(TRIM('Template Setup'!$C$7),FIND("-",TRIM('Template Setup'!$C$7))+1,10)),0))</f>
        <v/>
      </c>
      <c r="P302" s="11" t="str">
        <f>IF($A302="","",IFERROR(VALUE(MID(TRIM('Template Setup'!$C$8),FIND("-",TRIM('Template Setup'!$C$8))+1,10)),0))</f>
        <v/>
      </c>
      <c r="Q302" s="9" t="str">
        <f>IF($A302="","",$A302&amp;"-"&amp;'Template Setup'!$C$16)</f>
        <v/>
      </c>
      <c r="R302" s="24" t="str">
        <f t="shared" si="17"/>
        <v/>
      </c>
      <c r="S302" s="24"/>
      <c r="T302" s="24" t="str">
        <f t="shared" si="18"/>
        <v/>
      </c>
      <c r="U302" s="6" t="str">
        <f t="shared" si="20"/>
        <v/>
      </c>
    </row>
    <row r="303" spans="1:21">
      <c r="A303" s="11"/>
      <c r="B303" s="11"/>
      <c r="C303" s="11"/>
      <c r="D303" s="11" t="str">
        <f>IF($A303="","",_xlfn.TEXTJOIN(", ",TRUE,IF($G303&gt;0,'Template Setup'!$C$4,""),IF($H303&gt;0,'Template Setup'!$C$5,""),IF($I303&gt;0,'Template Setup'!$C$6,""),IF($J303&gt;0,'Template Setup'!$C$7,""),IF($K303&gt;0,'Template Setup'!$C$8,"")))</f>
        <v/>
      </c>
      <c r="E303" s="6" t="str" cm="1">
        <f t="array" ref="E303">IF($A303="","",_xlfn.LET(_xlpm.sheets,CHOOSE({1,2,3,4,5},'Template Setup'!$C$4,'Template Setup'!$C$5,'Template Setup'!$C$6,'Template Setup'!$C$7,'Template Setup'!$C$8),_xlpm.nums,CHOOSE({1,2,3,4,5},$L303,$M303,$N303,$O303,$P303),_xlpm.qtys,CHOOSE({1,2,3,4,5},$G303,$H303,$I303,$J303,$K303),_xlpm.validNums,_xlfn._xlws.FILTER(_xlpm.nums,_xlpm.qtys&gt;0),_xlpm.validSheets,_xlfn._xlws.FILTER(_xlpm.sheets,_xlpm.qtys&gt;0),_xlpm.mx,IFERROR(MAX(_xlpm.validNums),0),IF(_xlpm.mx=0,"",INDEX(_xlpm.validSheets,MATCH(_xlpm.mx,_xlpm.validNums,0))&amp;" (+"&amp;$R303&amp;")")))</f>
        <v/>
      </c>
      <c r="F303" s="11" t="str">
        <f t="shared" si="19"/>
        <v/>
      </c>
      <c r="G303" s="12" t="str">
        <f ca="1">IF($A303="","",IFERROR(SUMIF(INDIRECT("'"&amp;'Template Setup'!$C$4&amp;"'!C:C"),$A303,INDIRECT("'"&amp;'Template Setup'!$C$4&amp;"'!A:A")),0))</f>
        <v/>
      </c>
      <c r="H303" s="12" t="str">
        <f ca="1">IF($A303="","",IFERROR(SUMIF(INDIRECT("'"&amp;'Template Setup'!$C$5&amp;"'!C:C"),$A303,INDIRECT("'"&amp;'Template Setup'!$C$5&amp;"'!A:A")),0))</f>
        <v/>
      </c>
      <c r="I303" s="12" t="str">
        <f ca="1">IF($A303="","",IFERROR(SUMIF(INDIRECT("'"&amp;'Template Setup'!$C$6&amp;"'!C:C"),$A303,INDIRECT("'"&amp;'Template Setup'!$C$6&amp;"'!A:A")),0))</f>
        <v/>
      </c>
      <c r="J303" s="12" t="str">
        <f ca="1">IF($A303="","",IFERROR(SUMIF(INDIRECT("'"&amp;'Template Setup'!$C$7&amp;"'!C:C"),$A303,INDIRECT("'"&amp;'Template Setup'!$C$7&amp;"'!A:A")),0))</f>
        <v/>
      </c>
      <c r="K303" s="12" t="str">
        <f ca="1">IF($A303="","",IFERROR(SUMIF(INDIRECT("'"&amp;'Template Setup'!$C$8&amp;"'!C:C"),$A303,INDIRECT("'"&amp;'Template Setup'!$C$8&amp;"'!A:A")),0))</f>
        <v/>
      </c>
      <c r="L303" s="11" t="str">
        <f>IF($A303="","",IFERROR(VALUE(MID(TRIM('Template Setup'!$C$4),FIND("-",TRIM('Template Setup'!$C$4))+1,10)),0))</f>
        <v/>
      </c>
      <c r="M303" s="11" t="str">
        <f>IF($A303="","",IFERROR(VALUE(MID(TRIM('Template Setup'!$C$5),FIND("-",TRIM('Template Setup'!$C$5))+1,10)),0))</f>
        <v/>
      </c>
      <c r="N303" s="11" t="str">
        <f>IF($A303="","",IFERROR(VALUE(MID(TRIM('Template Setup'!$C$6),FIND("-",TRIM('Template Setup'!$C$6))+1,10)),0))</f>
        <v/>
      </c>
      <c r="O303" s="11" t="str">
        <f>IF($A303="","",IFERROR(VALUE(MID(TRIM('Template Setup'!$C$7),FIND("-",TRIM('Template Setup'!$C$7))+1,10)),0))</f>
        <v/>
      </c>
      <c r="P303" s="11" t="str">
        <f>IF($A303="","",IFERROR(VALUE(MID(TRIM('Template Setup'!$C$8),FIND("-",TRIM('Template Setup'!$C$8))+1,10)),0))</f>
        <v/>
      </c>
      <c r="Q303" s="9" t="str">
        <f>IF($A303="","",$A303&amp;"-"&amp;'Template Setup'!$C$16)</f>
        <v/>
      </c>
      <c r="R303" s="24" t="str">
        <f t="shared" si="17"/>
        <v/>
      </c>
      <c r="S303" s="24"/>
      <c r="T303" s="24" t="str">
        <f t="shared" si="18"/>
        <v/>
      </c>
      <c r="U303" s="6" t="str">
        <f t="shared" si="20"/>
        <v/>
      </c>
    </row>
    <row r="304" spans="1:21">
      <c r="A304" s="11"/>
      <c r="B304" s="11"/>
      <c r="C304" s="11"/>
      <c r="D304" s="11" t="str">
        <f>IF($A304="","",_xlfn.TEXTJOIN(", ",TRUE,IF($G304&gt;0,'Template Setup'!$C$4,""),IF($H304&gt;0,'Template Setup'!$C$5,""),IF($I304&gt;0,'Template Setup'!$C$6,""),IF($J304&gt;0,'Template Setup'!$C$7,""),IF($K304&gt;0,'Template Setup'!$C$8,"")))</f>
        <v/>
      </c>
      <c r="E304" s="6" t="str" cm="1">
        <f t="array" ref="E304">IF($A304="","",_xlfn.LET(_xlpm.sheets,CHOOSE({1,2,3,4,5},'Template Setup'!$C$4,'Template Setup'!$C$5,'Template Setup'!$C$6,'Template Setup'!$C$7,'Template Setup'!$C$8),_xlpm.nums,CHOOSE({1,2,3,4,5},$L304,$M304,$N304,$O304,$P304),_xlpm.qtys,CHOOSE({1,2,3,4,5},$G304,$H304,$I304,$J304,$K304),_xlpm.validNums,_xlfn._xlws.FILTER(_xlpm.nums,_xlpm.qtys&gt;0),_xlpm.validSheets,_xlfn._xlws.FILTER(_xlpm.sheets,_xlpm.qtys&gt;0),_xlpm.mx,IFERROR(MAX(_xlpm.validNums),0),IF(_xlpm.mx=0,"",INDEX(_xlpm.validSheets,MATCH(_xlpm.mx,_xlpm.validNums,0))&amp;" (+"&amp;$R304&amp;")")))</f>
        <v/>
      </c>
      <c r="F304" s="11" t="str">
        <f t="shared" si="19"/>
        <v/>
      </c>
      <c r="G304" s="12" t="str">
        <f ca="1">IF($A304="","",IFERROR(SUMIF(INDIRECT("'"&amp;'Template Setup'!$C$4&amp;"'!C:C"),$A304,INDIRECT("'"&amp;'Template Setup'!$C$4&amp;"'!A:A")),0))</f>
        <v/>
      </c>
      <c r="H304" s="12" t="str">
        <f ca="1">IF($A304="","",IFERROR(SUMIF(INDIRECT("'"&amp;'Template Setup'!$C$5&amp;"'!C:C"),$A304,INDIRECT("'"&amp;'Template Setup'!$C$5&amp;"'!A:A")),0))</f>
        <v/>
      </c>
      <c r="I304" s="12" t="str">
        <f ca="1">IF($A304="","",IFERROR(SUMIF(INDIRECT("'"&amp;'Template Setup'!$C$6&amp;"'!C:C"),$A304,INDIRECT("'"&amp;'Template Setup'!$C$6&amp;"'!A:A")),0))</f>
        <v/>
      </c>
      <c r="J304" s="12" t="str">
        <f ca="1">IF($A304="","",IFERROR(SUMIF(INDIRECT("'"&amp;'Template Setup'!$C$7&amp;"'!C:C"),$A304,INDIRECT("'"&amp;'Template Setup'!$C$7&amp;"'!A:A")),0))</f>
        <v/>
      </c>
      <c r="K304" s="12" t="str">
        <f ca="1">IF($A304="","",IFERROR(SUMIF(INDIRECT("'"&amp;'Template Setup'!$C$8&amp;"'!C:C"),$A304,INDIRECT("'"&amp;'Template Setup'!$C$8&amp;"'!A:A")),0))</f>
        <v/>
      </c>
      <c r="L304" s="11" t="str">
        <f>IF($A304="","",IFERROR(VALUE(MID(TRIM('Template Setup'!$C$4),FIND("-",TRIM('Template Setup'!$C$4))+1,10)),0))</f>
        <v/>
      </c>
      <c r="M304" s="11" t="str">
        <f>IF($A304="","",IFERROR(VALUE(MID(TRIM('Template Setup'!$C$5),FIND("-",TRIM('Template Setup'!$C$5))+1,10)),0))</f>
        <v/>
      </c>
      <c r="N304" s="11" t="str">
        <f>IF($A304="","",IFERROR(VALUE(MID(TRIM('Template Setup'!$C$6),FIND("-",TRIM('Template Setup'!$C$6))+1,10)),0))</f>
        <v/>
      </c>
      <c r="O304" s="11" t="str">
        <f>IF($A304="","",IFERROR(VALUE(MID(TRIM('Template Setup'!$C$7),FIND("-",TRIM('Template Setup'!$C$7))+1,10)),0))</f>
        <v/>
      </c>
      <c r="P304" s="11" t="str">
        <f>IF($A304="","",IFERROR(VALUE(MID(TRIM('Template Setup'!$C$8),FIND("-",TRIM('Template Setup'!$C$8))+1,10)),0))</f>
        <v/>
      </c>
      <c r="Q304" s="9" t="str">
        <f>IF($A304="","",$A304&amp;"-"&amp;'Template Setup'!$C$16)</f>
        <v/>
      </c>
      <c r="R304" s="24" t="str">
        <f t="shared" si="17"/>
        <v/>
      </c>
      <c r="S304" s="24"/>
      <c r="T304" s="24" t="str">
        <f t="shared" si="18"/>
        <v/>
      </c>
      <c r="U304" s="6" t="str">
        <f t="shared" si="20"/>
        <v/>
      </c>
    </row>
    <row r="305" spans="1:21">
      <c r="A305" s="11"/>
      <c r="B305" s="11"/>
      <c r="C305" s="11"/>
      <c r="D305" s="11" t="str">
        <f>IF($A305="","",_xlfn.TEXTJOIN(", ",TRUE,IF($G305&gt;0,'Template Setup'!$C$4,""),IF($H305&gt;0,'Template Setup'!$C$5,""),IF($I305&gt;0,'Template Setup'!$C$6,""),IF($J305&gt;0,'Template Setup'!$C$7,""),IF($K305&gt;0,'Template Setup'!$C$8,"")))</f>
        <v/>
      </c>
      <c r="E305" s="6" t="str" cm="1">
        <f t="array" ref="E305">IF($A305="","",_xlfn.LET(_xlpm.sheets,CHOOSE({1,2,3,4,5},'Template Setup'!$C$4,'Template Setup'!$C$5,'Template Setup'!$C$6,'Template Setup'!$C$7,'Template Setup'!$C$8),_xlpm.nums,CHOOSE({1,2,3,4,5},$L305,$M305,$N305,$O305,$P305),_xlpm.qtys,CHOOSE({1,2,3,4,5},$G305,$H305,$I305,$J305,$K305),_xlpm.validNums,_xlfn._xlws.FILTER(_xlpm.nums,_xlpm.qtys&gt;0),_xlpm.validSheets,_xlfn._xlws.FILTER(_xlpm.sheets,_xlpm.qtys&gt;0),_xlpm.mx,IFERROR(MAX(_xlpm.validNums),0),IF(_xlpm.mx=0,"",INDEX(_xlpm.validSheets,MATCH(_xlpm.mx,_xlpm.validNums,0))&amp;" (+"&amp;$R305&amp;")")))</f>
        <v/>
      </c>
      <c r="F305" s="11" t="str">
        <f t="shared" si="19"/>
        <v/>
      </c>
      <c r="G305" s="12" t="str">
        <f ca="1">IF($A305="","",IFERROR(SUMIF(INDIRECT("'"&amp;'Template Setup'!$C$4&amp;"'!C:C"),$A305,INDIRECT("'"&amp;'Template Setup'!$C$4&amp;"'!A:A")),0))</f>
        <v/>
      </c>
      <c r="H305" s="12" t="str">
        <f ca="1">IF($A305="","",IFERROR(SUMIF(INDIRECT("'"&amp;'Template Setup'!$C$5&amp;"'!C:C"),$A305,INDIRECT("'"&amp;'Template Setup'!$C$5&amp;"'!A:A")),0))</f>
        <v/>
      </c>
      <c r="I305" s="12" t="str">
        <f ca="1">IF($A305="","",IFERROR(SUMIF(INDIRECT("'"&amp;'Template Setup'!$C$6&amp;"'!C:C"),$A305,INDIRECT("'"&amp;'Template Setup'!$C$6&amp;"'!A:A")),0))</f>
        <v/>
      </c>
      <c r="J305" s="12" t="str">
        <f ca="1">IF($A305="","",IFERROR(SUMIF(INDIRECT("'"&amp;'Template Setup'!$C$7&amp;"'!C:C"),$A305,INDIRECT("'"&amp;'Template Setup'!$C$7&amp;"'!A:A")),0))</f>
        <v/>
      </c>
      <c r="K305" s="12" t="str">
        <f ca="1">IF($A305="","",IFERROR(SUMIF(INDIRECT("'"&amp;'Template Setup'!$C$8&amp;"'!C:C"),$A305,INDIRECT("'"&amp;'Template Setup'!$C$8&amp;"'!A:A")),0))</f>
        <v/>
      </c>
      <c r="L305" s="11" t="str">
        <f>IF($A305="","",IFERROR(VALUE(MID(TRIM('Template Setup'!$C$4),FIND("-",TRIM('Template Setup'!$C$4))+1,10)),0))</f>
        <v/>
      </c>
      <c r="M305" s="11" t="str">
        <f>IF($A305="","",IFERROR(VALUE(MID(TRIM('Template Setup'!$C$5),FIND("-",TRIM('Template Setup'!$C$5))+1,10)),0))</f>
        <v/>
      </c>
      <c r="N305" s="11" t="str">
        <f>IF($A305="","",IFERROR(VALUE(MID(TRIM('Template Setup'!$C$6),FIND("-",TRIM('Template Setup'!$C$6))+1,10)),0))</f>
        <v/>
      </c>
      <c r="O305" s="11" t="str">
        <f>IF($A305="","",IFERROR(VALUE(MID(TRIM('Template Setup'!$C$7),FIND("-",TRIM('Template Setup'!$C$7))+1,10)),0))</f>
        <v/>
      </c>
      <c r="P305" s="11" t="str">
        <f>IF($A305="","",IFERROR(VALUE(MID(TRIM('Template Setup'!$C$8),FIND("-",TRIM('Template Setup'!$C$8))+1,10)),0))</f>
        <v/>
      </c>
      <c r="Q305" s="9" t="str">
        <f>IF($A305="","",$A305&amp;"-"&amp;'Template Setup'!$C$16)</f>
        <v/>
      </c>
      <c r="R305" s="24" t="str">
        <f t="shared" si="17"/>
        <v/>
      </c>
      <c r="S305" s="24"/>
      <c r="T305" s="24" t="str">
        <f t="shared" si="18"/>
        <v/>
      </c>
      <c r="U305" s="6" t="str">
        <f t="shared" si="20"/>
        <v/>
      </c>
    </row>
    <row r="306" spans="1:21">
      <c r="A306" s="11"/>
      <c r="B306" s="11"/>
      <c r="C306" s="11"/>
      <c r="D306" s="11" t="str">
        <f>IF($A306="","",_xlfn.TEXTJOIN(", ",TRUE,IF($G306&gt;0,'Template Setup'!$C$4,""),IF($H306&gt;0,'Template Setup'!$C$5,""),IF($I306&gt;0,'Template Setup'!$C$6,""),IF($J306&gt;0,'Template Setup'!$C$7,""),IF($K306&gt;0,'Template Setup'!$C$8,"")))</f>
        <v/>
      </c>
      <c r="E306" s="6" t="str" cm="1">
        <f t="array" ref="E306">IF($A306="","",_xlfn.LET(_xlpm.sheets,CHOOSE({1,2,3,4,5},'Template Setup'!$C$4,'Template Setup'!$C$5,'Template Setup'!$C$6,'Template Setup'!$C$7,'Template Setup'!$C$8),_xlpm.nums,CHOOSE({1,2,3,4,5},$L306,$M306,$N306,$O306,$P306),_xlpm.qtys,CHOOSE({1,2,3,4,5},$G306,$H306,$I306,$J306,$K306),_xlpm.validNums,_xlfn._xlws.FILTER(_xlpm.nums,_xlpm.qtys&gt;0),_xlpm.validSheets,_xlfn._xlws.FILTER(_xlpm.sheets,_xlpm.qtys&gt;0),_xlpm.mx,IFERROR(MAX(_xlpm.validNums),0),IF(_xlpm.mx=0,"",INDEX(_xlpm.validSheets,MATCH(_xlpm.mx,_xlpm.validNums,0))&amp;" (+"&amp;$R306&amp;")")))</f>
        <v/>
      </c>
      <c r="F306" s="11" t="str">
        <f t="shared" si="19"/>
        <v/>
      </c>
      <c r="G306" s="12" t="str">
        <f ca="1">IF($A306="","",IFERROR(SUMIF(INDIRECT("'"&amp;'Template Setup'!$C$4&amp;"'!C:C"),$A306,INDIRECT("'"&amp;'Template Setup'!$C$4&amp;"'!A:A")),0))</f>
        <v/>
      </c>
      <c r="H306" s="12" t="str">
        <f ca="1">IF($A306="","",IFERROR(SUMIF(INDIRECT("'"&amp;'Template Setup'!$C$5&amp;"'!C:C"),$A306,INDIRECT("'"&amp;'Template Setup'!$C$5&amp;"'!A:A")),0))</f>
        <v/>
      </c>
      <c r="I306" s="12" t="str">
        <f ca="1">IF($A306="","",IFERROR(SUMIF(INDIRECT("'"&amp;'Template Setup'!$C$6&amp;"'!C:C"),$A306,INDIRECT("'"&amp;'Template Setup'!$C$6&amp;"'!A:A")),0))</f>
        <v/>
      </c>
      <c r="J306" s="12" t="str">
        <f ca="1">IF($A306="","",IFERROR(SUMIF(INDIRECT("'"&amp;'Template Setup'!$C$7&amp;"'!C:C"),$A306,INDIRECT("'"&amp;'Template Setup'!$C$7&amp;"'!A:A")),0))</f>
        <v/>
      </c>
      <c r="K306" s="12" t="str">
        <f ca="1">IF($A306="","",IFERROR(SUMIF(INDIRECT("'"&amp;'Template Setup'!$C$8&amp;"'!C:C"),$A306,INDIRECT("'"&amp;'Template Setup'!$C$8&amp;"'!A:A")),0))</f>
        <v/>
      </c>
      <c r="L306" s="11" t="str">
        <f>IF($A306="","",IFERROR(VALUE(MID(TRIM('Template Setup'!$C$4),FIND("-",TRIM('Template Setup'!$C$4))+1,10)),0))</f>
        <v/>
      </c>
      <c r="M306" s="11" t="str">
        <f>IF($A306="","",IFERROR(VALUE(MID(TRIM('Template Setup'!$C$5),FIND("-",TRIM('Template Setup'!$C$5))+1,10)),0))</f>
        <v/>
      </c>
      <c r="N306" s="11" t="str">
        <f>IF($A306="","",IFERROR(VALUE(MID(TRIM('Template Setup'!$C$6),FIND("-",TRIM('Template Setup'!$C$6))+1,10)),0))</f>
        <v/>
      </c>
      <c r="O306" s="11" t="str">
        <f>IF($A306="","",IFERROR(VALUE(MID(TRIM('Template Setup'!$C$7),FIND("-",TRIM('Template Setup'!$C$7))+1,10)),0))</f>
        <v/>
      </c>
      <c r="P306" s="11" t="str">
        <f>IF($A306="","",IFERROR(VALUE(MID(TRIM('Template Setup'!$C$8),FIND("-",TRIM('Template Setup'!$C$8))+1,10)),0))</f>
        <v/>
      </c>
      <c r="Q306" s="9" t="str">
        <f>IF($A306="","",$A306&amp;"-"&amp;'Template Setup'!$C$16)</f>
        <v/>
      </c>
      <c r="R306" s="24" t="str">
        <f t="shared" si="17"/>
        <v/>
      </c>
      <c r="S306" s="24"/>
      <c r="T306" s="24" t="str">
        <f t="shared" si="18"/>
        <v/>
      </c>
      <c r="U306" s="6" t="str">
        <f t="shared" si="20"/>
        <v/>
      </c>
    </row>
    <row r="307" spans="1:21">
      <c r="A307" s="11"/>
      <c r="B307" s="11"/>
      <c r="C307" s="11"/>
      <c r="D307" s="11" t="str">
        <f>IF($A307="","",_xlfn.TEXTJOIN(", ",TRUE,IF($G307&gt;0,'Template Setup'!$C$4,""),IF($H307&gt;0,'Template Setup'!$C$5,""),IF($I307&gt;0,'Template Setup'!$C$6,""),IF($J307&gt;0,'Template Setup'!$C$7,""),IF($K307&gt;0,'Template Setup'!$C$8,"")))</f>
        <v/>
      </c>
      <c r="E307" s="6" t="str" cm="1">
        <f t="array" ref="E307">IF($A307="","",_xlfn.LET(_xlpm.sheets,CHOOSE({1,2,3,4,5},'Template Setup'!$C$4,'Template Setup'!$C$5,'Template Setup'!$C$6,'Template Setup'!$C$7,'Template Setup'!$C$8),_xlpm.nums,CHOOSE({1,2,3,4,5},$L307,$M307,$N307,$O307,$P307),_xlpm.qtys,CHOOSE({1,2,3,4,5},$G307,$H307,$I307,$J307,$K307),_xlpm.validNums,_xlfn._xlws.FILTER(_xlpm.nums,_xlpm.qtys&gt;0),_xlpm.validSheets,_xlfn._xlws.FILTER(_xlpm.sheets,_xlpm.qtys&gt;0),_xlpm.mx,IFERROR(MAX(_xlpm.validNums),0),IF(_xlpm.mx=0,"",INDEX(_xlpm.validSheets,MATCH(_xlpm.mx,_xlpm.validNums,0))&amp;" (+"&amp;$R307&amp;")")))</f>
        <v/>
      </c>
      <c r="F307" s="11" t="str">
        <f t="shared" si="19"/>
        <v/>
      </c>
      <c r="G307" s="12" t="str">
        <f ca="1">IF($A307="","",IFERROR(SUMIF(INDIRECT("'"&amp;'Template Setup'!$C$4&amp;"'!C:C"),$A307,INDIRECT("'"&amp;'Template Setup'!$C$4&amp;"'!A:A")),0))</f>
        <v/>
      </c>
      <c r="H307" s="12" t="str">
        <f ca="1">IF($A307="","",IFERROR(SUMIF(INDIRECT("'"&amp;'Template Setup'!$C$5&amp;"'!C:C"),$A307,INDIRECT("'"&amp;'Template Setup'!$C$5&amp;"'!A:A")),0))</f>
        <v/>
      </c>
      <c r="I307" s="12" t="str">
        <f ca="1">IF($A307="","",IFERROR(SUMIF(INDIRECT("'"&amp;'Template Setup'!$C$6&amp;"'!C:C"),$A307,INDIRECT("'"&amp;'Template Setup'!$C$6&amp;"'!A:A")),0))</f>
        <v/>
      </c>
      <c r="J307" s="12" t="str">
        <f ca="1">IF($A307="","",IFERROR(SUMIF(INDIRECT("'"&amp;'Template Setup'!$C$7&amp;"'!C:C"),$A307,INDIRECT("'"&amp;'Template Setup'!$C$7&amp;"'!A:A")),0))</f>
        <v/>
      </c>
      <c r="K307" s="12" t="str">
        <f ca="1">IF($A307="","",IFERROR(SUMIF(INDIRECT("'"&amp;'Template Setup'!$C$8&amp;"'!C:C"),$A307,INDIRECT("'"&amp;'Template Setup'!$C$8&amp;"'!A:A")),0))</f>
        <v/>
      </c>
      <c r="L307" s="11" t="str">
        <f>IF($A307="","",IFERROR(VALUE(MID(TRIM('Template Setup'!$C$4),FIND("-",TRIM('Template Setup'!$C$4))+1,10)),0))</f>
        <v/>
      </c>
      <c r="M307" s="11" t="str">
        <f>IF($A307="","",IFERROR(VALUE(MID(TRIM('Template Setup'!$C$5),FIND("-",TRIM('Template Setup'!$C$5))+1,10)),0))</f>
        <v/>
      </c>
      <c r="N307" s="11" t="str">
        <f>IF($A307="","",IFERROR(VALUE(MID(TRIM('Template Setup'!$C$6),FIND("-",TRIM('Template Setup'!$C$6))+1,10)),0))</f>
        <v/>
      </c>
      <c r="O307" s="11" t="str">
        <f>IF($A307="","",IFERROR(VALUE(MID(TRIM('Template Setup'!$C$7),FIND("-",TRIM('Template Setup'!$C$7))+1,10)),0))</f>
        <v/>
      </c>
      <c r="P307" s="11" t="str">
        <f>IF($A307="","",IFERROR(VALUE(MID(TRIM('Template Setup'!$C$8),FIND("-",TRIM('Template Setup'!$C$8))+1,10)),0))</f>
        <v/>
      </c>
      <c r="Q307" s="9" t="str">
        <f>IF($A307="","",$A307&amp;"-"&amp;'Template Setup'!$C$16)</f>
        <v/>
      </c>
      <c r="R307" s="24" t="str">
        <f t="shared" si="17"/>
        <v/>
      </c>
      <c r="S307" s="24"/>
      <c r="T307" s="24" t="str">
        <f t="shared" si="18"/>
        <v/>
      </c>
      <c r="U307" s="6" t="str">
        <f t="shared" si="20"/>
        <v/>
      </c>
    </row>
    <row r="308" spans="1:21">
      <c r="A308" s="11"/>
      <c r="B308" s="11"/>
      <c r="C308" s="11"/>
      <c r="D308" s="11" t="str">
        <f>IF($A308="","",_xlfn.TEXTJOIN(", ",TRUE,IF($G308&gt;0,'Template Setup'!$C$4,""),IF($H308&gt;0,'Template Setup'!$C$5,""),IF($I308&gt;0,'Template Setup'!$C$6,""),IF($J308&gt;0,'Template Setup'!$C$7,""),IF($K308&gt;0,'Template Setup'!$C$8,"")))</f>
        <v/>
      </c>
      <c r="E308" s="6" t="str" cm="1">
        <f t="array" ref="E308">IF($A308="","",_xlfn.LET(_xlpm.sheets,CHOOSE({1,2,3,4,5},'Template Setup'!$C$4,'Template Setup'!$C$5,'Template Setup'!$C$6,'Template Setup'!$C$7,'Template Setup'!$C$8),_xlpm.nums,CHOOSE({1,2,3,4,5},$L308,$M308,$N308,$O308,$P308),_xlpm.qtys,CHOOSE({1,2,3,4,5},$G308,$H308,$I308,$J308,$K308),_xlpm.validNums,_xlfn._xlws.FILTER(_xlpm.nums,_xlpm.qtys&gt;0),_xlpm.validSheets,_xlfn._xlws.FILTER(_xlpm.sheets,_xlpm.qtys&gt;0),_xlpm.mx,IFERROR(MAX(_xlpm.validNums),0),IF(_xlpm.mx=0,"",INDEX(_xlpm.validSheets,MATCH(_xlpm.mx,_xlpm.validNums,0))&amp;" (+"&amp;$R308&amp;")")))</f>
        <v/>
      </c>
      <c r="F308" s="11" t="str">
        <f t="shared" si="19"/>
        <v/>
      </c>
      <c r="G308" s="12" t="str">
        <f ca="1">IF($A308="","",IFERROR(SUMIF(INDIRECT("'"&amp;'Template Setup'!$C$4&amp;"'!C:C"),$A308,INDIRECT("'"&amp;'Template Setup'!$C$4&amp;"'!A:A")),0))</f>
        <v/>
      </c>
      <c r="H308" s="12" t="str">
        <f ca="1">IF($A308="","",IFERROR(SUMIF(INDIRECT("'"&amp;'Template Setup'!$C$5&amp;"'!C:C"),$A308,INDIRECT("'"&amp;'Template Setup'!$C$5&amp;"'!A:A")),0))</f>
        <v/>
      </c>
      <c r="I308" s="12" t="str">
        <f ca="1">IF($A308="","",IFERROR(SUMIF(INDIRECT("'"&amp;'Template Setup'!$C$6&amp;"'!C:C"),$A308,INDIRECT("'"&amp;'Template Setup'!$C$6&amp;"'!A:A")),0))</f>
        <v/>
      </c>
      <c r="J308" s="12" t="str">
        <f ca="1">IF($A308="","",IFERROR(SUMIF(INDIRECT("'"&amp;'Template Setup'!$C$7&amp;"'!C:C"),$A308,INDIRECT("'"&amp;'Template Setup'!$C$7&amp;"'!A:A")),0))</f>
        <v/>
      </c>
      <c r="K308" s="12" t="str">
        <f ca="1">IF($A308="","",IFERROR(SUMIF(INDIRECT("'"&amp;'Template Setup'!$C$8&amp;"'!C:C"),$A308,INDIRECT("'"&amp;'Template Setup'!$C$8&amp;"'!A:A")),0))</f>
        <v/>
      </c>
      <c r="L308" s="11" t="str">
        <f>IF($A308="","",IFERROR(VALUE(MID(TRIM('Template Setup'!$C$4),FIND("-",TRIM('Template Setup'!$C$4))+1,10)),0))</f>
        <v/>
      </c>
      <c r="M308" s="11" t="str">
        <f>IF($A308="","",IFERROR(VALUE(MID(TRIM('Template Setup'!$C$5),FIND("-",TRIM('Template Setup'!$C$5))+1,10)),0))</f>
        <v/>
      </c>
      <c r="N308" s="11" t="str">
        <f>IF($A308="","",IFERROR(VALUE(MID(TRIM('Template Setup'!$C$6),FIND("-",TRIM('Template Setup'!$C$6))+1,10)),0))</f>
        <v/>
      </c>
      <c r="O308" s="11" t="str">
        <f>IF($A308="","",IFERROR(VALUE(MID(TRIM('Template Setup'!$C$7),FIND("-",TRIM('Template Setup'!$C$7))+1,10)),0))</f>
        <v/>
      </c>
      <c r="P308" s="11" t="str">
        <f>IF($A308="","",IFERROR(VALUE(MID(TRIM('Template Setup'!$C$8),FIND("-",TRIM('Template Setup'!$C$8))+1,10)),0))</f>
        <v/>
      </c>
      <c r="Q308" s="9" t="str">
        <f>IF($A308="","",$A308&amp;"-"&amp;'Template Setup'!$C$16)</f>
        <v/>
      </c>
      <c r="R308" s="24" t="str">
        <f t="shared" si="17"/>
        <v/>
      </c>
      <c r="S308" s="24"/>
      <c r="T308" s="24" t="str">
        <f t="shared" si="18"/>
        <v/>
      </c>
      <c r="U308" s="6" t="str">
        <f t="shared" si="20"/>
        <v/>
      </c>
    </row>
    <row r="309" spans="1:21">
      <c r="A309" s="11"/>
      <c r="B309" s="11"/>
      <c r="C309" s="11"/>
      <c r="D309" s="11" t="str">
        <f>IF($A309="","",_xlfn.TEXTJOIN(", ",TRUE,IF($G309&gt;0,'Template Setup'!$C$4,""),IF($H309&gt;0,'Template Setup'!$C$5,""),IF($I309&gt;0,'Template Setup'!$C$6,""),IF($J309&gt;0,'Template Setup'!$C$7,""),IF($K309&gt;0,'Template Setup'!$C$8,"")))</f>
        <v/>
      </c>
      <c r="E309" s="6" t="str" cm="1">
        <f t="array" ref="E309">IF($A309="","",_xlfn.LET(_xlpm.sheets,CHOOSE({1,2,3,4,5},'Template Setup'!$C$4,'Template Setup'!$C$5,'Template Setup'!$C$6,'Template Setup'!$C$7,'Template Setup'!$C$8),_xlpm.nums,CHOOSE({1,2,3,4,5},$L309,$M309,$N309,$O309,$P309),_xlpm.qtys,CHOOSE({1,2,3,4,5},$G309,$H309,$I309,$J309,$K309),_xlpm.validNums,_xlfn._xlws.FILTER(_xlpm.nums,_xlpm.qtys&gt;0),_xlpm.validSheets,_xlfn._xlws.FILTER(_xlpm.sheets,_xlpm.qtys&gt;0),_xlpm.mx,IFERROR(MAX(_xlpm.validNums),0),IF(_xlpm.mx=0,"",INDEX(_xlpm.validSheets,MATCH(_xlpm.mx,_xlpm.validNums,0))&amp;" (+"&amp;$R309&amp;")")))</f>
        <v/>
      </c>
      <c r="F309" s="11" t="str">
        <f t="shared" si="19"/>
        <v/>
      </c>
      <c r="G309" s="12" t="str">
        <f ca="1">IF($A309="","",IFERROR(SUMIF(INDIRECT("'"&amp;'Template Setup'!$C$4&amp;"'!C:C"),$A309,INDIRECT("'"&amp;'Template Setup'!$C$4&amp;"'!A:A")),0))</f>
        <v/>
      </c>
      <c r="H309" s="12" t="str">
        <f ca="1">IF($A309="","",IFERROR(SUMIF(INDIRECT("'"&amp;'Template Setup'!$C$5&amp;"'!C:C"),$A309,INDIRECT("'"&amp;'Template Setup'!$C$5&amp;"'!A:A")),0))</f>
        <v/>
      </c>
      <c r="I309" s="12" t="str">
        <f ca="1">IF($A309="","",IFERROR(SUMIF(INDIRECT("'"&amp;'Template Setup'!$C$6&amp;"'!C:C"),$A309,INDIRECT("'"&amp;'Template Setup'!$C$6&amp;"'!A:A")),0))</f>
        <v/>
      </c>
      <c r="J309" s="12" t="str">
        <f ca="1">IF($A309="","",IFERROR(SUMIF(INDIRECT("'"&amp;'Template Setup'!$C$7&amp;"'!C:C"),$A309,INDIRECT("'"&amp;'Template Setup'!$C$7&amp;"'!A:A")),0))</f>
        <v/>
      </c>
      <c r="K309" s="12" t="str">
        <f ca="1">IF($A309="","",IFERROR(SUMIF(INDIRECT("'"&amp;'Template Setup'!$C$8&amp;"'!C:C"),$A309,INDIRECT("'"&amp;'Template Setup'!$C$8&amp;"'!A:A")),0))</f>
        <v/>
      </c>
      <c r="L309" s="11" t="str">
        <f>IF($A309="","",IFERROR(VALUE(MID(TRIM('Template Setup'!$C$4),FIND("-",TRIM('Template Setup'!$C$4))+1,10)),0))</f>
        <v/>
      </c>
      <c r="M309" s="11" t="str">
        <f>IF($A309="","",IFERROR(VALUE(MID(TRIM('Template Setup'!$C$5),FIND("-",TRIM('Template Setup'!$C$5))+1,10)),0))</f>
        <v/>
      </c>
      <c r="N309" s="11" t="str">
        <f>IF($A309="","",IFERROR(VALUE(MID(TRIM('Template Setup'!$C$6),FIND("-",TRIM('Template Setup'!$C$6))+1,10)),0))</f>
        <v/>
      </c>
      <c r="O309" s="11" t="str">
        <f>IF($A309="","",IFERROR(VALUE(MID(TRIM('Template Setup'!$C$7),FIND("-",TRIM('Template Setup'!$C$7))+1,10)),0))</f>
        <v/>
      </c>
      <c r="P309" s="11" t="str">
        <f>IF($A309="","",IFERROR(VALUE(MID(TRIM('Template Setup'!$C$8),FIND("-",TRIM('Template Setup'!$C$8))+1,10)),0))</f>
        <v/>
      </c>
      <c r="Q309" s="9" t="str">
        <f>IF($A309="","",$A309&amp;"-"&amp;'Template Setup'!$C$16)</f>
        <v/>
      </c>
      <c r="R309" s="24" t="str">
        <f t="shared" si="17"/>
        <v/>
      </c>
      <c r="S309" s="24"/>
      <c r="T309" s="24" t="str">
        <f t="shared" si="18"/>
        <v/>
      </c>
      <c r="U309" s="6" t="str">
        <f t="shared" si="20"/>
        <v/>
      </c>
    </row>
    <row r="310" spans="1:21">
      <c r="A310" s="11"/>
      <c r="B310" s="11"/>
      <c r="C310" s="11"/>
      <c r="D310" s="11" t="str">
        <f>IF($A310="","",_xlfn.TEXTJOIN(", ",TRUE,IF($G310&gt;0,'Template Setup'!$C$4,""),IF($H310&gt;0,'Template Setup'!$C$5,""),IF($I310&gt;0,'Template Setup'!$C$6,""),IF($J310&gt;0,'Template Setup'!$C$7,""),IF($K310&gt;0,'Template Setup'!$C$8,"")))</f>
        <v/>
      </c>
      <c r="E310" s="6" t="str" cm="1">
        <f t="array" ref="E310">IF($A310="","",_xlfn.LET(_xlpm.sheets,CHOOSE({1,2,3,4,5},'Template Setup'!$C$4,'Template Setup'!$C$5,'Template Setup'!$C$6,'Template Setup'!$C$7,'Template Setup'!$C$8),_xlpm.nums,CHOOSE({1,2,3,4,5},$L310,$M310,$N310,$O310,$P310),_xlpm.qtys,CHOOSE({1,2,3,4,5},$G310,$H310,$I310,$J310,$K310),_xlpm.validNums,_xlfn._xlws.FILTER(_xlpm.nums,_xlpm.qtys&gt;0),_xlpm.validSheets,_xlfn._xlws.FILTER(_xlpm.sheets,_xlpm.qtys&gt;0),_xlpm.mx,IFERROR(MAX(_xlpm.validNums),0),IF(_xlpm.mx=0,"",INDEX(_xlpm.validSheets,MATCH(_xlpm.mx,_xlpm.validNums,0))&amp;" (+"&amp;$R310&amp;")")))</f>
        <v/>
      </c>
      <c r="F310" s="11" t="str">
        <f t="shared" si="19"/>
        <v/>
      </c>
      <c r="G310" s="12" t="str">
        <f ca="1">IF($A310="","",IFERROR(SUMIF(INDIRECT("'"&amp;'Template Setup'!$C$4&amp;"'!C:C"),$A310,INDIRECT("'"&amp;'Template Setup'!$C$4&amp;"'!A:A")),0))</f>
        <v/>
      </c>
      <c r="H310" s="12" t="str">
        <f ca="1">IF($A310="","",IFERROR(SUMIF(INDIRECT("'"&amp;'Template Setup'!$C$5&amp;"'!C:C"),$A310,INDIRECT("'"&amp;'Template Setup'!$C$5&amp;"'!A:A")),0))</f>
        <v/>
      </c>
      <c r="I310" s="12" t="str">
        <f ca="1">IF($A310="","",IFERROR(SUMIF(INDIRECT("'"&amp;'Template Setup'!$C$6&amp;"'!C:C"),$A310,INDIRECT("'"&amp;'Template Setup'!$C$6&amp;"'!A:A")),0))</f>
        <v/>
      </c>
      <c r="J310" s="12" t="str">
        <f ca="1">IF($A310="","",IFERROR(SUMIF(INDIRECT("'"&amp;'Template Setup'!$C$7&amp;"'!C:C"),$A310,INDIRECT("'"&amp;'Template Setup'!$C$7&amp;"'!A:A")),0))</f>
        <v/>
      </c>
      <c r="K310" s="12" t="str">
        <f ca="1">IF($A310="","",IFERROR(SUMIF(INDIRECT("'"&amp;'Template Setup'!$C$8&amp;"'!C:C"),$A310,INDIRECT("'"&amp;'Template Setup'!$C$8&amp;"'!A:A")),0))</f>
        <v/>
      </c>
      <c r="L310" s="11" t="str">
        <f>IF($A310="","",IFERROR(VALUE(MID(TRIM('Template Setup'!$C$4),FIND("-",TRIM('Template Setup'!$C$4))+1,10)),0))</f>
        <v/>
      </c>
      <c r="M310" s="11" t="str">
        <f>IF($A310="","",IFERROR(VALUE(MID(TRIM('Template Setup'!$C$5),FIND("-",TRIM('Template Setup'!$C$5))+1,10)),0))</f>
        <v/>
      </c>
      <c r="N310" s="11" t="str">
        <f>IF($A310="","",IFERROR(VALUE(MID(TRIM('Template Setup'!$C$6),FIND("-",TRIM('Template Setup'!$C$6))+1,10)),0))</f>
        <v/>
      </c>
      <c r="O310" s="11" t="str">
        <f>IF($A310="","",IFERROR(VALUE(MID(TRIM('Template Setup'!$C$7),FIND("-",TRIM('Template Setup'!$C$7))+1,10)),0))</f>
        <v/>
      </c>
      <c r="P310" s="11" t="str">
        <f>IF($A310="","",IFERROR(VALUE(MID(TRIM('Template Setup'!$C$8),FIND("-",TRIM('Template Setup'!$C$8))+1,10)),0))</f>
        <v/>
      </c>
      <c r="Q310" s="9" t="str">
        <f>IF($A310="","",$A310&amp;"-"&amp;'Template Setup'!$C$16)</f>
        <v/>
      </c>
      <c r="R310" s="24" t="str">
        <f t="shared" si="17"/>
        <v/>
      </c>
      <c r="S310" s="24"/>
      <c r="T310" s="24" t="str">
        <f t="shared" si="18"/>
        <v/>
      </c>
      <c r="U310" s="6" t="str">
        <f t="shared" si="20"/>
        <v/>
      </c>
    </row>
    <row r="311" spans="1:21">
      <c r="A311" s="11"/>
      <c r="B311" s="11"/>
      <c r="C311" s="11"/>
      <c r="D311" s="11" t="str">
        <f>IF($A311="","",_xlfn.TEXTJOIN(", ",TRUE,IF($G311&gt;0,'Template Setup'!$C$4,""),IF($H311&gt;0,'Template Setup'!$C$5,""),IF($I311&gt;0,'Template Setup'!$C$6,""),IF($J311&gt;0,'Template Setup'!$C$7,""),IF($K311&gt;0,'Template Setup'!$C$8,"")))</f>
        <v/>
      </c>
      <c r="E311" s="6" t="str" cm="1">
        <f t="array" ref="E311">IF($A311="","",_xlfn.LET(_xlpm.sheets,CHOOSE({1,2,3,4,5},'Template Setup'!$C$4,'Template Setup'!$C$5,'Template Setup'!$C$6,'Template Setup'!$C$7,'Template Setup'!$C$8),_xlpm.nums,CHOOSE({1,2,3,4,5},$L311,$M311,$N311,$O311,$P311),_xlpm.qtys,CHOOSE({1,2,3,4,5},$G311,$H311,$I311,$J311,$K311),_xlpm.validNums,_xlfn._xlws.FILTER(_xlpm.nums,_xlpm.qtys&gt;0),_xlpm.validSheets,_xlfn._xlws.FILTER(_xlpm.sheets,_xlpm.qtys&gt;0),_xlpm.mx,IFERROR(MAX(_xlpm.validNums),0),IF(_xlpm.mx=0,"",INDEX(_xlpm.validSheets,MATCH(_xlpm.mx,_xlpm.validNums,0))&amp;" (+"&amp;$R311&amp;")")))</f>
        <v/>
      </c>
      <c r="F311" s="11" t="str">
        <f t="shared" si="19"/>
        <v/>
      </c>
      <c r="G311" s="12" t="str">
        <f ca="1">IF($A311="","",IFERROR(SUMIF(INDIRECT("'"&amp;'Template Setup'!$C$4&amp;"'!C:C"),$A311,INDIRECT("'"&amp;'Template Setup'!$C$4&amp;"'!A:A")),0))</f>
        <v/>
      </c>
      <c r="H311" s="12" t="str">
        <f ca="1">IF($A311="","",IFERROR(SUMIF(INDIRECT("'"&amp;'Template Setup'!$C$5&amp;"'!C:C"),$A311,INDIRECT("'"&amp;'Template Setup'!$C$5&amp;"'!A:A")),0))</f>
        <v/>
      </c>
      <c r="I311" s="12" t="str">
        <f ca="1">IF($A311="","",IFERROR(SUMIF(INDIRECT("'"&amp;'Template Setup'!$C$6&amp;"'!C:C"),$A311,INDIRECT("'"&amp;'Template Setup'!$C$6&amp;"'!A:A")),0))</f>
        <v/>
      </c>
      <c r="J311" s="12" t="str">
        <f ca="1">IF($A311="","",IFERROR(SUMIF(INDIRECT("'"&amp;'Template Setup'!$C$7&amp;"'!C:C"),$A311,INDIRECT("'"&amp;'Template Setup'!$C$7&amp;"'!A:A")),0))</f>
        <v/>
      </c>
      <c r="K311" s="12" t="str">
        <f ca="1">IF($A311="","",IFERROR(SUMIF(INDIRECT("'"&amp;'Template Setup'!$C$8&amp;"'!C:C"),$A311,INDIRECT("'"&amp;'Template Setup'!$C$8&amp;"'!A:A")),0))</f>
        <v/>
      </c>
      <c r="L311" s="11" t="str">
        <f>IF($A311="","",IFERROR(VALUE(MID(TRIM('Template Setup'!$C$4),FIND("-",TRIM('Template Setup'!$C$4))+1,10)),0))</f>
        <v/>
      </c>
      <c r="M311" s="11" t="str">
        <f>IF($A311="","",IFERROR(VALUE(MID(TRIM('Template Setup'!$C$5),FIND("-",TRIM('Template Setup'!$C$5))+1,10)),0))</f>
        <v/>
      </c>
      <c r="N311" s="11" t="str">
        <f>IF($A311="","",IFERROR(VALUE(MID(TRIM('Template Setup'!$C$6),FIND("-",TRIM('Template Setup'!$C$6))+1,10)),0))</f>
        <v/>
      </c>
      <c r="O311" s="11" t="str">
        <f>IF($A311="","",IFERROR(VALUE(MID(TRIM('Template Setup'!$C$7),FIND("-",TRIM('Template Setup'!$C$7))+1,10)),0))</f>
        <v/>
      </c>
      <c r="P311" s="11" t="str">
        <f>IF($A311="","",IFERROR(VALUE(MID(TRIM('Template Setup'!$C$8),FIND("-",TRIM('Template Setup'!$C$8))+1,10)),0))</f>
        <v/>
      </c>
      <c r="Q311" s="9" t="str">
        <f>IF($A311="","",$A311&amp;"-"&amp;'Template Setup'!$C$16)</f>
        <v/>
      </c>
      <c r="R311" s="24" t="str">
        <f t="shared" si="17"/>
        <v/>
      </c>
      <c r="S311" s="24"/>
      <c r="T311" s="24" t="str">
        <f t="shared" si="18"/>
        <v/>
      </c>
      <c r="U311" s="6" t="str">
        <f t="shared" si="20"/>
        <v/>
      </c>
    </row>
    <row r="312" spans="1:21">
      <c r="A312" s="11"/>
      <c r="B312" s="11"/>
      <c r="C312" s="11"/>
      <c r="D312" s="11" t="str">
        <f>IF($A312="","",_xlfn.TEXTJOIN(", ",TRUE,IF($G312&gt;0,'Template Setup'!$C$4,""),IF($H312&gt;0,'Template Setup'!$C$5,""),IF($I312&gt;0,'Template Setup'!$C$6,""),IF($J312&gt;0,'Template Setup'!$C$7,""),IF($K312&gt;0,'Template Setup'!$C$8,"")))</f>
        <v/>
      </c>
      <c r="E312" s="6" t="str" cm="1">
        <f t="array" ref="E312">IF($A312="","",_xlfn.LET(_xlpm.sheets,CHOOSE({1,2,3,4,5},'Template Setup'!$C$4,'Template Setup'!$C$5,'Template Setup'!$C$6,'Template Setup'!$C$7,'Template Setup'!$C$8),_xlpm.nums,CHOOSE({1,2,3,4,5},$L312,$M312,$N312,$O312,$P312),_xlpm.qtys,CHOOSE({1,2,3,4,5},$G312,$H312,$I312,$J312,$K312),_xlpm.validNums,_xlfn._xlws.FILTER(_xlpm.nums,_xlpm.qtys&gt;0),_xlpm.validSheets,_xlfn._xlws.FILTER(_xlpm.sheets,_xlpm.qtys&gt;0),_xlpm.mx,IFERROR(MAX(_xlpm.validNums),0),IF(_xlpm.mx=0,"",INDEX(_xlpm.validSheets,MATCH(_xlpm.mx,_xlpm.validNums,0))&amp;" (+"&amp;$R312&amp;")")))</f>
        <v/>
      </c>
      <c r="F312" s="11" t="str">
        <f t="shared" si="19"/>
        <v/>
      </c>
      <c r="G312" s="12" t="str">
        <f ca="1">IF($A312="","",IFERROR(SUMIF(INDIRECT("'"&amp;'Template Setup'!$C$4&amp;"'!C:C"),$A312,INDIRECT("'"&amp;'Template Setup'!$C$4&amp;"'!A:A")),0))</f>
        <v/>
      </c>
      <c r="H312" s="12" t="str">
        <f ca="1">IF($A312="","",IFERROR(SUMIF(INDIRECT("'"&amp;'Template Setup'!$C$5&amp;"'!C:C"),$A312,INDIRECT("'"&amp;'Template Setup'!$C$5&amp;"'!A:A")),0))</f>
        <v/>
      </c>
      <c r="I312" s="12" t="str">
        <f ca="1">IF($A312="","",IFERROR(SUMIF(INDIRECT("'"&amp;'Template Setup'!$C$6&amp;"'!C:C"),$A312,INDIRECT("'"&amp;'Template Setup'!$C$6&amp;"'!A:A")),0))</f>
        <v/>
      </c>
      <c r="J312" s="12" t="str">
        <f ca="1">IF($A312="","",IFERROR(SUMIF(INDIRECT("'"&amp;'Template Setup'!$C$7&amp;"'!C:C"),$A312,INDIRECT("'"&amp;'Template Setup'!$C$7&amp;"'!A:A")),0))</f>
        <v/>
      </c>
      <c r="K312" s="12" t="str">
        <f ca="1">IF($A312="","",IFERROR(SUMIF(INDIRECT("'"&amp;'Template Setup'!$C$8&amp;"'!C:C"),$A312,INDIRECT("'"&amp;'Template Setup'!$C$8&amp;"'!A:A")),0))</f>
        <v/>
      </c>
      <c r="L312" s="11" t="str">
        <f>IF($A312="","",IFERROR(VALUE(MID(TRIM('Template Setup'!$C$4),FIND("-",TRIM('Template Setup'!$C$4))+1,10)),0))</f>
        <v/>
      </c>
      <c r="M312" s="11" t="str">
        <f>IF($A312="","",IFERROR(VALUE(MID(TRIM('Template Setup'!$C$5),FIND("-",TRIM('Template Setup'!$C$5))+1,10)),0))</f>
        <v/>
      </c>
      <c r="N312" s="11" t="str">
        <f>IF($A312="","",IFERROR(VALUE(MID(TRIM('Template Setup'!$C$6),FIND("-",TRIM('Template Setup'!$C$6))+1,10)),0))</f>
        <v/>
      </c>
      <c r="O312" s="11" t="str">
        <f>IF($A312="","",IFERROR(VALUE(MID(TRIM('Template Setup'!$C$7),FIND("-",TRIM('Template Setup'!$C$7))+1,10)),0))</f>
        <v/>
      </c>
      <c r="P312" s="11" t="str">
        <f>IF($A312="","",IFERROR(VALUE(MID(TRIM('Template Setup'!$C$8),FIND("-",TRIM('Template Setup'!$C$8))+1,10)),0))</f>
        <v/>
      </c>
      <c r="Q312" s="9" t="str">
        <f>IF($A312="","",$A312&amp;"-"&amp;'Template Setup'!$C$16)</f>
        <v/>
      </c>
      <c r="R312" s="24" t="str">
        <f t="shared" si="17"/>
        <v/>
      </c>
      <c r="S312" s="24"/>
      <c r="T312" s="24" t="str">
        <f t="shared" si="18"/>
        <v/>
      </c>
      <c r="U312" s="6" t="str">
        <f t="shared" si="20"/>
        <v/>
      </c>
    </row>
    <row r="313" spans="1:21">
      <c r="A313" s="11"/>
      <c r="B313" s="11"/>
      <c r="C313" s="11"/>
      <c r="D313" s="11" t="str">
        <f>IF($A313="","",_xlfn.TEXTJOIN(", ",TRUE,IF($G313&gt;0,'Template Setup'!$C$4,""),IF($H313&gt;0,'Template Setup'!$C$5,""),IF($I313&gt;0,'Template Setup'!$C$6,""),IF($J313&gt;0,'Template Setup'!$C$7,""),IF($K313&gt;0,'Template Setup'!$C$8,"")))</f>
        <v/>
      </c>
      <c r="E313" s="6" t="str" cm="1">
        <f t="array" ref="E313">IF($A313="","",_xlfn.LET(_xlpm.sheets,CHOOSE({1,2,3,4,5},'Template Setup'!$C$4,'Template Setup'!$C$5,'Template Setup'!$C$6,'Template Setup'!$C$7,'Template Setup'!$C$8),_xlpm.nums,CHOOSE({1,2,3,4,5},$L313,$M313,$N313,$O313,$P313),_xlpm.qtys,CHOOSE({1,2,3,4,5},$G313,$H313,$I313,$J313,$K313),_xlpm.validNums,_xlfn._xlws.FILTER(_xlpm.nums,_xlpm.qtys&gt;0),_xlpm.validSheets,_xlfn._xlws.FILTER(_xlpm.sheets,_xlpm.qtys&gt;0),_xlpm.mx,IFERROR(MAX(_xlpm.validNums),0),IF(_xlpm.mx=0,"",INDEX(_xlpm.validSheets,MATCH(_xlpm.mx,_xlpm.validNums,0))&amp;" (+"&amp;$R313&amp;")")))</f>
        <v/>
      </c>
      <c r="F313" s="11" t="str">
        <f t="shared" si="19"/>
        <v/>
      </c>
      <c r="G313" s="12" t="str">
        <f ca="1">IF($A313="","",IFERROR(SUMIF(INDIRECT("'"&amp;'Template Setup'!$C$4&amp;"'!C:C"),$A313,INDIRECT("'"&amp;'Template Setup'!$C$4&amp;"'!A:A")),0))</f>
        <v/>
      </c>
      <c r="H313" s="12" t="str">
        <f ca="1">IF($A313="","",IFERROR(SUMIF(INDIRECT("'"&amp;'Template Setup'!$C$5&amp;"'!C:C"),$A313,INDIRECT("'"&amp;'Template Setup'!$C$5&amp;"'!A:A")),0))</f>
        <v/>
      </c>
      <c r="I313" s="12" t="str">
        <f ca="1">IF($A313="","",IFERROR(SUMIF(INDIRECT("'"&amp;'Template Setup'!$C$6&amp;"'!C:C"),$A313,INDIRECT("'"&amp;'Template Setup'!$C$6&amp;"'!A:A")),0))</f>
        <v/>
      </c>
      <c r="J313" s="12" t="str">
        <f ca="1">IF($A313="","",IFERROR(SUMIF(INDIRECT("'"&amp;'Template Setup'!$C$7&amp;"'!C:C"),$A313,INDIRECT("'"&amp;'Template Setup'!$C$7&amp;"'!A:A")),0))</f>
        <v/>
      </c>
      <c r="K313" s="12" t="str">
        <f ca="1">IF($A313="","",IFERROR(SUMIF(INDIRECT("'"&amp;'Template Setup'!$C$8&amp;"'!C:C"),$A313,INDIRECT("'"&amp;'Template Setup'!$C$8&amp;"'!A:A")),0))</f>
        <v/>
      </c>
      <c r="L313" s="11" t="str">
        <f>IF($A313="","",IFERROR(VALUE(MID(TRIM('Template Setup'!$C$4),FIND("-",TRIM('Template Setup'!$C$4))+1,10)),0))</f>
        <v/>
      </c>
      <c r="M313" s="11" t="str">
        <f>IF($A313="","",IFERROR(VALUE(MID(TRIM('Template Setup'!$C$5),FIND("-",TRIM('Template Setup'!$C$5))+1,10)),0))</f>
        <v/>
      </c>
      <c r="N313" s="11" t="str">
        <f>IF($A313="","",IFERROR(VALUE(MID(TRIM('Template Setup'!$C$6),FIND("-",TRIM('Template Setup'!$C$6))+1,10)),0))</f>
        <v/>
      </c>
      <c r="O313" s="11" t="str">
        <f>IF($A313="","",IFERROR(VALUE(MID(TRIM('Template Setup'!$C$7),FIND("-",TRIM('Template Setup'!$C$7))+1,10)),0))</f>
        <v/>
      </c>
      <c r="P313" s="11" t="str">
        <f>IF($A313="","",IFERROR(VALUE(MID(TRIM('Template Setup'!$C$8),FIND("-",TRIM('Template Setup'!$C$8))+1,10)),0))</f>
        <v/>
      </c>
      <c r="Q313" s="9" t="str">
        <f>IF($A313="","",$A313&amp;"-"&amp;'Template Setup'!$C$16)</f>
        <v/>
      </c>
      <c r="R313" s="24" t="str">
        <f t="shared" si="17"/>
        <v/>
      </c>
      <c r="S313" s="24"/>
      <c r="T313" s="24" t="str">
        <f t="shared" si="18"/>
        <v/>
      </c>
      <c r="U313" s="6" t="str">
        <f t="shared" si="20"/>
        <v/>
      </c>
    </row>
    <row r="314" spans="1:21">
      <c r="A314" s="11"/>
      <c r="B314" s="11"/>
      <c r="C314" s="11"/>
      <c r="D314" s="11" t="str">
        <f>IF($A314="","",_xlfn.TEXTJOIN(", ",TRUE,IF($G314&gt;0,'Template Setup'!$C$4,""),IF($H314&gt;0,'Template Setup'!$C$5,""),IF($I314&gt;0,'Template Setup'!$C$6,""),IF($J314&gt;0,'Template Setup'!$C$7,""),IF($K314&gt;0,'Template Setup'!$C$8,"")))</f>
        <v/>
      </c>
      <c r="E314" s="6" t="str" cm="1">
        <f t="array" ref="E314">IF($A314="","",_xlfn.LET(_xlpm.sheets,CHOOSE({1,2,3,4,5},'Template Setup'!$C$4,'Template Setup'!$C$5,'Template Setup'!$C$6,'Template Setup'!$C$7,'Template Setup'!$C$8),_xlpm.nums,CHOOSE({1,2,3,4,5},$L314,$M314,$N314,$O314,$P314),_xlpm.qtys,CHOOSE({1,2,3,4,5},$G314,$H314,$I314,$J314,$K314),_xlpm.validNums,_xlfn._xlws.FILTER(_xlpm.nums,_xlpm.qtys&gt;0),_xlpm.validSheets,_xlfn._xlws.FILTER(_xlpm.sheets,_xlpm.qtys&gt;0),_xlpm.mx,IFERROR(MAX(_xlpm.validNums),0),IF(_xlpm.mx=0,"",INDEX(_xlpm.validSheets,MATCH(_xlpm.mx,_xlpm.validNums,0))&amp;" (+"&amp;$R314&amp;")")))</f>
        <v/>
      </c>
      <c r="F314" s="11" t="str">
        <f t="shared" si="19"/>
        <v/>
      </c>
      <c r="G314" s="12" t="str">
        <f ca="1">IF($A314="","",IFERROR(SUMIF(INDIRECT("'"&amp;'Template Setup'!$C$4&amp;"'!C:C"),$A314,INDIRECT("'"&amp;'Template Setup'!$C$4&amp;"'!A:A")),0))</f>
        <v/>
      </c>
      <c r="H314" s="12" t="str">
        <f ca="1">IF($A314="","",IFERROR(SUMIF(INDIRECT("'"&amp;'Template Setup'!$C$5&amp;"'!C:C"),$A314,INDIRECT("'"&amp;'Template Setup'!$C$5&amp;"'!A:A")),0))</f>
        <v/>
      </c>
      <c r="I314" s="12" t="str">
        <f ca="1">IF($A314="","",IFERROR(SUMIF(INDIRECT("'"&amp;'Template Setup'!$C$6&amp;"'!C:C"),$A314,INDIRECT("'"&amp;'Template Setup'!$C$6&amp;"'!A:A")),0))</f>
        <v/>
      </c>
      <c r="J314" s="12" t="str">
        <f ca="1">IF($A314="","",IFERROR(SUMIF(INDIRECT("'"&amp;'Template Setup'!$C$7&amp;"'!C:C"),$A314,INDIRECT("'"&amp;'Template Setup'!$C$7&amp;"'!A:A")),0))</f>
        <v/>
      </c>
      <c r="K314" s="12" t="str">
        <f ca="1">IF($A314="","",IFERROR(SUMIF(INDIRECT("'"&amp;'Template Setup'!$C$8&amp;"'!C:C"),$A314,INDIRECT("'"&amp;'Template Setup'!$C$8&amp;"'!A:A")),0))</f>
        <v/>
      </c>
      <c r="L314" s="11" t="str">
        <f>IF($A314="","",IFERROR(VALUE(MID(TRIM('Template Setup'!$C$4),FIND("-",TRIM('Template Setup'!$C$4))+1,10)),0))</f>
        <v/>
      </c>
      <c r="M314" s="11" t="str">
        <f>IF($A314="","",IFERROR(VALUE(MID(TRIM('Template Setup'!$C$5),FIND("-",TRIM('Template Setup'!$C$5))+1,10)),0))</f>
        <v/>
      </c>
      <c r="N314" s="11" t="str">
        <f>IF($A314="","",IFERROR(VALUE(MID(TRIM('Template Setup'!$C$6),FIND("-",TRIM('Template Setup'!$C$6))+1,10)),0))</f>
        <v/>
      </c>
      <c r="O314" s="11" t="str">
        <f>IF($A314="","",IFERROR(VALUE(MID(TRIM('Template Setup'!$C$7),FIND("-",TRIM('Template Setup'!$C$7))+1,10)),0))</f>
        <v/>
      </c>
      <c r="P314" s="11" t="str">
        <f>IF($A314="","",IFERROR(VALUE(MID(TRIM('Template Setup'!$C$8),FIND("-",TRIM('Template Setup'!$C$8))+1,10)),0))</f>
        <v/>
      </c>
      <c r="Q314" s="9" t="str">
        <f>IF($A314="","",$A314&amp;"-"&amp;'Template Setup'!$C$16)</f>
        <v/>
      </c>
      <c r="R314" s="24" t="str">
        <f t="shared" si="17"/>
        <v/>
      </c>
      <c r="S314" s="24"/>
      <c r="T314" s="24" t="str">
        <f t="shared" si="18"/>
        <v/>
      </c>
      <c r="U314" s="6" t="str">
        <f t="shared" si="20"/>
        <v/>
      </c>
    </row>
    <row r="315" spans="1:21">
      <c r="A315" s="11"/>
      <c r="B315" s="11"/>
      <c r="C315" s="11"/>
      <c r="D315" s="11" t="str">
        <f>IF($A315="","",_xlfn.TEXTJOIN(", ",TRUE,IF($G315&gt;0,'Template Setup'!$C$4,""),IF($H315&gt;0,'Template Setup'!$C$5,""),IF($I315&gt;0,'Template Setup'!$C$6,""),IF($J315&gt;0,'Template Setup'!$C$7,""),IF($K315&gt;0,'Template Setup'!$C$8,"")))</f>
        <v/>
      </c>
      <c r="E315" s="6" t="str" cm="1">
        <f t="array" ref="E315">IF($A315="","",_xlfn.LET(_xlpm.sheets,CHOOSE({1,2,3,4,5},'Template Setup'!$C$4,'Template Setup'!$C$5,'Template Setup'!$C$6,'Template Setup'!$C$7,'Template Setup'!$C$8),_xlpm.nums,CHOOSE({1,2,3,4,5},$L315,$M315,$N315,$O315,$P315),_xlpm.qtys,CHOOSE({1,2,3,4,5},$G315,$H315,$I315,$J315,$K315),_xlpm.validNums,_xlfn._xlws.FILTER(_xlpm.nums,_xlpm.qtys&gt;0),_xlpm.validSheets,_xlfn._xlws.FILTER(_xlpm.sheets,_xlpm.qtys&gt;0),_xlpm.mx,IFERROR(MAX(_xlpm.validNums),0),IF(_xlpm.mx=0,"",INDEX(_xlpm.validSheets,MATCH(_xlpm.mx,_xlpm.validNums,0))&amp;" (+"&amp;$R315&amp;")")))</f>
        <v/>
      </c>
      <c r="F315" s="11" t="str">
        <f t="shared" si="19"/>
        <v/>
      </c>
      <c r="G315" s="12" t="str">
        <f ca="1">IF($A315="","",IFERROR(SUMIF(INDIRECT("'"&amp;'Template Setup'!$C$4&amp;"'!C:C"),$A315,INDIRECT("'"&amp;'Template Setup'!$C$4&amp;"'!A:A")),0))</f>
        <v/>
      </c>
      <c r="H315" s="12" t="str">
        <f ca="1">IF($A315="","",IFERROR(SUMIF(INDIRECT("'"&amp;'Template Setup'!$C$5&amp;"'!C:C"),$A315,INDIRECT("'"&amp;'Template Setup'!$C$5&amp;"'!A:A")),0))</f>
        <v/>
      </c>
      <c r="I315" s="12" t="str">
        <f ca="1">IF($A315="","",IFERROR(SUMIF(INDIRECT("'"&amp;'Template Setup'!$C$6&amp;"'!C:C"),$A315,INDIRECT("'"&amp;'Template Setup'!$C$6&amp;"'!A:A")),0))</f>
        <v/>
      </c>
      <c r="J315" s="12" t="str">
        <f ca="1">IF($A315="","",IFERROR(SUMIF(INDIRECT("'"&amp;'Template Setup'!$C$7&amp;"'!C:C"),$A315,INDIRECT("'"&amp;'Template Setup'!$C$7&amp;"'!A:A")),0))</f>
        <v/>
      </c>
      <c r="K315" s="12" t="str">
        <f ca="1">IF($A315="","",IFERROR(SUMIF(INDIRECT("'"&amp;'Template Setup'!$C$8&amp;"'!C:C"),$A315,INDIRECT("'"&amp;'Template Setup'!$C$8&amp;"'!A:A")),0))</f>
        <v/>
      </c>
      <c r="L315" s="11" t="str">
        <f>IF($A315="","",IFERROR(VALUE(MID(TRIM('Template Setup'!$C$4),FIND("-",TRIM('Template Setup'!$C$4))+1,10)),0))</f>
        <v/>
      </c>
      <c r="M315" s="11" t="str">
        <f>IF($A315="","",IFERROR(VALUE(MID(TRIM('Template Setup'!$C$5),FIND("-",TRIM('Template Setup'!$C$5))+1,10)),0))</f>
        <v/>
      </c>
      <c r="N315" s="11" t="str">
        <f>IF($A315="","",IFERROR(VALUE(MID(TRIM('Template Setup'!$C$6),FIND("-",TRIM('Template Setup'!$C$6))+1,10)),0))</f>
        <v/>
      </c>
      <c r="O315" s="11" t="str">
        <f>IF($A315="","",IFERROR(VALUE(MID(TRIM('Template Setup'!$C$7),FIND("-",TRIM('Template Setup'!$C$7))+1,10)),0))</f>
        <v/>
      </c>
      <c r="P315" s="11" t="str">
        <f>IF($A315="","",IFERROR(VALUE(MID(TRIM('Template Setup'!$C$8),FIND("-",TRIM('Template Setup'!$C$8))+1,10)),0))</f>
        <v/>
      </c>
      <c r="Q315" s="9" t="str">
        <f>IF($A315="","",$A315&amp;"-"&amp;'Template Setup'!$C$16)</f>
        <v/>
      </c>
      <c r="R315" s="24" t="str">
        <f t="shared" si="17"/>
        <v/>
      </c>
      <c r="S315" s="24"/>
      <c r="T315" s="24" t="str">
        <f t="shared" si="18"/>
        <v/>
      </c>
      <c r="U315" s="6" t="str">
        <f t="shared" si="20"/>
        <v/>
      </c>
    </row>
    <row r="316" spans="1:21">
      <c r="A316" s="11"/>
      <c r="B316" s="11"/>
      <c r="C316" s="11"/>
      <c r="D316" s="11" t="str">
        <f>IF($A316="","",_xlfn.TEXTJOIN(", ",TRUE,IF($G316&gt;0,'Template Setup'!$C$4,""),IF($H316&gt;0,'Template Setup'!$C$5,""),IF($I316&gt;0,'Template Setup'!$C$6,""),IF($J316&gt;0,'Template Setup'!$C$7,""),IF($K316&gt;0,'Template Setup'!$C$8,"")))</f>
        <v/>
      </c>
      <c r="E316" s="6" t="str" cm="1">
        <f t="array" ref="E316">IF($A316="","",_xlfn.LET(_xlpm.sheets,CHOOSE({1,2,3,4,5},'Template Setup'!$C$4,'Template Setup'!$C$5,'Template Setup'!$C$6,'Template Setup'!$C$7,'Template Setup'!$C$8),_xlpm.nums,CHOOSE({1,2,3,4,5},$L316,$M316,$N316,$O316,$P316),_xlpm.qtys,CHOOSE({1,2,3,4,5},$G316,$H316,$I316,$J316,$K316),_xlpm.validNums,_xlfn._xlws.FILTER(_xlpm.nums,_xlpm.qtys&gt;0),_xlpm.validSheets,_xlfn._xlws.FILTER(_xlpm.sheets,_xlpm.qtys&gt;0),_xlpm.mx,IFERROR(MAX(_xlpm.validNums),0),IF(_xlpm.mx=0,"",INDEX(_xlpm.validSheets,MATCH(_xlpm.mx,_xlpm.validNums,0))&amp;" (+"&amp;$R316&amp;")")))</f>
        <v/>
      </c>
      <c r="F316" s="11" t="str">
        <f t="shared" si="19"/>
        <v/>
      </c>
      <c r="G316" s="12" t="str">
        <f ca="1">IF($A316="","",IFERROR(SUMIF(INDIRECT("'"&amp;'Template Setup'!$C$4&amp;"'!C:C"),$A316,INDIRECT("'"&amp;'Template Setup'!$C$4&amp;"'!A:A")),0))</f>
        <v/>
      </c>
      <c r="H316" s="12" t="str">
        <f ca="1">IF($A316="","",IFERROR(SUMIF(INDIRECT("'"&amp;'Template Setup'!$C$5&amp;"'!C:C"),$A316,INDIRECT("'"&amp;'Template Setup'!$C$5&amp;"'!A:A")),0))</f>
        <v/>
      </c>
      <c r="I316" s="12" t="str">
        <f ca="1">IF($A316="","",IFERROR(SUMIF(INDIRECT("'"&amp;'Template Setup'!$C$6&amp;"'!C:C"),$A316,INDIRECT("'"&amp;'Template Setup'!$C$6&amp;"'!A:A")),0))</f>
        <v/>
      </c>
      <c r="J316" s="12" t="str">
        <f ca="1">IF($A316="","",IFERROR(SUMIF(INDIRECT("'"&amp;'Template Setup'!$C$7&amp;"'!C:C"),$A316,INDIRECT("'"&amp;'Template Setup'!$C$7&amp;"'!A:A")),0))</f>
        <v/>
      </c>
      <c r="K316" s="12" t="str">
        <f ca="1">IF($A316="","",IFERROR(SUMIF(INDIRECT("'"&amp;'Template Setup'!$C$8&amp;"'!C:C"),$A316,INDIRECT("'"&amp;'Template Setup'!$C$8&amp;"'!A:A")),0))</f>
        <v/>
      </c>
      <c r="L316" s="11" t="str">
        <f>IF($A316="","",IFERROR(VALUE(MID(TRIM('Template Setup'!$C$4),FIND("-",TRIM('Template Setup'!$C$4))+1,10)),0))</f>
        <v/>
      </c>
      <c r="M316" s="11" t="str">
        <f>IF($A316="","",IFERROR(VALUE(MID(TRIM('Template Setup'!$C$5),FIND("-",TRIM('Template Setup'!$C$5))+1,10)),0))</f>
        <v/>
      </c>
      <c r="N316" s="11" t="str">
        <f>IF($A316="","",IFERROR(VALUE(MID(TRIM('Template Setup'!$C$6),FIND("-",TRIM('Template Setup'!$C$6))+1,10)),0))</f>
        <v/>
      </c>
      <c r="O316" s="11" t="str">
        <f>IF($A316="","",IFERROR(VALUE(MID(TRIM('Template Setup'!$C$7),FIND("-",TRIM('Template Setup'!$C$7))+1,10)),0))</f>
        <v/>
      </c>
      <c r="P316" s="11" t="str">
        <f>IF($A316="","",IFERROR(VALUE(MID(TRIM('Template Setup'!$C$8),FIND("-",TRIM('Template Setup'!$C$8))+1,10)),0))</f>
        <v/>
      </c>
      <c r="Q316" s="9" t="str">
        <f>IF($A316="","",$A316&amp;"-"&amp;'Template Setup'!$C$16)</f>
        <v/>
      </c>
      <c r="R316" s="24" t="str">
        <f t="shared" si="17"/>
        <v/>
      </c>
      <c r="S316" s="24"/>
      <c r="T316" s="24" t="str">
        <f t="shared" si="18"/>
        <v/>
      </c>
      <c r="U316" s="6" t="str">
        <f t="shared" si="20"/>
        <v/>
      </c>
    </row>
    <row r="317" spans="1:21">
      <c r="A317" s="11"/>
      <c r="B317" s="11"/>
      <c r="C317" s="11"/>
      <c r="D317" s="11" t="str">
        <f>IF($A317="","",_xlfn.TEXTJOIN(", ",TRUE,IF($G317&gt;0,'Template Setup'!$C$4,""),IF($H317&gt;0,'Template Setup'!$C$5,""),IF($I317&gt;0,'Template Setup'!$C$6,""),IF($J317&gt;0,'Template Setup'!$C$7,""),IF($K317&gt;0,'Template Setup'!$C$8,"")))</f>
        <v/>
      </c>
      <c r="E317" s="6" t="str" cm="1">
        <f t="array" ref="E317">IF($A317="","",_xlfn.LET(_xlpm.sheets,CHOOSE({1,2,3,4,5},'Template Setup'!$C$4,'Template Setup'!$C$5,'Template Setup'!$C$6,'Template Setup'!$C$7,'Template Setup'!$C$8),_xlpm.nums,CHOOSE({1,2,3,4,5},$L317,$M317,$N317,$O317,$P317),_xlpm.qtys,CHOOSE({1,2,3,4,5},$G317,$H317,$I317,$J317,$K317),_xlpm.validNums,_xlfn._xlws.FILTER(_xlpm.nums,_xlpm.qtys&gt;0),_xlpm.validSheets,_xlfn._xlws.FILTER(_xlpm.sheets,_xlpm.qtys&gt;0),_xlpm.mx,IFERROR(MAX(_xlpm.validNums),0),IF(_xlpm.mx=0,"",INDEX(_xlpm.validSheets,MATCH(_xlpm.mx,_xlpm.validNums,0))&amp;" (+"&amp;$R317&amp;")")))</f>
        <v/>
      </c>
      <c r="F317" s="11" t="str">
        <f t="shared" si="19"/>
        <v/>
      </c>
      <c r="G317" s="12" t="str">
        <f ca="1">IF($A317="","",IFERROR(SUMIF(INDIRECT("'"&amp;'Template Setup'!$C$4&amp;"'!C:C"),$A317,INDIRECT("'"&amp;'Template Setup'!$C$4&amp;"'!A:A")),0))</f>
        <v/>
      </c>
      <c r="H317" s="12" t="str">
        <f ca="1">IF($A317="","",IFERROR(SUMIF(INDIRECT("'"&amp;'Template Setup'!$C$5&amp;"'!C:C"),$A317,INDIRECT("'"&amp;'Template Setup'!$C$5&amp;"'!A:A")),0))</f>
        <v/>
      </c>
      <c r="I317" s="12" t="str">
        <f ca="1">IF($A317="","",IFERROR(SUMIF(INDIRECT("'"&amp;'Template Setup'!$C$6&amp;"'!C:C"),$A317,INDIRECT("'"&amp;'Template Setup'!$C$6&amp;"'!A:A")),0))</f>
        <v/>
      </c>
      <c r="J317" s="12" t="str">
        <f ca="1">IF($A317="","",IFERROR(SUMIF(INDIRECT("'"&amp;'Template Setup'!$C$7&amp;"'!C:C"),$A317,INDIRECT("'"&amp;'Template Setup'!$C$7&amp;"'!A:A")),0))</f>
        <v/>
      </c>
      <c r="K317" s="12" t="str">
        <f ca="1">IF($A317="","",IFERROR(SUMIF(INDIRECT("'"&amp;'Template Setup'!$C$8&amp;"'!C:C"),$A317,INDIRECT("'"&amp;'Template Setup'!$C$8&amp;"'!A:A")),0))</f>
        <v/>
      </c>
      <c r="L317" s="11" t="str">
        <f>IF($A317="","",IFERROR(VALUE(MID(TRIM('Template Setup'!$C$4),FIND("-",TRIM('Template Setup'!$C$4))+1,10)),0))</f>
        <v/>
      </c>
      <c r="M317" s="11" t="str">
        <f>IF($A317="","",IFERROR(VALUE(MID(TRIM('Template Setup'!$C$5),FIND("-",TRIM('Template Setup'!$C$5))+1,10)),0))</f>
        <v/>
      </c>
      <c r="N317" s="11" t="str">
        <f>IF($A317="","",IFERROR(VALUE(MID(TRIM('Template Setup'!$C$6),FIND("-",TRIM('Template Setup'!$C$6))+1,10)),0))</f>
        <v/>
      </c>
      <c r="O317" s="11" t="str">
        <f>IF($A317="","",IFERROR(VALUE(MID(TRIM('Template Setup'!$C$7),FIND("-",TRIM('Template Setup'!$C$7))+1,10)),0))</f>
        <v/>
      </c>
      <c r="P317" s="11" t="str">
        <f>IF($A317="","",IFERROR(VALUE(MID(TRIM('Template Setup'!$C$8),FIND("-",TRIM('Template Setup'!$C$8))+1,10)),0))</f>
        <v/>
      </c>
      <c r="Q317" s="9" t="str">
        <f>IF($A317="","",$A317&amp;"-"&amp;'Template Setup'!$C$16)</f>
        <v/>
      </c>
      <c r="R317" s="24" t="str">
        <f t="shared" si="17"/>
        <v/>
      </c>
      <c r="S317" s="24"/>
      <c r="T317" s="24" t="str">
        <f t="shared" si="18"/>
        <v/>
      </c>
      <c r="U317" s="6" t="str">
        <f t="shared" si="20"/>
        <v/>
      </c>
    </row>
    <row r="318" spans="1:21">
      <c r="A318" s="11"/>
      <c r="B318" s="11"/>
      <c r="C318" s="11"/>
      <c r="D318" s="11" t="str">
        <f>IF($A318="","",_xlfn.TEXTJOIN(", ",TRUE,IF($G318&gt;0,'Template Setup'!$C$4,""),IF($H318&gt;0,'Template Setup'!$C$5,""),IF($I318&gt;0,'Template Setup'!$C$6,""),IF($J318&gt;0,'Template Setup'!$C$7,""),IF($K318&gt;0,'Template Setup'!$C$8,"")))</f>
        <v/>
      </c>
      <c r="E318" s="6" t="str" cm="1">
        <f t="array" ref="E318">IF($A318="","",_xlfn.LET(_xlpm.sheets,CHOOSE({1,2,3,4,5},'Template Setup'!$C$4,'Template Setup'!$C$5,'Template Setup'!$C$6,'Template Setup'!$C$7,'Template Setup'!$C$8),_xlpm.nums,CHOOSE({1,2,3,4,5},$L318,$M318,$N318,$O318,$P318),_xlpm.qtys,CHOOSE({1,2,3,4,5},$G318,$H318,$I318,$J318,$K318),_xlpm.validNums,_xlfn._xlws.FILTER(_xlpm.nums,_xlpm.qtys&gt;0),_xlpm.validSheets,_xlfn._xlws.FILTER(_xlpm.sheets,_xlpm.qtys&gt;0),_xlpm.mx,IFERROR(MAX(_xlpm.validNums),0),IF(_xlpm.mx=0,"",INDEX(_xlpm.validSheets,MATCH(_xlpm.mx,_xlpm.validNums,0))&amp;" (+"&amp;$R318&amp;")")))</f>
        <v/>
      </c>
      <c r="F318" s="11" t="str">
        <f t="shared" si="19"/>
        <v/>
      </c>
      <c r="G318" s="12" t="str">
        <f ca="1">IF($A318="","",IFERROR(SUMIF(INDIRECT("'"&amp;'Template Setup'!$C$4&amp;"'!C:C"),$A318,INDIRECT("'"&amp;'Template Setup'!$C$4&amp;"'!A:A")),0))</f>
        <v/>
      </c>
      <c r="H318" s="12" t="str">
        <f ca="1">IF($A318="","",IFERROR(SUMIF(INDIRECT("'"&amp;'Template Setup'!$C$5&amp;"'!C:C"),$A318,INDIRECT("'"&amp;'Template Setup'!$C$5&amp;"'!A:A")),0))</f>
        <v/>
      </c>
      <c r="I318" s="12" t="str">
        <f ca="1">IF($A318="","",IFERROR(SUMIF(INDIRECT("'"&amp;'Template Setup'!$C$6&amp;"'!C:C"),$A318,INDIRECT("'"&amp;'Template Setup'!$C$6&amp;"'!A:A")),0))</f>
        <v/>
      </c>
      <c r="J318" s="12" t="str">
        <f ca="1">IF($A318="","",IFERROR(SUMIF(INDIRECT("'"&amp;'Template Setup'!$C$7&amp;"'!C:C"),$A318,INDIRECT("'"&amp;'Template Setup'!$C$7&amp;"'!A:A")),0))</f>
        <v/>
      </c>
      <c r="K318" s="12" t="str">
        <f ca="1">IF($A318="","",IFERROR(SUMIF(INDIRECT("'"&amp;'Template Setup'!$C$8&amp;"'!C:C"),$A318,INDIRECT("'"&amp;'Template Setup'!$C$8&amp;"'!A:A")),0))</f>
        <v/>
      </c>
      <c r="L318" s="11" t="str">
        <f>IF($A318="","",IFERROR(VALUE(MID(TRIM('Template Setup'!$C$4),FIND("-",TRIM('Template Setup'!$C$4))+1,10)),0))</f>
        <v/>
      </c>
      <c r="M318" s="11" t="str">
        <f>IF($A318="","",IFERROR(VALUE(MID(TRIM('Template Setup'!$C$5),FIND("-",TRIM('Template Setup'!$C$5))+1,10)),0))</f>
        <v/>
      </c>
      <c r="N318" s="11" t="str">
        <f>IF($A318="","",IFERROR(VALUE(MID(TRIM('Template Setup'!$C$6),FIND("-",TRIM('Template Setup'!$C$6))+1,10)),0))</f>
        <v/>
      </c>
      <c r="O318" s="11" t="str">
        <f>IF($A318="","",IFERROR(VALUE(MID(TRIM('Template Setup'!$C$7),FIND("-",TRIM('Template Setup'!$C$7))+1,10)),0))</f>
        <v/>
      </c>
      <c r="P318" s="11" t="str">
        <f>IF($A318="","",IFERROR(VALUE(MID(TRIM('Template Setup'!$C$8),FIND("-",TRIM('Template Setup'!$C$8))+1,10)),0))</f>
        <v/>
      </c>
      <c r="Q318" s="9" t="str">
        <f>IF($A318="","",$A318&amp;"-"&amp;'Template Setup'!$C$16)</f>
        <v/>
      </c>
      <c r="R318" s="24" t="str">
        <f t="shared" si="17"/>
        <v/>
      </c>
      <c r="S318" s="24"/>
      <c r="T318" s="24" t="str">
        <f t="shared" si="18"/>
        <v/>
      </c>
      <c r="U318" s="6" t="str">
        <f t="shared" si="20"/>
        <v/>
      </c>
    </row>
    <row r="319" spans="1:21">
      <c r="A319" s="11"/>
      <c r="B319" s="11"/>
      <c r="C319" s="11"/>
      <c r="D319" s="11" t="str">
        <f>IF($A319="","",_xlfn.TEXTJOIN(", ",TRUE,IF($G319&gt;0,'Template Setup'!$C$4,""),IF($H319&gt;0,'Template Setup'!$C$5,""),IF($I319&gt;0,'Template Setup'!$C$6,""),IF($J319&gt;0,'Template Setup'!$C$7,""),IF($K319&gt;0,'Template Setup'!$C$8,"")))</f>
        <v/>
      </c>
      <c r="E319" s="6" t="str" cm="1">
        <f t="array" ref="E319">IF($A319="","",_xlfn.LET(_xlpm.sheets,CHOOSE({1,2,3,4,5},'Template Setup'!$C$4,'Template Setup'!$C$5,'Template Setup'!$C$6,'Template Setup'!$C$7,'Template Setup'!$C$8),_xlpm.nums,CHOOSE({1,2,3,4,5},$L319,$M319,$N319,$O319,$P319),_xlpm.qtys,CHOOSE({1,2,3,4,5},$G319,$H319,$I319,$J319,$K319),_xlpm.validNums,_xlfn._xlws.FILTER(_xlpm.nums,_xlpm.qtys&gt;0),_xlpm.validSheets,_xlfn._xlws.FILTER(_xlpm.sheets,_xlpm.qtys&gt;0),_xlpm.mx,IFERROR(MAX(_xlpm.validNums),0),IF(_xlpm.mx=0,"",INDEX(_xlpm.validSheets,MATCH(_xlpm.mx,_xlpm.validNums,0))&amp;" (+"&amp;$R319&amp;")")))</f>
        <v/>
      </c>
      <c r="F319" s="11" t="str">
        <f t="shared" si="19"/>
        <v/>
      </c>
      <c r="G319" s="12" t="str">
        <f ca="1">IF($A319="","",IFERROR(SUMIF(INDIRECT("'"&amp;'Template Setup'!$C$4&amp;"'!C:C"),$A319,INDIRECT("'"&amp;'Template Setup'!$C$4&amp;"'!A:A")),0))</f>
        <v/>
      </c>
      <c r="H319" s="12" t="str">
        <f ca="1">IF($A319="","",IFERROR(SUMIF(INDIRECT("'"&amp;'Template Setup'!$C$5&amp;"'!C:C"),$A319,INDIRECT("'"&amp;'Template Setup'!$C$5&amp;"'!A:A")),0))</f>
        <v/>
      </c>
      <c r="I319" s="12" t="str">
        <f ca="1">IF($A319="","",IFERROR(SUMIF(INDIRECT("'"&amp;'Template Setup'!$C$6&amp;"'!C:C"),$A319,INDIRECT("'"&amp;'Template Setup'!$C$6&amp;"'!A:A")),0))</f>
        <v/>
      </c>
      <c r="J319" s="12" t="str">
        <f ca="1">IF($A319="","",IFERROR(SUMIF(INDIRECT("'"&amp;'Template Setup'!$C$7&amp;"'!C:C"),$A319,INDIRECT("'"&amp;'Template Setup'!$C$7&amp;"'!A:A")),0))</f>
        <v/>
      </c>
      <c r="K319" s="12" t="str">
        <f ca="1">IF($A319="","",IFERROR(SUMIF(INDIRECT("'"&amp;'Template Setup'!$C$8&amp;"'!C:C"),$A319,INDIRECT("'"&amp;'Template Setup'!$C$8&amp;"'!A:A")),0))</f>
        <v/>
      </c>
      <c r="L319" s="11" t="str">
        <f>IF($A319="","",IFERROR(VALUE(MID(TRIM('Template Setup'!$C$4),FIND("-",TRIM('Template Setup'!$C$4))+1,10)),0))</f>
        <v/>
      </c>
      <c r="M319" s="11" t="str">
        <f>IF($A319="","",IFERROR(VALUE(MID(TRIM('Template Setup'!$C$5),FIND("-",TRIM('Template Setup'!$C$5))+1,10)),0))</f>
        <v/>
      </c>
      <c r="N319" s="11" t="str">
        <f>IF($A319="","",IFERROR(VALUE(MID(TRIM('Template Setup'!$C$6),FIND("-",TRIM('Template Setup'!$C$6))+1,10)),0))</f>
        <v/>
      </c>
      <c r="O319" s="11" t="str">
        <f>IF($A319="","",IFERROR(VALUE(MID(TRIM('Template Setup'!$C$7),FIND("-",TRIM('Template Setup'!$C$7))+1,10)),0))</f>
        <v/>
      </c>
      <c r="P319" s="11" t="str">
        <f>IF($A319="","",IFERROR(VALUE(MID(TRIM('Template Setup'!$C$8),FIND("-",TRIM('Template Setup'!$C$8))+1,10)),0))</f>
        <v/>
      </c>
      <c r="Q319" s="9" t="str">
        <f>IF($A319="","",$A319&amp;"-"&amp;'Template Setup'!$C$16)</f>
        <v/>
      </c>
      <c r="R319" s="24" t="str">
        <f t="shared" si="17"/>
        <v/>
      </c>
      <c r="S319" s="24"/>
      <c r="T319" s="24" t="str">
        <f t="shared" si="18"/>
        <v/>
      </c>
      <c r="U319" s="6" t="str">
        <f t="shared" si="20"/>
        <v/>
      </c>
    </row>
    <row r="320" spans="1:21">
      <c r="A320" s="11"/>
      <c r="B320" s="11"/>
      <c r="C320" s="11"/>
      <c r="D320" s="11" t="str">
        <f>IF($A320="","",_xlfn.TEXTJOIN(", ",TRUE,IF($G320&gt;0,'Template Setup'!$C$4,""),IF($H320&gt;0,'Template Setup'!$C$5,""),IF($I320&gt;0,'Template Setup'!$C$6,""),IF($J320&gt;0,'Template Setup'!$C$7,""),IF($K320&gt;0,'Template Setup'!$C$8,"")))</f>
        <v/>
      </c>
      <c r="E320" s="6" t="str" cm="1">
        <f t="array" ref="E320">IF($A320="","",_xlfn.LET(_xlpm.sheets,CHOOSE({1,2,3,4,5},'Template Setup'!$C$4,'Template Setup'!$C$5,'Template Setup'!$C$6,'Template Setup'!$C$7,'Template Setup'!$C$8),_xlpm.nums,CHOOSE({1,2,3,4,5},$L320,$M320,$N320,$O320,$P320),_xlpm.qtys,CHOOSE({1,2,3,4,5},$G320,$H320,$I320,$J320,$K320),_xlpm.validNums,_xlfn._xlws.FILTER(_xlpm.nums,_xlpm.qtys&gt;0),_xlpm.validSheets,_xlfn._xlws.FILTER(_xlpm.sheets,_xlpm.qtys&gt;0),_xlpm.mx,IFERROR(MAX(_xlpm.validNums),0),IF(_xlpm.mx=0,"",INDEX(_xlpm.validSheets,MATCH(_xlpm.mx,_xlpm.validNums,0))&amp;" (+"&amp;$R320&amp;")")))</f>
        <v/>
      </c>
      <c r="F320" s="11" t="str">
        <f t="shared" si="19"/>
        <v/>
      </c>
      <c r="G320" s="12" t="str">
        <f ca="1">IF($A320="","",IFERROR(SUMIF(INDIRECT("'"&amp;'Template Setup'!$C$4&amp;"'!C:C"),$A320,INDIRECT("'"&amp;'Template Setup'!$C$4&amp;"'!A:A")),0))</f>
        <v/>
      </c>
      <c r="H320" s="12" t="str">
        <f ca="1">IF($A320="","",IFERROR(SUMIF(INDIRECT("'"&amp;'Template Setup'!$C$5&amp;"'!C:C"),$A320,INDIRECT("'"&amp;'Template Setup'!$C$5&amp;"'!A:A")),0))</f>
        <v/>
      </c>
      <c r="I320" s="12" t="str">
        <f ca="1">IF($A320="","",IFERROR(SUMIF(INDIRECT("'"&amp;'Template Setup'!$C$6&amp;"'!C:C"),$A320,INDIRECT("'"&amp;'Template Setup'!$C$6&amp;"'!A:A")),0))</f>
        <v/>
      </c>
      <c r="J320" s="12" t="str">
        <f ca="1">IF($A320="","",IFERROR(SUMIF(INDIRECT("'"&amp;'Template Setup'!$C$7&amp;"'!C:C"),$A320,INDIRECT("'"&amp;'Template Setup'!$C$7&amp;"'!A:A")),0))</f>
        <v/>
      </c>
      <c r="K320" s="12" t="str">
        <f ca="1">IF($A320="","",IFERROR(SUMIF(INDIRECT("'"&amp;'Template Setup'!$C$8&amp;"'!C:C"),$A320,INDIRECT("'"&amp;'Template Setup'!$C$8&amp;"'!A:A")),0))</f>
        <v/>
      </c>
      <c r="L320" s="11" t="str">
        <f>IF($A320="","",IFERROR(VALUE(MID(TRIM('Template Setup'!$C$4),FIND("-",TRIM('Template Setup'!$C$4))+1,10)),0))</f>
        <v/>
      </c>
      <c r="M320" s="11" t="str">
        <f>IF($A320="","",IFERROR(VALUE(MID(TRIM('Template Setup'!$C$5),FIND("-",TRIM('Template Setup'!$C$5))+1,10)),0))</f>
        <v/>
      </c>
      <c r="N320" s="11" t="str">
        <f>IF($A320="","",IFERROR(VALUE(MID(TRIM('Template Setup'!$C$6),FIND("-",TRIM('Template Setup'!$C$6))+1,10)),0))</f>
        <v/>
      </c>
      <c r="O320" s="11" t="str">
        <f>IF($A320="","",IFERROR(VALUE(MID(TRIM('Template Setup'!$C$7),FIND("-",TRIM('Template Setup'!$C$7))+1,10)),0))</f>
        <v/>
      </c>
      <c r="P320" s="11" t="str">
        <f>IF($A320="","",IFERROR(VALUE(MID(TRIM('Template Setup'!$C$8),FIND("-",TRIM('Template Setup'!$C$8))+1,10)),0))</f>
        <v/>
      </c>
      <c r="Q320" s="9" t="str">
        <f>IF($A320="","",$A320&amp;"-"&amp;'Template Setup'!$C$16)</f>
        <v/>
      </c>
      <c r="R320" s="24" t="str">
        <f t="shared" si="17"/>
        <v/>
      </c>
      <c r="S320" s="24"/>
      <c r="T320" s="24" t="str">
        <f t="shared" si="18"/>
        <v/>
      </c>
      <c r="U320" s="6" t="str">
        <f t="shared" si="20"/>
        <v/>
      </c>
    </row>
    <row r="321" spans="1:21">
      <c r="A321" s="11"/>
      <c r="B321" s="11"/>
      <c r="C321" s="11"/>
      <c r="D321" s="11" t="str">
        <f>IF($A321="","",_xlfn.TEXTJOIN(", ",TRUE,IF($G321&gt;0,'Template Setup'!$C$4,""),IF($H321&gt;0,'Template Setup'!$C$5,""),IF($I321&gt;0,'Template Setup'!$C$6,""),IF($J321&gt;0,'Template Setup'!$C$7,""),IF($K321&gt;0,'Template Setup'!$C$8,"")))</f>
        <v/>
      </c>
      <c r="E321" s="6" t="str" cm="1">
        <f t="array" ref="E321">IF($A321="","",_xlfn.LET(_xlpm.sheets,CHOOSE({1,2,3,4,5},'Template Setup'!$C$4,'Template Setup'!$C$5,'Template Setup'!$C$6,'Template Setup'!$C$7,'Template Setup'!$C$8),_xlpm.nums,CHOOSE({1,2,3,4,5},$L321,$M321,$N321,$O321,$P321),_xlpm.qtys,CHOOSE({1,2,3,4,5},$G321,$H321,$I321,$J321,$K321),_xlpm.validNums,_xlfn._xlws.FILTER(_xlpm.nums,_xlpm.qtys&gt;0),_xlpm.validSheets,_xlfn._xlws.FILTER(_xlpm.sheets,_xlpm.qtys&gt;0),_xlpm.mx,IFERROR(MAX(_xlpm.validNums),0),IF(_xlpm.mx=0,"",INDEX(_xlpm.validSheets,MATCH(_xlpm.mx,_xlpm.validNums,0))&amp;" (+"&amp;$R321&amp;")")))</f>
        <v/>
      </c>
      <c r="F321" s="11" t="str">
        <f t="shared" si="19"/>
        <v/>
      </c>
      <c r="G321" s="12" t="str">
        <f ca="1">IF($A321="","",IFERROR(SUMIF(INDIRECT("'"&amp;'Template Setup'!$C$4&amp;"'!C:C"),$A321,INDIRECT("'"&amp;'Template Setup'!$C$4&amp;"'!A:A")),0))</f>
        <v/>
      </c>
      <c r="H321" s="12" t="str">
        <f ca="1">IF($A321="","",IFERROR(SUMIF(INDIRECT("'"&amp;'Template Setup'!$C$5&amp;"'!C:C"),$A321,INDIRECT("'"&amp;'Template Setup'!$C$5&amp;"'!A:A")),0))</f>
        <v/>
      </c>
      <c r="I321" s="12" t="str">
        <f ca="1">IF($A321="","",IFERROR(SUMIF(INDIRECT("'"&amp;'Template Setup'!$C$6&amp;"'!C:C"),$A321,INDIRECT("'"&amp;'Template Setup'!$C$6&amp;"'!A:A")),0))</f>
        <v/>
      </c>
      <c r="J321" s="12" t="str">
        <f ca="1">IF($A321="","",IFERROR(SUMIF(INDIRECT("'"&amp;'Template Setup'!$C$7&amp;"'!C:C"),$A321,INDIRECT("'"&amp;'Template Setup'!$C$7&amp;"'!A:A")),0))</f>
        <v/>
      </c>
      <c r="K321" s="12" t="str">
        <f ca="1">IF($A321="","",IFERROR(SUMIF(INDIRECT("'"&amp;'Template Setup'!$C$8&amp;"'!C:C"),$A321,INDIRECT("'"&amp;'Template Setup'!$C$8&amp;"'!A:A")),0))</f>
        <v/>
      </c>
      <c r="L321" s="11" t="str">
        <f>IF($A321="","",IFERROR(VALUE(MID(TRIM('Template Setup'!$C$4),FIND("-",TRIM('Template Setup'!$C$4))+1,10)),0))</f>
        <v/>
      </c>
      <c r="M321" s="11" t="str">
        <f>IF($A321="","",IFERROR(VALUE(MID(TRIM('Template Setup'!$C$5),FIND("-",TRIM('Template Setup'!$C$5))+1,10)),0))</f>
        <v/>
      </c>
      <c r="N321" s="11" t="str">
        <f>IF($A321="","",IFERROR(VALUE(MID(TRIM('Template Setup'!$C$6),FIND("-",TRIM('Template Setup'!$C$6))+1,10)),0))</f>
        <v/>
      </c>
      <c r="O321" s="11" t="str">
        <f>IF($A321="","",IFERROR(VALUE(MID(TRIM('Template Setup'!$C$7),FIND("-",TRIM('Template Setup'!$C$7))+1,10)),0))</f>
        <v/>
      </c>
      <c r="P321" s="11" t="str">
        <f>IF($A321="","",IFERROR(VALUE(MID(TRIM('Template Setup'!$C$8),FIND("-",TRIM('Template Setup'!$C$8))+1,10)),0))</f>
        <v/>
      </c>
      <c r="Q321" s="9" t="str">
        <f>IF($A321="","",$A321&amp;"-"&amp;'Template Setup'!$C$16)</f>
        <v/>
      </c>
      <c r="R321" s="24" t="str">
        <f t="shared" si="17"/>
        <v/>
      </c>
      <c r="S321" s="24"/>
      <c r="T321" s="24" t="str">
        <f t="shared" si="18"/>
        <v/>
      </c>
      <c r="U321" s="6" t="str">
        <f t="shared" si="20"/>
        <v/>
      </c>
    </row>
    <row r="322" spans="1:21">
      <c r="A322" s="11"/>
      <c r="B322" s="11"/>
      <c r="C322" s="11"/>
      <c r="D322" s="11" t="str">
        <f>IF($A322="","",_xlfn.TEXTJOIN(", ",TRUE,IF($G322&gt;0,'Template Setup'!$C$4,""),IF($H322&gt;0,'Template Setup'!$C$5,""),IF($I322&gt;0,'Template Setup'!$C$6,""),IF($J322&gt;0,'Template Setup'!$C$7,""),IF($K322&gt;0,'Template Setup'!$C$8,"")))</f>
        <v/>
      </c>
      <c r="E322" s="6" t="str" cm="1">
        <f t="array" ref="E322">IF($A322="","",_xlfn.LET(_xlpm.sheets,CHOOSE({1,2,3,4,5},'Template Setup'!$C$4,'Template Setup'!$C$5,'Template Setup'!$C$6,'Template Setup'!$C$7,'Template Setup'!$C$8),_xlpm.nums,CHOOSE({1,2,3,4,5},$L322,$M322,$N322,$O322,$P322),_xlpm.qtys,CHOOSE({1,2,3,4,5},$G322,$H322,$I322,$J322,$K322),_xlpm.validNums,_xlfn._xlws.FILTER(_xlpm.nums,_xlpm.qtys&gt;0),_xlpm.validSheets,_xlfn._xlws.FILTER(_xlpm.sheets,_xlpm.qtys&gt;0),_xlpm.mx,IFERROR(MAX(_xlpm.validNums),0),IF(_xlpm.mx=0,"",INDEX(_xlpm.validSheets,MATCH(_xlpm.mx,_xlpm.validNums,0))&amp;" (+"&amp;$R322&amp;")")))</f>
        <v/>
      </c>
      <c r="F322" s="11" t="str">
        <f t="shared" si="19"/>
        <v/>
      </c>
      <c r="G322" s="12" t="str">
        <f ca="1">IF($A322="","",IFERROR(SUMIF(INDIRECT("'"&amp;'Template Setup'!$C$4&amp;"'!C:C"),$A322,INDIRECT("'"&amp;'Template Setup'!$C$4&amp;"'!A:A")),0))</f>
        <v/>
      </c>
      <c r="H322" s="12" t="str">
        <f ca="1">IF($A322="","",IFERROR(SUMIF(INDIRECT("'"&amp;'Template Setup'!$C$5&amp;"'!C:C"),$A322,INDIRECT("'"&amp;'Template Setup'!$C$5&amp;"'!A:A")),0))</f>
        <v/>
      </c>
      <c r="I322" s="12" t="str">
        <f ca="1">IF($A322="","",IFERROR(SUMIF(INDIRECT("'"&amp;'Template Setup'!$C$6&amp;"'!C:C"),$A322,INDIRECT("'"&amp;'Template Setup'!$C$6&amp;"'!A:A")),0))</f>
        <v/>
      </c>
      <c r="J322" s="12" t="str">
        <f ca="1">IF($A322="","",IFERROR(SUMIF(INDIRECT("'"&amp;'Template Setup'!$C$7&amp;"'!C:C"),$A322,INDIRECT("'"&amp;'Template Setup'!$C$7&amp;"'!A:A")),0))</f>
        <v/>
      </c>
      <c r="K322" s="12" t="str">
        <f ca="1">IF($A322="","",IFERROR(SUMIF(INDIRECT("'"&amp;'Template Setup'!$C$8&amp;"'!C:C"),$A322,INDIRECT("'"&amp;'Template Setup'!$C$8&amp;"'!A:A")),0))</f>
        <v/>
      </c>
      <c r="L322" s="11" t="str">
        <f>IF($A322="","",IFERROR(VALUE(MID(TRIM('Template Setup'!$C$4),FIND("-",TRIM('Template Setup'!$C$4))+1,10)),0))</f>
        <v/>
      </c>
      <c r="M322" s="11" t="str">
        <f>IF($A322="","",IFERROR(VALUE(MID(TRIM('Template Setup'!$C$5),FIND("-",TRIM('Template Setup'!$C$5))+1,10)),0))</f>
        <v/>
      </c>
      <c r="N322" s="11" t="str">
        <f>IF($A322="","",IFERROR(VALUE(MID(TRIM('Template Setup'!$C$6),FIND("-",TRIM('Template Setup'!$C$6))+1,10)),0))</f>
        <v/>
      </c>
      <c r="O322" s="11" t="str">
        <f>IF($A322="","",IFERROR(VALUE(MID(TRIM('Template Setup'!$C$7),FIND("-",TRIM('Template Setup'!$C$7))+1,10)),0))</f>
        <v/>
      </c>
      <c r="P322" s="11" t="str">
        <f>IF($A322="","",IFERROR(VALUE(MID(TRIM('Template Setup'!$C$8),FIND("-",TRIM('Template Setup'!$C$8))+1,10)),0))</f>
        <v/>
      </c>
      <c r="Q322" s="9" t="str">
        <f>IF($A322="","",$A322&amp;"-"&amp;'Template Setup'!$C$16)</f>
        <v/>
      </c>
      <c r="R322" s="24" t="str">
        <f t="shared" ref="R322:R385" si="21">IF($A322="","",SUM($G322:$K322))</f>
        <v/>
      </c>
      <c r="S322" s="24"/>
      <c r="T322" s="24" t="str">
        <f t="shared" ref="T322:T385" si="22">IF($A322="","",IF(ISBLANK(S322),"",N(R322)+S322))</f>
        <v/>
      </c>
      <c r="U322" s="6" t="str">
        <f t="shared" si="20"/>
        <v/>
      </c>
    </row>
    <row r="323" spans="1:21">
      <c r="A323" s="11"/>
      <c r="B323" s="11"/>
      <c r="C323" s="11"/>
      <c r="D323" s="11" t="str">
        <f>IF($A323="","",_xlfn.TEXTJOIN(", ",TRUE,IF($G323&gt;0,'Template Setup'!$C$4,""),IF($H323&gt;0,'Template Setup'!$C$5,""),IF($I323&gt;0,'Template Setup'!$C$6,""),IF($J323&gt;0,'Template Setup'!$C$7,""),IF($K323&gt;0,'Template Setup'!$C$8,"")))</f>
        <v/>
      </c>
      <c r="E323" s="6" t="str" cm="1">
        <f t="array" ref="E323">IF($A323="","",_xlfn.LET(_xlpm.sheets,CHOOSE({1,2,3,4,5},'Template Setup'!$C$4,'Template Setup'!$C$5,'Template Setup'!$C$6,'Template Setup'!$C$7,'Template Setup'!$C$8),_xlpm.nums,CHOOSE({1,2,3,4,5},$L323,$M323,$N323,$O323,$P323),_xlpm.qtys,CHOOSE({1,2,3,4,5},$G323,$H323,$I323,$J323,$K323),_xlpm.validNums,_xlfn._xlws.FILTER(_xlpm.nums,_xlpm.qtys&gt;0),_xlpm.validSheets,_xlfn._xlws.FILTER(_xlpm.sheets,_xlpm.qtys&gt;0),_xlpm.mx,IFERROR(MAX(_xlpm.validNums),0),IF(_xlpm.mx=0,"",INDEX(_xlpm.validSheets,MATCH(_xlpm.mx,_xlpm.validNums,0))&amp;" (+"&amp;$R323&amp;")")))</f>
        <v/>
      </c>
      <c r="F323" s="11" t="str">
        <f t="shared" ref="F323:F386" si="23">IF($E323="","","PACP-"&amp;LEFT($E323,FIND("-",$E323)-1)&amp;"-000"&amp;MID($E323,FIND("-",$E323)+1,3))</f>
        <v/>
      </c>
      <c r="G323" s="12" t="str">
        <f ca="1">IF($A323="","",IFERROR(SUMIF(INDIRECT("'"&amp;'Template Setup'!$C$4&amp;"'!C:C"),$A323,INDIRECT("'"&amp;'Template Setup'!$C$4&amp;"'!A:A")),0))</f>
        <v/>
      </c>
      <c r="H323" s="12" t="str">
        <f ca="1">IF($A323="","",IFERROR(SUMIF(INDIRECT("'"&amp;'Template Setup'!$C$5&amp;"'!C:C"),$A323,INDIRECT("'"&amp;'Template Setup'!$C$5&amp;"'!A:A")),0))</f>
        <v/>
      </c>
      <c r="I323" s="12" t="str">
        <f ca="1">IF($A323="","",IFERROR(SUMIF(INDIRECT("'"&amp;'Template Setup'!$C$6&amp;"'!C:C"),$A323,INDIRECT("'"&amp;'Template Setup'!$C$6&amp;"'!A:A")),0))</f>
        <v/>
      </c>
      <c r="J323" s="12" t="str">
        <f ca="1">IF($A323="","",IFERROR(SUMIF(INDIRECT("'"&amp;'Template Setup'!$C$7&amp;"'!C:C"),$A323,INDIRECT("'"&amp;'Template Setup'!$C$7&amp;"'!A:A")),0))</f>
        <v/>
      </c>
      <c r="K323" s="12" t="str">
        <f ca="1">IF($A323="","",IFERROR(SUMIF(INDIRECT("'"&amp;'Template Setup'!$C$8&amp;"'!C:C"),$A323,INDIRECT("'"&amp;'Template Setup'!$C$8&amp;"'!A:A")),0))</f>
        <v/>
      </c>
      <c r="L323" s="11" t="str">
        <f>IF($A323="","",IFERROR(VALUE(MID(TRIM('Template Setup'!$C$4),FIND("-",TRIM('Template Setup'!$C$4))+1,10)),0))</f>
        <v/>
      </c>
      <c r="M323" s="11" t="str">
        <f>IF($A323="","",IFERROR(VALUE(MID(TRIM('Template Setup'!$C$5),FIND("-",TRIM('Template Setup'!$C$5))+1,10)),0))</f>
        <v/>
      </c>
      <c r="N323" s="11" t="str">
        <f>IF($A323="","",IFERROR(VALUE(MID(TRIM('Template Setup'!$C$6),FIND("-",TRIM('Template Setup'!$C$6))+1,10)),0))</f>
        <v/>
      </c>
      <c r="O323" s="11" t="str">
        <f>IF($A323="","",IFERROR(VALUE(MID(TRIM('Template Setup'!$C$7),FIND("-",TRIM('Template Setup'!$C$7))+1,10)),0))</f>
        <v/>
      </c>
      <c r="P323" s="11" t="str">
        <f>IF($A323="","",IFERROR(VALUE(MID(TRIM('Template Setup'!$C$8),FIND("-",TRIM('Template Setup'!$C$8))+1,10)),0))</f>
        <v/>
      </c>
      <c r="Q323" s="9" t="str">
        <f>IF($A323="","",$A323&amp;"-"&amp;'Template Setup'!$C$16)</f>
        <v/>
      </c>
      <c r="R323" s="24" t="str">
        <f t="shared" si="21"/>
        <v/>
      </c>
      <c r="S323" s="24"/>
      <c r="T323" s="24" t="str">
        <f t="shared" si="22"/>
        <v/>
      </c>
      <c r="U323" s="6" t="str">
        <f t="shared" si="20"/>
        <v/>
      </c>
    </row>
    <row r="324" spans="1:21">
      <c r="A324" s="11"/>
      <c r="B324" s="11"/>
      <c r="C324" s="11"/>
      <c r="D324" s="11" t="str">
        <f>IF($A324="","",_xlfn.TEXTJOIN(", ",TRUE,IF($G324&gt;0,'Template Setup'!$C$4,""),IF($H324&gt;0,'Template Setup'!$C$5,""),IF($I324&gt;0,'Template Setup'!$C$6,""),IF($J324&gt;0,'Template Setup'!$C$7,""),IF($K324&gt;0,'Template Setup'!$C$8,"")))</f>
        <v/>
      </c>
      <c r="E324" s="6" t="str" cm="1">
        <f t="array" ref="E324">IF($A324="","",_xlfn.LET(_xlpm.sheets,CHOOSE({1,2,3,4,5},'Template Setup'!$C$4,'Template Setup'!$C$5,'Template Setup'!$C$6,'Template Setup'!$C$7,'Template Setup'!$C$8),_xlpm.nums,CHOOSE({1,2,3,4,5},$L324,$M324,$N324,$O324,$P324),_xlpm.qtys,CHOOSE({1,2,3,4,5},$G324,$H324,$I324,$J324,$K324),_xlpm.validNums,_xlfn._xlws.FILTER(_xlpm.nums,_xlpm.qtys&gt;0),_xlpm.validSheets,_xlfn._xlws.FILTER(_xlpm.sheets,_xlpm.qtys&gt;0),_xlpm.mx,IFERROR(MAX(_xlpm.validNums),0),IF(_xlpm.mx=0,"",INDEX(_xlpm.validSheets,MATCH(_xlpm.mx,_xlpm.validNums,0))&amp;" (+"&amp;$R324&amp;")")))</f>
        <v/>
      </c>
      <c r="F324" s="11" t="str">
        <f t="shared" si="23"/>
        <v/>
      </c>
      <c r="G324" s="12" t="str">
        <f ca="1">IF($A324="","",IFERROR(SUMIF(INDIRECT("'"&amp;'Template Setup'!$C$4&amp;"'!C:C"),$A324,INDIRECT("'"&amp;'Template Setup'!$C$4&amp;"'!A:A")),0))</f>
        <v/>
      </c>
      <c r="H324" s="12" t="str">
        <f ca="1">IF($A324="","",IFERROR(SUMIF(INDIRECT("'"&amp;'Template Setup'!$C$5&amp;"'!C:C"),$A324,INDIRECT("'"&amp;'Template Setup'!$C$5&amp;"'!A:A")),0))</f>
        <v/>
      </c>
      <c r="I324" s="12" t="str">
        <f ca="1">IF($A324="","",IFERROR(SUMIF(INDIRECT("'"&amp;'Template Setup'!$C$6&amp;"'!C:C"),$A324,INDIRECT("'"&amp;'Template Setup'!$C$6&amp;"'!A:A")),0))</f>
        <v/>
      </c>
      <c r="J324" s="12" t="str">
        <f ca="1">IF($A324="","",IFERROR(SUMIF(INDIRECT("'"&amp;'Template Setup'!$C$7&amp;"'!C:C"),$A324,INDIRECT("'"&amp;'Template Setup'!$C$7&amp;"'!A:A")),0))</f>
        <v/>
      </c>
      <c r="K324" s="12" t="str">
        <f ca="1">IF($A324="","",IFERROR(SUMIF(INDIRECT("'"&amp;'Template Setup'!$C$8&amp;"'!C:C"),$A324,INDIRECT("'"&amp;'Template Setup'!$C$8&amp;"'!A:A")),0))</f>
        <v/>
      </c>
      <c r="L324" s="11" t="str">
        <f>IF($A324="","",IFERROR(VALUE(MID(TRIM('Template Setup'!$C$4),FIND("-",TRIM('Template Setup'!$C$4))+1,10)),0))</f>
        <v/>
      </c>
      <c r="M324" s="11" t="str">
        <f>IF($A324="","",IFERROR(VALUE(MID(TRIM('Template Setup'!$C$5),FIND("-",TRIM('Template Setup'!$C$5))+1,10)),0))</f>
        <v/>
      </c>
      <c r="N324" s="11" t="str">
        <f>IF($A324="","",IFERROR(VALUE(MID(TRIM('Template Setup'!$C$6),FIND("-",TRIM('Template Setup'!$C$6))+1,10)),0))</f>
        <v/>
      </c>
      <c r="O324" s="11" t="str">
        <f>IF($A324="","",IFERROR(VALUE(MID(TRIM('Template Setup'!$C$7),FIND("-",TRIM('Template Setup'!$C$7))+1,10)),0))</f>
        <v/>
      </c>
      <c r="P324" s="11" t="str">
        <f>IF($A324="","",IFERROR(VALUE(MID(TRIM('Template Setup'!$C$8),FIND("-",TRIM('Template Setup'!$C$8))+1,10)),0))</f>
        <v/>
      </c>
      <c r="Q324" s="9" t="str">
        <f>IF($A324="","",$A324&amp;"-"&amp;'Template Setup'!$C$16)</f>
        <v/>
      </c>
      <c r="R324" s="24" t="str">
        <f t="shared" si="21"/>
        <v/>
      </c>
      <c r="S324" s="24"/>
      <c r="T324" s="24" t="str">
        <f t="shared" si="22"/>
        <v/>
      </c>
      <c r="U324" s="6" t="str">
        <f t="shared" si="20"/>
        <v/>
      </c>
    </row>
    <row r="325" spans="1:21">
      <c r="A325" s="11"/>
      <c r="B325" s="11"/>
      <c r="C325" s="11"/>
      <c r="D325" s="11" t="str">
        <f>IF($A325="","",_xlfn.TEXTJOIN(", ",TRUE,IF($G325&gt;0,'Template Setup'!$C$4,""),IF($H325&gt;0,'Template Setup'!$C$5,""),IF($I325&gt;0,'Template Setup'!$C$6,""),IF($J325&gt;0,'Template Setup'!$C$7,""),IF($K325&gt;0,'Template Setup'!$C$8,"")))</f>
        <v/>
      </c>
      <c r="E325" s="6" t="str" cm="1">
        <f t="array" ref="E325">IF($A325="","",_xlfn.LET(_xlpm.sheets,CHOOSE({1,2,3,4,5},'Template Setup'!$C$4,'Template Setup'!$C$5,'Template Setup'!$C$6,'Template Setup'!$C$7,'Template Setup'!$C$8),_xlpm.nums,CHOOSE({1,2,3,4,5},$L325,$M325,$N325,$O325,$P325),_xlpm.qtys,CHOOSE({1,2,3,4,5},$G325,$H325,$I325,$J325,$K325),_xlpm.validNums,_xlfn._xlws.FILTER(_xlpm.nums,_xlpm.qtys&gt;0),_xlpm.validSheets,_xlfn._xlws.FILTER(_xlpm.sheets,_xlpm.qtys&gt;0),_xlpm.mx,IFERROR(MAX(_xlpm.validNums),0),IF(_xlpm.mx=0,"",INDEX(_xlpm.validSheets,MATCH(_xlpm.mx,_xlpm.validNums,0))&amp;" (+"&amp;$R325&amp;")")))</f>
        <v/>
      </c>
      <c r="F325" s="11" t="str">
        <f t="shared" si="23"/>
        <v/>
      </c>
      <c r="G325" s="12" t="str">
        <f ca="1">IF($A325="","",IFERROR(SUMIF(INDIRECT("'"&amp;'Template Setup'!$C$4&amp;"'!C:C"),$A325,INDIRECT("'"&amp;'Template Setup'!$C$4&amp;"'!A:A")),0))</f>
        <v/>
      </c>
      <c r="H325" s="12" t="str">
        <f ca="1">IF($A325="","",IFERROR(SUMIF(INDIRECT("'"&amp;'Template Setup'!$C$5&amp;"'!C:C"),$A325,INDIRECT("'"&amp;'Template Setup'!$C$5&amp;"'!A:A")),0))</f>
        <v/>
      </c>
      <c r="I325" s="12" t="str">
        <f ca="1">IF($A325="","",IFERROR(SUMIF(INDIRECT("'"&amp;'Template Setup'!$C$6&amp;"'!C:C"),$A325,INDIRECT("'"&amp;'Template Setup'!$C$6&amp;"'!A:A")),0))</f>
        <v/>
      </c>
      <c r="J325" s="12" t="str">
        <f ca="1">IF($A325="","",IFERROR(SUMIF(INDIRECT("'"&amp;'Template Setup'!$C$7&amp;"'!C:C"),$A325,INDIRECT("'"&amp;'Template Setup'!$C$7&amp;"'!A:A")),0))</f>
        <v/>
      </c>
      <c r="K325" s="12" t="str">
        <f ca="1">IF($A325="","",IFERROR(SUMIF(INDIRECT("'"&amp;'Template Setup'!$C$8&amp;"'!C:C"),$A325,INDIRECT("'"&amp;'Template Setup'!$C$8&amp;"'!A:A")),0))</f>
        <v/>
      </c>
      <c r="L325" s="11" t="str">
        <f>IF($A325="","",IFERROR(VALUE(MID(TRIM('Template Setup'!$C$4),FIND("-",TRIM('Template Setup'!$C$4))+1,10)),0))</f>
        <v/>
      </c>
      <c r="M325" s="11" t="str">
        <f>IF($A325="","",IFERROR(VALUE(MID(TRIM('Template Setup'!$C$5),FIND("-",TRIM('Template Setup'!$C$5))+1,10)),0))</f>
        <v/>
      </c>
      <c r="N325" s="11" t="str">
        <f>IF($A325="","",IFERROR(VALUE(MID(TRIM('Template Setup'!$C$6),FIND("-",TRIM('Template Setup'!$C$6))+1,10)),0))</f>
        <v/>
      </c>
      <c r="O325" s="11" t="str">
        <f>IF($A325="","",IFERROR(VALUE(MID(TRIM('Template Setup'!$C$7),FIND("-",TRIM('Template Setup'!$C$7))+1,10)),0))</f>
        <v/>
      </c>
      <c r="P325" s="11" t="str">
        <f>IF($A325="","",IFERROR(VALUE(MID(TRIM('Template Setup'!$C$8),FIND("-",TRIM('Template Setup'!$C$8))+1,10)),0))</f>
        <v/>
      </c>
      <c r="Q325" s="9" t="str">
        <f>IF($A325="","",$A325&amp;"-"&amp;'Template Setup'!$C$16)</f>
        <v/>
      </c>
      <c r="R325" s="24" t="str">
        <f t="shared" si="21"/>
        <v/>
      </c>
      <c r="S325" s="24"/>
      <c r="T325" s="24" t="str">
        <f t="shared" si="22"/>
        <v/>
      </c>
      <c r="U325" s="6" t="str">
        <f t="shared" si="20"/>
        <v/>
      </c>
    </row>
    <row r="326" spans="1:21">
      <c r="A326" s="11"/>
      <c r="B326" s="11"/>
      <c r="C326" s="11"/>
      <c r="D326" s="11" t="str">
        <f>IF($A326="","",_xlfn.TEXTJOIN(", ",TRUE,IF($G326&gt;0,'Template Setup'!$C$4,""),IF($H326&gt;0,'Template Setup'!$C$5,""),IF($I326&gt;0,'Template Setup'!$C$6,""),IF($J326&gt;0,'Template Setup'!$C$7,""),IF($K326&gt;0,'Template Setup'!$C$8,"")))</f>
        <v/>
      </c>
      <c r="E326" s="6" t="str" cm="1">
        <f t="array" ref="E326">IF($A326="","",_xlfn.LET(_xlpm.sheets,CHOOSE({1,2,3,4,5},'Template Setup'!$C$4,'Template Setup'!$C$5,'Template Setup'!$C$6,'Template Setup'!$C$7,'Template Setup'!$C$8),_xlpm.nums,CHOOSE({1,2,3,4,5},$L326,$M326,$N326,$O326,$P326),_xlpm.qtys,CHOOSE({1,2,3,4,5},$G326,$H326,$I326,$J326,$K326),_xlpm.validNums,_xlfn._xlws.FILTER(_xlpm.nums,_xlpm.qtys&gt;0),_xlpm.validSheets,_xlfn._xlws.FILTER(_xlpm.sheets,_xlpm.qtys&gt;0),_xlpm.mx,IFERROR(MAX(_xlpm.validNums),0),IF(_xlpm.mx=0,"",INDEX(_xlpm.validSheets,MATCH(_xlpm.mx,_xlpm.validNums,0))&amp;" (+"&amp;$R326&amp;")")))</f>
        <v/>
      </c>
      <c r="F326" s="11" t="str">
        <f t="shared" si="23"/>
        <v/>
      </c>
      <c r="G326" s="12" t="str">
        <f ca="1">IF($A326="","",IFERROR(SUMIF(INDIRECT("'"&amp;'Template Setup'!$C$4&amp;"'!C:C"),$A326,INDIRECT("'"&amp;'Template Setup'!$C$4&amp;"'!A:A")),0))</f>
        <v/>
      </c>
      <c r="H326" s="12" t="str">
        <f ca="1">IF($A326="","",IFERROR(SUMIF(INDIRECT("'"&amp;'Template Setup'!$C$5&amp;"'!C:C"),$A326,INDIRECT("'"&amp;'Template Setup'!$C$5&amp;"'!A:A")),0))</f>
        <v/>
      </c>
      <c r="I326" s="12" t="str">
        <f ca="1">IF($A326="","",IFERROR(SUMIF(INDIRECT("'"&amp;'Template Setup'!$C$6&amp;"'!C:C"),$A326,INDIRECT("'"&amp;'Template Setup'!$C$6&amp;"'!A:A")),0))</f>
        <v/>
      </c>
      <c r="J326" s="12" t="str">
        <f ca="1">IF($A326="","",IFERROR(SUMIF(INDIRECT("'"&amp;'Template Setup'!$C$7&amp;"'!C:C"),$A326,INDIRECT("'"&amp;'Template Setup'!$C$7&amp;"'!A:A")),0))</f>
        <v/>
      </c>
      <c r="K326" s="12" t="str">
        <f ca="1">IF($A326="","",IFERROR(SUMIF(INDIRECT("'"&amp;'Template Setup'!$C$8&amp;"'!C:C"),$A326,INDIRECT("'"&amp;'Template Setup'!$C$8&amp;"'!A:A")),0))</f>
        <v/>
      </c>
      <c r="L326" s="11" t="str">
        <f>IF($A326="","",IFERROR(VALUE(MID(TRIM('Template Setup'!$C$4),FIND("-",TRIM('Template Setup'!$C$4))+1,10)),0))</f>
        <v/>
      </c>
      <c r="M326" s="11" t="str">
        <f>IF($A326="","",IFERROR(VALUE(MID(TRIM('Template Setup'!$C$5),FIND("-",TRIM('Template Setup'!$C$5))+1,10)),0))</f>
        <v/>
      </c>
      <c r="N326" s="11" t="str">
        <f>IF($A326="","",IFERROR(VALUE(MID(TRIM('Template Setup'!$C$6),FIND("-",TRIM('Template Setup'!$C$6))+1,10)),0))</f>
        <v/>
      </c>
      <c r="O326" s="11" t="str">
        <f>IF($A326="","",IFERROR(VALUE(MID(TRIM('Template Setup'!$C$7),FIND("-",TRIM('Template Setup'!$C$7))+1,10)),0))</f>
        <v/>
      </c>
      <c r="P326" s="11" t="str">
        <f>IF($A326="","",IFERROR(VALUE(MID(TRIM('Template Setup'!$C$8),FIND("-",TRIM('Template Setup'!$C$8))+1,10)),0))</f>
        <v/>
      </c>
      <c r="Q326" s="9" t="str">
        <f>IF($A326="","",$A326&amp;"-"&amp;'Template Setup'!$C$16)</f>
        <v/>
      </c>
      <c r="R326" s="24" t="str">
        <f t="shared" si="21"/>
        <v/>
      </c>
      <c r="S326" s="24"/>
      <c r="T326" s="24" t="str">
        <f t="shared" si="22"/>
        <v/>
      </c>
      <c r="U326" s="6" t="str">
        <f t="shared" si="20"/>
        <v/>
      </c>
    </row>
    <row r="327" spans="1:21">
      <c r="A327" s="11"/>
      <c r="B327" s="11"/>
      <c r="C327" s="11"/>
      <c r="D327" s="11" t="str">
        <f>IF($A327="","",_xlfn.TEXTJOIN(", ",TRUE,IF($G327&gt;0,'Template Setup'!$C$4,""),IF($H327&gt;0,'Template Setup'!$C$5,""),IF($I327&gt;0,'Template Setup'!$C$6,""),IF($J327&gt;0,'Template Setup'!$C$7,""),IF($K327&gt;0,'Template Setup'!$C$8,"")))</f>
        <v/>
      </c>
      <c r="E327" s="6" t="str" cm="1">
        <f t="array" ref="E327">IF($A327="","",_xlfn.LET(_xlpm.sheets,CHOOSE({1,2,3,4,5},'Template Setup'!$C$4,'Template Setup'!$C$5,'Template Setup'!$C$6,'Template Setup'!$C$7,'Template Setup'!$C$8),_xlpm.nums,CHOOSE({1,2,3,4,5},$L327,$M327,$N327,$O327,$P327),_xlpm.qtys,CHOOSE({1,2,3,4,5},$G327,$H327,$I327,$J327,$K327),_xlpm.validNums,_xlfn._xlws.FILTER(_xlpm.nums,_xlpm.qtys&gt;0),_xlpm.validSheets,_xlfn._xlws.FILTER(_xlpm.sheets,_xlpm.qtys&gt;0),_xlpm.mx,IFERROR(MAX(_xlpm.validNums),0),IF(_xlpm.mx=0,"",INDEX(_xlpm.validSheets,MATCH(_xlpm.mx,_xlpm.validNums,0))&amp;" (+"&amp;$R327&amp;")")))</f>
        <v/>
      </c>
      <c r="F327" s="11" t="str">
        <f t="shared" si="23"/>
        <v/>
      </c>
      <c r="G327" s="12" t="str">
        <f ca="1">IF($A327="","",IFERROR(SUMIF(INDIRECT("'"&amp;'Template Setup'!$C$4&amp;"'!C:C"),$A327,INDIRECT("'"&amp;'Template Setup'!$C$4&amp;"'!A:A")),0))</f>
        <v/>
      </c>
      <c r="H327" s="12" t="str">
        <f ca="1">IF($A327="","",IFERROR(SUMIF(INDIRECT("'"&amp;'Template Setup'!$C$5&amp;"'!C:C"),$A327,INDIRECT("'"&amp;'Template Setup'!$C$5&amp;"'!A:A")),0))</f>
        <v/>
      </c>
      <c r="I327" s="12" t="str">
        <f ca="1">IF($A327="","",IFERROR(SUMIF(INDIRECT("'"&amp;'Template Setup'!$C$6&amp;"'!C:C"),$A327,INDIRECT("'"&amp;'Template Setup'!$C$6&amp;"'!A:A")),0))</f>
        <v/>
      </c>
      <c r="J327" s="12" t="str">
        <f ca="1">IF($A327="","",IFERROR(SUMIF(INDIRECT("'"&amp;'Template Setup'!$C$7&amp;"'!C:C"),$A327,INDIRECT("'"&amp;'Template Setup'!$C$7&amp;"'!A:A")),0))</f>
        <v/>
      </c>
      <c r="K327" s="12" t="str">
        <f ca="1">IF($A327="","",IFERROR(SUMIF(INDIRECT("'"&amp;'Template Setup'!$C$8&amp;"'!C:C"),$A327,INDIRECT("'"&amp;'Template Setup'!$C$8&amp;"'!A:A")),0))</f>
        <v/>
      </c>
      <c r="L327" s="11" t="str">
        <f>IF($A327="","",IFERROR(VALUE(MID(TRIM('Template Setup'!$C$4),FIND("-",TRIM('Template Setup'!$C$4))+1,10)),0))</f>
        <v/>
      </c>
      <c r="M327" s="11" t="str">
        <f>IF($A327="","",IFERROR(VALUE(MID(TRIM('Template Setup'!$C$5),FIND("-",TRIM('Template Setup'!$C$5))+1,10)),0))</f>
        <v/>
      </c>
      <c r="N327" s="11" t="str">
        <f>IF($A327="","",IFERROR(VALUE(MID(TRIM('Template Setup'!$C$6),FIND("-",TRIM('Template Setup'!$C$6))+1,10)),0))</f>
        <v/>
      </c>
      <c r="O327" s="11" t="str">
        <f>IF($A327="","",IFERROR(VALUE(MID(TRIM('Template Setup'!$C$7),FIND("-",TRIM('Template Setup'!$C$7))+1,10)),0))</f>
        <v/>
      </c>
      <c r="P327" s="11" t="str">
        <f>IF($A327="","",IFERROR(VALUE(MID(TRIM('Template Setup'!$C$8),FIND("-",TRIM('Template Setup'!$C$8))+1,10)),0))</f>
        <v/>
      </c>
      <c r="Q327" s="9" t="str">
        <f>IF($A327="","",$A327&amp;"-"&amp;'Template Setup'!$C$16)</f>
        <v/>
      </c>
      <c r="R327" s="24" t="str">
        <f t="shared" si="21"/>
        <v/>
      </c>
      <c r="S327" s="24"/>
      <c r="T327" s="24" t="str">
        <f t="shared" si="22"/>
        <v/>
      </c>
      <c r="U327" s="6" t="str">
        <f t="shared" si="20"/>
        <v/>
      </c>
    </row>
    <row r="328" spans="1:21">
      <c r="A328" s="11"/>
      <c r="B328" s="11"/>
      <c r="C328" s="11"/>
      <c r="D328" s="11" t="str">
        <f>IF($A328="","",_xlfn.TEXTJOIN(", ",TRUE,IF($G328&gt;0,'Template Setup'!$C$4,""),IF($H328&gt;0,'Template Setup'!$C$5,""),IF($I328&gt;0,'Template Setup'!$C$6,""),IF($J328&gt;0,'Template Setup'!$C$7,""),IF($K328&gt;0,'Template Setup'!$C$8,"")))</f>
        <v/>
      </c>
      <c r="E328" s="6" t="str" cm="1">
        <f t="array" ref="E328">IF($A328="","",_xlfn.LET(_xlpm.sheets,CHOOSE({1,2,3,4,5},'Template Setup'!$C$4,'Template Setup'!$C$5,'Template Setup'!$C$6,'Template Setup'!$C$7,'Template Setup'!$C$8),_xlpm.nums,CHOOSE({1,2,3,4,5},$L328,$M328,$N328,$O328,$P328),_xlpm.qtys,CHOOSE({1,2,3,4,5},$G328,$H328,$I328,$J328,$K328),_xlpm.validNums,_xlfn._xlws.FILTER(_xlpm.nums,_xlpm.qtys&gt;0),_xlpm.validSheets,_xlfn._xlws.FILTER(_xlpm.sheets,_xlpm.qtys&gt;0),_xlpm.mx,IFERROR(MAX(_xlpm.validNums),0),IF(_xlpm.mx=0,"",INDEX(_xlpm.validSheets,MATCH(_xlpm.mx,_xlpm.validNums,0))&amp;" (+"&amp;$R328&amp;")")))</f>
        <v/>
      </c>
      <c r="F328" s="11" t="str">
        <f t="shared" si="23"/>
        <v/>
      </c>
      <c r="G328" s="12" t="str">
        <f ca="1">IF($A328="","",IFERROR(SUMIF(INDIRECT("'"&amp;'Template Setup'!$C$4&amp;"'!C:C"),$A328,INDIRECT("'"&amp;'Template Setup'!$C$4&amp;"'!A:A")),0))</f>
        <v/>
      </c>
      <c r="H328" s="12" t="str">
        <f ca="1">IF($A328="","",IFERROR(SUMIF(INDIRECT("'"&amp;'Template Setup'!$C$5&amp;"'!C:C"),$A328,INDIRECT("'"&amp;'Template Setup'!$C$5&amp;"'!A:A")),0))</f>
        <v/>
      </c>
      <c r="I328" s="12" t="str">
        <f ca="1">IF($A328="","",IFERROR(SUMIF(INDIRECT("'"&amp;'Template Setup'!$C$6&amp;"'!C:C"),$A328,INDIRECT("'"&amp;'Template Setup'!$C$6&amp;"'!A:A")),0))</f>
        <v/>
      </c>
      <c r="J328" s="12" t="str">
        <f ca="1">IF($A328="","",IFERROR(SUMIF(INDIRECT("'"&amp;'Template Setup'!$C$7&amp;"'!C:C"),$A328,INDIRECT("'"&amp;'Template Setup'!$C$7&amp;"'!A:A")),0))</f>
        <v/>
      </c>
      <c r="K328" s="12" t="str">
        <f ca="1">IF($A328="","",IFERROR(SUMIF(INDIRECT("'"&amp;'Template Setup'!$C$8&amp;"'!C:C"),$A328,INDIRECT("'"&amp;'Template Setup'!$C$8&amp;"'!A:A")),0))</f>
        <v/>
      </c>
      <c r="L328" s="11" t="str">
        <f>IF($A328="","",IFERROR(VALUE(MID(TRIM('Template Setup'!$C$4),FIND("-",TRIM('Template Setup'!$C$4))+1,10)),0))</f>
        <v/>
      </c>
      <c r="M328" s="11" t="str">
        <f>IF($A328="","",IFERROR(VALUE(MID(TRIM('Template Setup'!$C$5),FIND("-",TRIM('Template Setup'!$C$5))+1,10)),0))</f>
        <v/>
      </c>
      <c r="N328" s="11" t="str">
        <f>IF($A328="","",IFERROR(VALUE(MID(TRIM('Template Setup'!$C$6),FIND("-",TRIM('Template Setup'!$C$6))+1,10)),0))</f>
        <v/>
      </c>
      <c r="O328" s="11" t="str">
        <f>IF($A328="","",IFERROR(VALUE(MID(TRIM('Template Setup'!$C$7),FIND("-",TRIM('Template Setup'!$C$7))+1,10)),0))</f>
        <v/>
      </c>
      <c r="P328" s="11" t="str">
        <f>IF($A328="","",IFERROR(VALUE(MID(TRIM('Template Setup'!$C$8),FIND("-",TRIM('Template Setup'!$C$8))+1,10)),0))</f>
        <v/>
      </c>
      <c r="Q328" s="9" t="str">
        <f>IF($A328="","",$A328&amp;"-"&amp;'Template Setup'!$C$16)</f>
        <v/>
      </c>
      <c r="R328" s="24" t="str">
        <f t="shared" si="21"/>
        <v/>
      </c>
      <c r="S328" s="24"/>
      <c r="T328" s="24" t="str">
        <f t="shared" si="22"/>
        <v/>
      </c>
      <c r="U328" s="6" t="str">
        <f t="shared" si="20"/>
        <v/>
      </c>
    </row>
    <row r="329" spans="1:21">
      <c r="A329" s="11"/>
      <c r="B329" s="11"/>
      <c r="C329" s="11"/>
      <c r="D329" s="11" t="str">
        <f>IF($A329="","",_xlfn.TEXTJOIN(", ",TRUE,IF($G329&gt;0,'Template Setup'!$C$4,""),IF($H329&gt;0,'Template Setup'!$C$5,""),IF($I329&gt;0,'Template Setup'!$C$6,""),IF($J329&gt;0,'Template Setup'!$C$7,""),IF($K329&gt;0,'Template Setup'!$C$8,"")))</f>
        <v/>
      </c>
      <c r="E329" s="6" t="str" cm="1">
        <f t="array" ref="E329">IF($A329="","",_xlfn.LET(_xlpm.sheets,CHOOSE({1,2,3,4,5},'Template Setup'!$C$4,'Template Setup'!$C$5,'Template Setup'!$C$6,'Template Setup'!$C$7,'Template Setup'!$C$8),_xlpm.nums,CHOOSE({1,2,3,4,5},$L329,$M329,$N329,$O329,$P329),_xlpm.qtys,CHOOSE({1,2,3,4,5},$G329,$H329,$I329,$J329,$K329),_xlpm.validNums,_xlfn._xlws.FILTER(_xlpm.nums,_xlpm.qtys&gt;0),_xlpm.validSheets,_xlfn._xlws.FILTER(_xlpm.sheets,_xlpm.qtys&gt;0),_xlpm.mx,IFERROR(MAX(_xlpm.validNums),0),IF(_xlpm.mx=0,"",INDEX(_xlpm.validSheets,MATCH(_xlpm.mx,_xlpm.validNums,0))&amp;" (+"&amp;$R329&amp;")")))</f>
        <v/>
      </c>
      <c r="F329" s="11" t="str">
        <f t="shared" si="23"/>
        <v/>
      </c>
      <c r="G329" s="12" t="str">
        <f ca="1">IF($A329="","",IFERROR(SUMIF(INDIRECT("'"&amp;'Template Setup'!$C$4&amp;"'!C:C"),$A329,INDIRECT("'"&amp;'Template Setup'!$C$4&amp;"'!A:A")),0))</f>
        <v/>
      </c>
      <c r="H329" s="12" t="str">
        <f ca="1">IF($A329="","",IFERROR(SUMIF(INDIRECT("'"&amp;'Template Setup'!$C$5&amp;"'!C:C"),$A329,INDIRECT("'"&amp;'Template Setup'!$C$5&amp;"'!A:A")),0))</f>
        <v/>
      </c>
      <c r="I329" s="12" t="str">
        <f ca="1">IF($A329="","",IFERROR(SUMIF(INDIRECT("'"&amp;'Template Setup'!$C$6&amp;"'!C:C"),$A329,INDIRECT("'"&amp;'Template Setup'!$C$6&amp;"'!A:A")),0))</f>
        <v/>
      </c>
      <c r="J329" s="12" t="str">
        <f ca="1">IF($A329="","",IFERROR(SUMIF(INDIRECT("'"&amp;'Template Setup'!$C$7&amp;"'!C:C"),$A329,INDIRECT("'"&amp;'Template Setup'!$C$7&amp;"'!A:A")),0))</f>
        <v/>
      </c>
      <c r="K329" s="12" t="str">
        <f ca="1">IF($A329="","",IFERROR(SUMIF(INDIRECT("'"&amp;'Template Setup'!$C$8&amp;"'!C:C"),$A329,INDIRECT("'"&amp;'Template Setup'!$C$8&amp;"'!A:A")),0))</f>
        <v/>
      </c>
      <c r="L329" s="11" t="str">
        <f>IF($A329="","",IFERROR(VALUE(MID(TRIM('Template Setup'!$C$4),FIND("-",TRIM('Template Setup'!$C$4))+1,10)),0))</f>
        <v/>
      </c>
      <c r="M329" s="11" t="str">
        <f>IF($A329="","",IFERROR(VALUE(MID(TRIM('Template Setup'!$C$5),FIND("-",TRIM('Template Setup'!$C$5))+1,10)),0))</f>
        <v/>
      </c>
      <c r="N329" s="11" t="str">
        <f>IF($A329="","",IFERROR(VALUE(MID(TRIM('Template Setup'!$C$6),FIND("-",TRIM('Template Setup'!$C$6))+1,10)),0))</f>
        <v/>
      </c>
      <c r="O329" s="11" t="str">
        <f>IF($A329="","",IFERROR(VALUE(MID(TRIM('Template Setup'!$C$7),FIND("-",TRIM('Template Setup'!$C$7))+1,10)),0))</f>
        <v/>
      </c>
      <c r="P329" s="11" t="str">
        <f>IF($A329="","",IFERROR(VALUE(MID(TRIM('Template Setup'!$C$8),FIND("-",TRIM('Template Setup'!$C$8))+1,10)),0))</f>
        <v/>
      </c>
      <c r="Q329" s="9" t="str">
        <f>IF($A329="","",$A329&amp;"-"&amp;'Template Setup'!$C$16)</f>
        <v/>
      </c>
      <c r="R329" s="24" t="str">
        <f t="shared" si="21"/>
        <v/>
      </c>
      <c r="S329" s="24"/>
      <c r="T329" s="24" t="str">
        <f t="shared" si="22"/>
        <v/>
      </c>
      <c r="U329" s="6" t="str">
        <f t="shared" si="20"/>
        <v/>
      </c>
    </row>
    <row r="330" spans="1:21">
      <c r="A330" s="11"/>
      <c r="B330" s="11"/>
      <c r="C330" s="11"/>
      <c r="D330" s="11" t="str">
        <f>IF($A330="","",_xlfn.TEXTJOIN(", ",TRUE,IF($G330&gt;0,'Template Setup'!$C$4,""),IF($H330&gt;0,'Template Setup'!$C$5,""),IF($I330&gt;0,'Template Setup'!$C$6,""),IF($J330&gt;0,'Template Setup'!$C$7,""),IF($K330&gt;0,'Template Setup'!$C$8,"")))</f>
        <v/>
      </c>
      <c r="E330" s="6" t="str" cm="1">
        <f t="array" ref="E330">IF($A330="","",_xlfn.LET(_xlpm.sheets,CHOOSE({1,2,3,4,5},'Template Setup'!$C$4,'Template Setup'!$C$5,'Template Setup'!$C$6,'Template Setup'!$C$7,'Template Setup'!$C$8),_xlpm.nums,CHOOSE({1,2,3,4,5},$L330,$M330,$N330,$O330,$P330),_xlpm.qtys,CHOOSE({1,2,3,4,5},$G330,$H330,$I330,$J330,$K330),_xlpm.validNums,_xlfn._xlws.FILTER(_xlpm.nums,_xlpm.qtys&gt;0),_xlpm.validSheets,_xlfn._xlws.FILTER(_xlpm.sheets,_xlpm.qtys&gt;0),_xlpm.mx,IFERROR(MAX(_xlpm.validNums),0),IF(_xlpm.mx=0,"",INDEX(_xlpm.validSheets,MATCH(_xlpm.mx,_xlpm.validNums,0))&amp;" (+"&amp;$R330&amp;")")))</f>
        <v/>
      </c>
      <c r="F330" s="11" t="str">
        <f t="shared" si="23"/>
        <v/>
      </c>
      <c r="G330" s="12" t="str">
        <f ca="1">IF($A330="","",IFERROR(SUMIF(INDIRECT("'"&amp;'Template Setup'!$C$4&amp;"'!C:C"),$A330,INDIRECT("'"&amp;'Template Setup'!$C$4&amp;"'!A:A")),0))</f>
        <v/>
      </c>
      <c r="H330" s="12" t="str">
        <f ca="1">IF($A330="","",IFERROR(SUMIF(INDIRECT("'"&amp;'Template Setup'!$C$5&amp;"'!C:C"),$A330,INDIRECT("'"&amp;'Template Setup'!$C$5&amp;"'!A:A")),0))</f>
        <v/>
      </c>
      <c r="I330" s="12" t="str">
        <f ca="1">IF($A330="","",IFERROR(SUMIF(INDIRECT("'"&amp;'Template Setup'!$C$6&amp;"'!C:C"),$A330,INDIRECT("'"&amp;'Template Setup'!$C$6&amp;"'!A:A")),0))</f>
        <v/>
      </c>
      <c r="J330" s="12" t="str">
        <f ca="1">IF($A330="","",IFERROR(SUMIF(INDIRECT("'"&amp;'Template Setup'!$C$7&amp;"'!C:C"),$A330,INDIRECT("'"&amp;'Template Setup'!$C$7&amp;"'!A:A")),0))</f>
        <v/>
      </c>
      <c r="K330" s="12" t="str">
        <f ca="1">IF($A330="","",IFERROR(SUMIF(INDIRECT("'"&amp;'Template Setup'!$C$8&amp;"'!C:C"),$A330,INDIRECT("'"&amp;'Template Setup'!$C$8&amp;"'!A:A")),0))</f>
        <v/>
      </c>
      <c r="L330" s="11" t="str">
        <f>IF($A330="","",IFERROR(VALUE(MID(TRIM('Template Setup'!$C$4),FIND("-",TRIM('Template Setup'!$C$4))+1,10)),0))</f>
        <v/>
      </c>
      <c r="M330" s="11" t="str">
        <f>IF($A330="","",IFERROR(VALUE(MID(TRIM('Template Setup'!$C$5),FIND("-",TRIM('Template Setup'!$C$5))+1,10)),0))</f>
        <v/>
      </c>
      <c r="N330" s="11" t="str">
        <f>IF($A330="","",IFERROR(VALUE(MID(TRIM('Template Setup'!$C$6),FIND("-",TRIM('Template Setup'!$C$6))+1,10)),0))</f>
        <v/>
      </c>
      <c r="O330" s="11" t="str">
        <f>IF($A330="","",IFERROR(VALUE(MID(TRIM('Template Setup'!$C$7),FIND("-",TRIM('Template Setup'!$C$7))+1,10)),0))</f>
        <v/>
      </c>
      <c r="P330" s="11" t="str">
        <f>IF($A330="","",IFERROR(VALUE(MID(TRIM('Template Setup'!$C$8),FIND("-",TRIM('Template Setup'!$C$8))+1,10)),0))</f>
        <v/>
      </c>
      <c r="Q330" s="9" t="str">
        <f>IF($A330="","",$A330&amp;"-"&amp;'Template Setup'!$C$16)</f>
        <v/>
      </c>
      <c r="R330" s="24" t="str">
        <f t="shared" si="21"/>
        <v/>
      </c>
      <c r="S330" s="24"/>
      <c r="T330" s="24" t="str">
        <f t="shared" si="22"/>
        <v/>
      </c>
      <c r="U330" s="6" t="str">
        <f t="shared" si="20"/>
        <v/>
      </c>
    </row>
    <row r="331" spans="1:21">
      <c r="A331" s="11"/>
      <c r="B331" s="11"/>
      <c r="C331" s="11"/>
      <c r="D331" s="11" t="str">
        <f>IF($A331="","",_xlfn.TEXTJOIN(", ",TRUE,IF($G331&gt;0,'Template Setup'!$C$4,""),IF($H331&gt;0,'Template Setup'!$C$5,""),IF($I331&gt;0,'Template Setup'!$C$6,""),IF($J331&gt;0,'Template Setup'!$C$7,""),IF($K331&gt;0,'Template Setup'!$C$8,"")))</f>
        <v/>
      </c>
      <c r="E331" s="6" t="str" cm="1">
        <f t="array" ref="E331">IF($A331="","",_xlfn.LET(_xlpm.sheets,CHOOSE({1,2,3,4,5},'Template Setup'!$C$4,'Template Setup'!$C$5,'Template Setup'!$C$6,'Template Setup'!$C$7,'Template Setup'!$C$8),_xlpm.nums,CHOOSE({1,2,3,4,5},$L331,$M331,$N331,$O331,$P331),_xlpm.qtys,CHOOSE({1,2,3,4,5},$G331,$H331,$I331,$J331,$K331),_xlpm.validNums,_xlfn._xlws.FILTER(_xlpm.nums,_xlpm.qtys&gt;0),_xlpm.validSheets,_xlfn._xlws.FILTER(_xlpm.sheets,_xlpm.qtys&gt;0),_xlpm.mx,IFERROR(MAX(_xlpm.validNums),0),IF(_xlpm.mx=0,"",INDEX(_xlpm.validSheets,MATCH(_xlpm.mx,_xlpm.validNums,0))&amp;" (+"&amp;$R331&amp;")")))</f>
        <v/>
      </c>
      <c r="F331" s="11" t="str">
        <f t="shared" si="23"/>
        <v/>
      </c>
      <c r="G331" s="12" t="str">
        <f ca="1">IF($A331="","",IFERROR(SUMIF(INDIRECT("'"&amp;'Template Setup'!$C$4&amp;"'!C:C"),$A331,INDIRECT("'"&amp;'Template Setup'!$C$4&amp;"'!A:A")),0))</f>
        <v/>
      </c>
      <c r="H331" s="12" t="str">
        <f ca="1">IF($A331="","",IFERROR(SUMIF(INDIRECT("'"&amp;'Template Setup'!$C$5&amp;"'!C:C"),$A331,INDIRECT("'"&amp;'Template Setup'!$C$5&amp;"'!A:A")),0))</f>
        <v/>
      </c>
      <c r="I331" s="12" t="str">
        <f ca="1">IF($A331="","",IFERROR(SUMIF(INDIRECT("'"&amp;'Template Setup'!$C$6&amp;"'!C:C"),$A331,INDIRECT("'"&amp;'Template Setup'!$C$6&amp;"'!A:A")),0))</f>
        <v/>
      </c>
      <c r="J331" s="12" t="str">
        <f ca="1">IF($A331="","",IFERROR(SUMIF(INDIRECT("'"&amp;'Template Setup'!$C$7&amp;"'!C:C"),$A331,INDIRECT("'"&amp;'Template Setup'!$C$7&amp;"'!A:A")),0))</f>
        <v/>
      </c>
      <c r="K331" s="12" t="str">
        <f ca="1">IF($A331="","",IFERROR(SUMIF(INDIRECT("'"&amp;'Template Setup'!$C$8&amp;"'!C:C"),$A331,INDIRECT("'"&amp;'Template Setup'!$C$8&amp;"'!A:A")),0))</f>
        <v/>
      </c>
      <c r="L331" s="11" t="str">
        <f>IF($A331="","",IFERROR(VALUE(MID(TRIM('Template Setup'!$C$4),FIND("-",TRIM('Template Setup'!$C$4))+1,10)),0))</f>
        <v/>
      </c>
      <c r="M331" s="11" t="str">
        <f>IF($A331="","",IFERROR(VALUE(MID(TRIM('Template Setup'!$C$5),FIND("-",TRIM('Template Setup'!$C$5))+1,10)),0))</f>
        <v/>
      </c>
      <c r="N331" s="11" t="str">
        <f>IF($A331="","",IFERROR(VALUE(MID(TRIM('Template Setup'!$C$6),FIND("-",TRIM('Template Setup'!$C$6))+1,10)),0))</f>
        <v/>
      </c>
      <c r="O331" s="11" t="str">
        <f>IF($A331="","",IFERROR(VALUE(MID(TRIM('Template Setup'!$C$7),FIND("-",TRIM('Template Setup'!$C$7))+1,10)),0))</f>
        <v/>
      </c>
      <c r="P331" s="11" t="str">
        <f>IF($A331="","",IFERROR(VALUE(MID(TRIM('Template Setup'!$C$8),FIND("-",TRIM('Template Setup'!$C$8))+1,10)),0))</f>
        <v/>
      </c>
      <c r="Q331" s="9" t="str">
        <f>IF($A331="","",$A331&amp;"-"&amp;'Template Setup'!$C$16)</f>
        <v/>
      </c>
      <c r="R331" s="24" t="str">
        <f t="shared" si="21"/>
        <v/>
      </c>
      <c r="S331" s="24"/>
      <c r="T331" s="24" t="str">
        <f t="shared" si="22"/>
        <v/>
      </c>
      <c r="U331" s="6" t="str">
        <f t="shared" si="20"/>
        <v/>
      </c>
    </row>
    <row r="332" spans="1:21">
      <c r="A332" s="11"/>
      <c r="B332" s="11"/>
      <c r="C332" s="11"/>
      <c r="D332" s="11" t="str">
        <f>IF($A332="","",_xlfn.TEXTJOIN(", ",TRUE,IF($G332&gt;0,'Template Setup'!$C$4,""),IF($H332&gt;0,'Template Setup'!$C$5,""),IF($I332&gt;0,'Template Setup'!$C$6,""),IF($J332&gt;0,'Template Setup'!$C$7,""),IF($K332&gt;0,'Template Setup'!$C$8,"")))</f>
        <v/>
      </c>
      <c r="E332" s="6" t="str" cm="1">
        <f t="array" ref="E332">IF($A332="","",_xlfn.LET(_xlpm.sheets,CHOOSE({1,2,3,4,5},'Template Setup'!$C$4,'Template Setup'!$C$5,'Template Setup'!$C$6,'Template Setup'!$C$7,'Template Setup'!$C$8),_xlpm.nums,CHOOSE({1,2,3,4,5},$L332,$M332,$N332,$O332,$P332),_xlpm.qtys,CHOOSE({1,2,3,4,5},$G332,$H332,$I332,$J332,$K332),_xlpm.validNums,_xlfn._xlws.FILTER(_xlpm.nums,_xlpm.qtys&gt;0),_xlpm.validSheets,_xlfn._xlws.FILTER(_xlpm.sheets,_xlpm.qtys&gt;0),_xlpm.mx,IFERROR(MAX(_xlpm.validNums),0),IF(_xlpm.mx=0,"",INDEX(_xlpm.validSheets,MATCH(_xlpm.mx,_xlpm.validNums,0))&amp;" (+"&amp;$R332&amp;")")))</f>
        <v/>
      </c>
      <c r="F332" s="11" t="str">
        <f t="shared" si="23"/>
        <v/>
      </c>
      <c r="G332" s="12" t="str">
        <f ca="1">IF($A332="","",IFERROR(SUMIF(INDIRECT("'"&amp;'Template Setup'!$C$4&amp;"'!C:C"),$A332,INDIRECT("'"&amp;'Template Setup'!$C$4&amp;"'!A:A")),0))</f>
        <v/>
      </c>
      <c r="H332" s="12" t="str">
        <f ca="1">IF($A332="","",IFERROR(SUMIF(INDIRECT("'"&amp;'Template Setup'!$C$5&amp;"'!C:C"),$A332,INDIRECT("'"&amp;'Template Setup'!$C$5&amp;"'!A:A")),0))</f>
        <v/>
      </c>
      <c r="I332" s="12" t="str">
        <f ca="1">IF($A332="","",IFERROR(SUMIF(INDIRECT("'"&amp;'Template Setup'!$C$6&amp;"'!C:C"),$A332,INDIRECT("'"&amp;'Template Setup'!$C$6&amp;"'!A:A")),0))</f>
        <v/>
      </c>
      <c r="J332" s="12" t="str">
        <f ca="1">IF($A332="","",IFERROR(SUMIF(INDIRECT("'"&amp;'Template Setup'!$C$7&amp;"'!C:C"),$A332,INDIRECT("'"&amp;'Template Setup'!$C$7&amp;"'!A:A")),0))</f>
        <v/>
      </c>
      <c r="K332" s="12" t="str">
        <f ca="1">IF($A332="","",IFERROR(SUMIF(INDIRECT("'"&amp;'Template Setup'!$C$8&amp;"'!C:C"),$A332,INDIRECT("'"&amp;'Template Setup'!$C$8&amp;"'!A:A")),0))</f>
        <v/>
      </c>
      <c r="L332" s="11" t="str">
        <f>IF($A332="","",IFERROR(VALUE(MID(TRIM('Template Setup'!$C$4),FIND("-",TRIM('Template Setup'!$C$4))+1,10)),0))</f>
        <v/>
      </c>
      <c r="M332" s="11" t="str">
        <f>IF($A332="","",IFERROR(VALUE(MID(TRIM('Template Setup'!$C$5),FIND("-",TRIM('Template Setup'!$C$5))+1,10)),0))</f>
        <v/>
      </c>
      <c r="N332" s="11" t="str">
        <f>IF($A332="","",IFERROR(VALUE(MID(TRIM('Template Setup'!$C$6),FIND("-",TRIM('Template Setup'!$C$6))+1,10)),0))</f>
        <v/>
      </c>
      <c r="O332" s="11" t="str">
        <f>IF($A332="","",IFERROR(VALUE(MID(TRIM('Template Setup'!$C$7),FIND("-",TRIM('Template Setup'!$C$7))+1,10)),0))</f>
        <v/>
      </c>
      <c r="P332" s="11" t="str">
        <f>IF($A332="","",IFERROR(VALUE(MID(TRIM('Template Setup'!$C$8),FIND("-",TRIM('Template Setup'!$C$8))+1,10)),0))</f>
        <v/>
      </c>
      <c r="Q332" s="9" t="str">
        <f>IF($A332="","",$A332&amp;"-"&amp;'Template Setup'!$C$16)</f>
        <v/>
      </c>
      <c r="R332" s="24" t="str">
        <f t="shared" si="21"/>
        <v/>
      </c>
      <c r="S332" s="24"/>
      <c r="T332" s="24" t="str">
        <f t="shared" si="22"/>
        <v/>
      </c>
      <c r="U332" s="6" t="str">
        <f t="shared" si="20"/>
        <v/>
      </c>
    </row>
    <row r="333" spans="1:21">
      <c r="A333" s="11"/>
      <c r="B333" s="11"/>
      <c r="C333" s="11"/>
      <c r="D333" s="11" t="str">
        <f>IF($A333="","",_xlfn.TEXTJOIN(", ",TRUE,IF($G333&gt;0,'Template Setup'!$C$4,""),IF($H333&gt;0,'Template Setup'!$C$5,""),IF($I333&gt;0,'Template Setup'!$C$6,""),IF($J333&gt;0,'Template Setup'!$C$7,""),IF($K333&gt;0,'Template Setup'!$C$8,"")))</f>
        <v/>
      </c>
      <c r="E333" s="6" t="str" cm="1">
        <f t="array" ref="E333">IF($A333="","",_xlfn.LET(_xlpm.sheets,CHOOSE({1,2,3,4,5},'Template Setup'!$C$4,'Template Setup'!$C$5,'Template Setup'!$C$6,'Template Setup'!$C$7,'Template Setup'!$C$8),_xlpm.nums,CHOOSE({1,2,3,4,5},$L333,$M333,$N333,$O333,$P333),_xlpm.qtys,CHOOSE({1,2,3,4,5},$G333,$H333,$I333,$J333,$K333),_xlpm.validNums,_xlfn._xlws.FILTER(_xlpm.nums,_xlpm.qtys&gt;0),_xlpm.validSheets,_xlfn._xlws.FILTER(_xlpm.sheets,_xlpm.qtys&gt;0),_xlpm.mx,IFERROR(MAX(_xlpm.validNums),0),IF(_xlpm.mx=0,"",INDEX(_xlpm.validSheets,MATCH(_xlpm.mx,_xlpm.validNums,0))&amp;" (+"&amp;$R333&amp;")")))</f>
        <v/>
      </c>
      <c r="F333" s="11" t="str">
        <f t="shared" si="23"/>
        <v/>
      </c>
      <c r="G333" s="12" t="str">
        <f ca="1">IF($A333="","",IFERROR(SUMIF(INDIRECT("'"&amp;'Template Setup'!$C$4&amp;"'!C:C"),$A333,INDIRECT("'"&amp;'Template Setup'!$C$4&amp;"'!A:A")),0))</f>
        <v/>
      </c>
      <c r="H333" s="12" t="str">
        <f ca="1">IF($A333="","",IFERROR(SUMIF(INDIRECT("'"&amp;'Template Setup'!$C$5&amp;"'!C:C"),$A333,INDIRECT("'"&amp;'Template Setup'!$C$5&amp;"'!A:A")),0))</f>
        <v/>
      </c>
      <c r="I333" s="12" t="str">
        <f ca="1">IF($A333="","",IFERROR(SUMIF(INDIRECT("'"&amp;'Template Setup'!$C$6&amp;"'!C:C"),$A333,INDIRECT("'"&amp;'Template Setup'!$C$6&amp;"'!A:A")),0))</f>
        <v/>
      </c>
      <c r="J333" s="12" t="str">
        <f ca="1">IF($A333="","",IFERROR(SUMIF(INDIRECT("'"&amp;'Template Setup'!$C$7&amp;"'!C:C"),$A333,INDIRECT("'"&amp;'Template Setup'!$C$7&amp;"'!A:A")),0))</f>
        <v/>
      </c>
      <c r="K333" s="12" t="str">
        <f ca="1">IF($A333="","",IFERROR(SUMIF(INDIRECT("'"&amp;'Template Setup'!$C$8&amp;"'!C:C"),$A333,INDIRECT("'"&amp;'Template Setup'!$C$8&amp;"'!A:A")),0))</f>
        <v/>
      </c>
      <c r="L333" s="11" t="str">
        <f>IF($A333="","",IFERROR(VALUE(MID(TRIM('Template Setup'!$C$4),FIND("-",TRIM('Template Setup'!$C$4))+1,10)),0))</f>
        <v/>
      </c>
      <c r="M333" s="11" t="str">
        <f>IF($A333="","",IFERROR(VALUE(MID(TRIM('Template Setup'!$C$5),FIND("-",TRIM('Template Setup'!$C$5))+1,10)),0))</f>
        <v/>
      </c>
      <c r="N333" s="11" t="str">
        <f>IF($A333="","",IFERROR(VALUE(MID(TRIM('Template Setup'!$C$6),FIND("-",TRIM('Template Setup'!$C$6))+1,10)),0))</f>
        <v/>
      </c>
      <c r="O333" s="11" t="str">
        <f>IF($A333="","",IFERROR(VALUE(MID(TRIM('Template Setup'!$C$7),FIND("-",TRIM('Template Setup'!$C$7))+1,10)),0))</f>
        <v/>
      </c>
      <c r="P333" s="11" t="str">
        <f>IF($A333="","",IFERROR(VALUE(MID(TRIM('Template Setup'!$C$8),FIND("-",TRIM('Template Setup'!$C$8))+1,10)),0))</f>
        <v/>
      </c>
      <c r="Q333" s="9" t="str">
        <f>IF($A333="","",$A333&amp;"-"&amp;'Template Setup'!$C$16)</f>
        <v/>
      </c>
      <c r="R333" s="24" t="str">
        <f t="shared" si="21"/>
        <v/>
      </c>
      <c r="S333" s="24"/>
      <c r="T333" s="24" t="str">
        <f t="shared" si="22"/>
        <v/>
      </c>
      <c r="U333" s="6" t="str">
        <f t="shared" si="20"/>
        <v/>
      </c>
    </row>
    <row r="334" spans="1:21">
      <c r="A334" s="11"/>
      <c r="B334" s="11"/>
      <c r="C334" s="11"/>
      <c r="D334" s="11" t="str">
        <f>IF($A334="","",_xlfn.TEXTJOIN(", ",TRUE,IF($G334&gt;0,'Template Setup'!$C$4,""),IF($H334&gt;0,'Template Setup'!$C$5,""),IF($I334&gt;0,'Template Setup'!$C$6,""),IF($J334&gt;0,'Template Setup'!$C$7,""),IF($K334&gt;0,'Template Setup'!$C$8,"")))</f>
        <v/>
      </c>
      <c r="E334" s="6" t="str" cm="1">
        <f t="array" ref="E334">IF($A334="","",_xlfn.LET(_xlpm.sheets,CHOOSE({1,2,3,4,5},'Template Setup'!$C$4,'Template Setup'!$C$5,'Template Setup'!$C$6,'Template Setup'!$C$7,'Template Setup'!$C$8),_xlpm.nums,CHOOSE({1,2,3,4,5},$L334,$M334,$N334,$O334,$P334),_xlpm.qtys,CHOOSE({1,2,3,4,5},$G334,$H334,$I334,$J334,$K334),_xlpm.validNums,_xlfn._xlws.FILTER(_xlpm.nums,_xlpm.qtys&gt;0),_xlpm.validSheets,_xlfn._xlws.FILTER(_xlpm.sheets,_xlpm.qtys&gt;0),_xlpm.mx,IFERROR(MAX(_xlpm.validNums),0),IF(_xlpm.mx=0,"",INDEX(_xlpm.validSheets,MATCH(_xlpm.mx,_xlpm.validNums,0))&amp;" (+"&amp;$R334&amp;")")))</f>
        <v/>
      </c>
      <c r="F334" s="11" t="str">
        <f t="shared" si="23"/>
        <v/>
      </c>
      <c r="G334" s="12" t="str">
        <f ca="1">IF($A334="","",IFERROR(SUMIF(INDIRECT("'"&amp;'Template Setup'!$C$4&amp;"'!C:C"),$A334,INDIRECT("'"&amp;'Template Setup'!$C$4&amp;"'!A:A")),0))</f>
        <v/>
      </c>
      <c r="H334" s="12" t="str">
        <f ca="1">IF($A334="","",IFERROR(SUMIF(INDIRECT("'"&amp;'Template Setup'!$C$5&amp;"'!C:C"),$A334,INDIRECT("'"&amp;'Template Setup'!$C$5&amp;"'!A:A")),0))</f>
        <v/>
      </c>
      <c r="I334" s="12" t="str">
        <f ca="1">IF($A334="","",IFERROR(SUMIF(INDIRECT("'"&amp;'Template Setup'!$C$6&amp;"'!C:C"),$A334,INDIRECT("'"&amp;'Template Setup'!$C$6&amp;"'!A:A")),0))</f>
        <v/>
      </c>
      <c r="J334" s="12" t="str">
        <f ca="1">IF($A334="","",IFERROR(SUMIF(INDIRECT("'"&amp;'Template Setup'!$C$7&amp;"'!C:C"),$A334,INDIRECT("'"&amp;'Template Setup'!$C$7&amp;"'!A:A")),0))</f>
        <v/>
      </c>
      <c r="K334" s="12" t="str">
        <f ca="1">IF($A334="","",IFERROR(SUMIF(INDIRECT("'"&amp;'Template Setup'!$C$8&amp;"'!C:C"),$A334,INDIRECT("'"&amp;'Template Setup'!$C$8&amp;"'!A:A")),0))</f>
        <v/>
      </c>
      <c r="L334" s="11" t="str">
        <f>IF($A334="","",IFERROR(VALUE(MID(TRIM('Template Setup'!$C$4),FIND("-",TRIM('Template Setup'!$C$4))+1,10)),0))</f>
        <v/>
      </c>
      <c r="M334" s="11" t="str">
        <f>IF($A334="","",IFERROR(VALUE(MID(TRIM('Template Setup'!$C$5),FIND("-",TRIM('Template Setup'!$C$5))+1,10)),0))</f>
        <v/>
      </c>
      <c r="N334" s="11" t="str">
        <f>IF($A334="","",IFERROR(VALUE(MID(TRIM('Template Setup'!$C$6),FIND("-",TRIM('Template Setup'!$C$6))+1,10)),0))</f>
        <v/>
      </c>
      <c r="O334" s="11" t="str">
        <f>IF($A334="","",IFERROR(VALUE(MID(TRIM('Template Setup'!$C$7),FIND("-",TRIM('Template Setup'!$C$7))+1,10)),0))</f>
        <v/>
      </c>
      <c r="P334" s="11" t="str">
        <f>IF($A334="","",IFERROR(VALUE(MID(TRIM('Template Setup'!$C$8),FIND("-",TRIM('Template Setup'!$C$8))+1,10)),0))</f>
        <v/>
      </c>
      <c r="Q334" s="9" t="str">
        <f>IF($A334="","",$A334&amp;"-"&amp;'Template Setup'!$C$16)</f>
        <v/>
      </c>
      <c r="R334" s="24" t="str">
        <f t="shared" si="21"/>
        <v/>
      </c>
      <c r="S334" s="24"/>
      <c r="T334" s="24" t="str">
        <f t="shared" si="22"/>
        <v/>
      </c>
      <c r="U334" s="6" t="str">
        <f t="shared" si="20"/>
        <v/>
      </c>
    </row>
    <row r="335" spans="1:21">
      <c r="A335" s="11"/>
      <c r="B335" s="11"/>
      <c r="C335" s="11"/>
      <c r="D335" s="11" t="str">
        <f>IF($A335="","",_xlfn.TEXTJOIN(", ",TRUE,IF($G335&gt;0,'Template Setup'!$C$4,""),IF($H335&gt;0,'Template Setup'!$C$5,""),IF($I335&gt;0,'Template Setup'!$C$6,""),IF($J335&gt;0,'Template Setup'!$C$7,""),IF($K335&gt;0,'Template Setup'!$C$8,"")))</f>
        <v/>
      </c>
      <c r="E335" s="6" t="str" cm="1">
        <f t="array" ref="E335">IF($A335="","",_xlfn.LET(_xlpm.sheets,CHOOSE({1,2,3,4,5},'Template Setup'!$C$4,'Template Setup'!$C$5,'Template Setup'!$C$6,'Template Setup'!$C$7,'Template Setup'!$C$8),_xlpm.nums,CHOOSE({1,2,3,4,5},$L335,$M335,$N335,$O335,$P335),_xlpm.qtys,CHOOSE({1,2,3,4,5},$G335,$H335,$I335,$J335,$K335),_xlpm.validNums,_xlfn._xlws.FILTER(_xlpm.nums,_xlpm.qtys&gt;0),_xlpm.validSheets,_xlfn._xlws.FILTER(_xlpm.sheets,_xlpm.qtys&gt;0),_xlpm.mx,IFERROR(MAX(_xlpm.validNums),0),IF(_xlpm.mx=0,"",INDEX(_xlpm.validSheets,MATCH(_xlpm.mx,_xlpm.validNums,0))&amp;" (+"&amp;$R335&amp;")")))</f>
        <v/>
      </c>
      <c r="F335" s="11" t="str">
        <f t="shared" si="23"/>
        <v/>
      </c>
      <c r="G335" s="12" t="str">
        <f ca="1">IF($A335="","",IFERROR(SUMIF(INDIRECT("'"&amp;'Template Setup'!$C$4&amp;"'!C:C"),$A335,INDIRECT("'"&amp;'Template Setup'!$C$4&amp;"'!A:A")),0))</f>
        <v/>
      </c>
      <c r="H335" s="12" t="str">
        <f ca="1">IF($A335="","",IFERROR(SUMIF(INDIRECT("'"&amp;'Template Setup'!$C$5&amp;"'!C:C"),$A335,INDIRECT("'"&amp;'Template Setup'!$C$5&amp;"'!A:A")),0))</f>
        <v/>
      </c>
      <c r="I335" s="12" t="str">
        <f ca="1">IF($A335="","",IFERROR(SUMIF(INDIRECT("'"&amp;'Template Setup'!$C$6&amp;"'!C:C"),$A335,INDIRECT("'"&amp;'Template Setup'!$C$6&amp;"'!A:A")),0))</f>
        <v/>
      </c>
      <c r="J335" s="12" t="str">
        <f ca="1">IF($A335="","",IFERROR(SUMIF(INDIRECT("'"&amp;'Template Setup'!$C$7&amp;"'!C:C"),$A335,INDIRECT("'"&amp;'Template Setup'!$C$7&amp;"'!A:A")),0))</f>
        <v/>
      </c>
      <c r="K335" s="12" t="str">
        <f ca="1">IF($A335="","",IFERROR(SUMIF(INDIRECT("'"&amp;'Template Setup'!$C$8&amp;"'!C:C"),$A335,INDIRECT("'"&amp;'Template Setup'!$C$8&amp;"'!A:A")),0))</f>
        <v/>
      </c>
      <c r="L335" s="11" t="str">
        <f>IF($A335="","",IFERROR(VALUE(MID(TRIM('Template Setup'!$C$4),FIND("-",TRIM('Template Setup'!$C$4))+1,10)),0))</f>
        <v/>
      </c>
      <c r="M335" s="11" t="str">
        <f>IF($A335="","",IFERROR(VALUE(MID(TRIM('Template Setup'!$C$5),FIND("-",TRIM('Template Setup'!$C$5))+1,10)),0))</f>
        <v/>
      </c>
      <c r="N335" s="11" t="str">
        <f>IF($A335="","",IFERROR(VALUE(MID(TRIM('Template Setup'!$C$6),FIND("-",TRIM('Template Setup'!$C$6))+1,10)),0))</f>
        <v/>
      </c>
      <c r="O335" s="11" t="str">
        <f>IF($A335="","",IFERROR(VALUE(MID(TRIM('Template Setup'!$C$7),FIND("-",TRIM('Template Setup'!$C$7))+1,10)),0))</f>
        <v/>
      </c>
      <c r="P335" s="11" t="str">
        <f>IF($A335="","",IFERROR(VALUE(MID(TRIM('Template Setup'!$C$8),FIND("-",TRIM('Template Setup'!$C$8))+1,10)),0))</f>
        <v/>
      </c>
      <c r="Q335" s="9" t="str">
        <f>IF($A335="","",$A335&amp;"-"&amp;'Template Setup'!$C$16)</f>
        <v/>
      </c>
      <c r="R335" s="24" t="str">
        <f t="shared" si="21"/>
        <v/>
      </c>
      <c r="S335" s="24"/>
      <c r="T335" s="24" t="str">
        <f t="shared" si="22"/>
        <v/>
      </c>
      <c r="U335" s="6" t="str">
        <f t="shared" si="20"/>
        <v/>
      </c>
    </row>
    <row r="336" spans="1:21">
      <c r="A336" s="11"/>
      <c r="B336" s="11"/>
      <c r="C336" s="11"/>
      <c r="D336" s="11" t="str">
        <f>IF($A336="","",_xlfn.TEXTJOIN(", ",TRUE,IF($G336&gt;0,'Template Setup'!$C$4,""),IF($H336&gt;0,'Template Setup'!$C$5,""),IF($I336&gt;0,'Template Setup'!$C$6,""),IF($J336&gt;0,'Template Setup'!$C$7,""),IF($K336&gt;0,'Template Setup'!$C$8,"")))</f>
        <v/>
      </c>
      <c r="E336" s="6" t="str" cm="1">
        <f t="array" ref="E336">IF($A336="","",_xlfn.LET(_xlpm.sheets,CHOOSE({1,2,3,4,5},'Template Setup'!$C$4,'Template Setup'!$C$5,'Template Setup'!$C$6,'Template Setup'!$C$7,'Template Setup'!$C$8),_xlpm.nums,CHOOSE({1,2,3,4,5},$L336,$M336,$N336,$O336,$P336),_xlpm.qtys,CHOOSE({1,2,3,4,5},$G336,$H336,$I336,$J336,$K336),_xlpm.validNums,_xlfn._xlws.FILTER(_xlpm.nums,_xlpm.qtys&gt;0),_xlpm.validSheets,_xlfn._xlws.FILTER(_xlpm.sheets,_xlpm.qtys&gt;0),_xlpm.mx,IFERROR(MAX(_xlpm.validNums),0),IF(_xlpm.mx=0,"",INDEX(_xlpm.validSheets,MATCH(_xlpm.mx,_xlpm.validNums,0))&amp;" (+"&amp;$R336&amp;")")))</f>
        <v/>
      </c>
      <c r="F336" s="11" t="str">
        <f t="shared" si="23"/>
        <v/>
      </c>
      <c r="G336" s="12" t="str">
        <f ca="1">IF($A336="","",IFERROR(SUMIF(INDIRECT("'"&amp;'Template Setup'!$C$4&amp;"'!C:C"),$A336,INDIRECT("'"&amp;'Template Setup'!$C$4&amp;"'!A:A")),0))</f>
        <v/>
      </c>
      <c r="H336" s="12" t="str">
        <f ca="1">IF($A336="","",IFERROR(SUMIF(INDIRECT("'"&amp;'Template Setup'!$C$5&amp;"'!C:C"),$A336,INDIRECT("'"&amp;'Template Setup'!$C$5&amp;"'!A:A")),0))</f>
        <v/>
      </c>
      <c r="I336" s="12" t="str">
        <f ca="1">IF($A336="","",IFERROR(SUMIF(INDIRECT("'"&amp;'Template Setup'!$C$6&amp;"'!C:C"),$A336,INDIRECT("'"&amp;'Template Setup'!$C$6&amp;"'!A:A")),0))</f>
        <v/>
      </c>
      <c r="J336" s="12" t="str">
        <f ca="1">IF($A336="","",IFERROR(SUMIF(INDIRECT("'"&amp;'Template Setup'!$C$7&amp;"'!C:C"),$A336,INDIRECT("'"&amp;'Template Setup'!$C$7&amp;"'!A:A")),0))</f>
        <v/>
      </c>
      <c r="K336" s="12" t="str">
        <f ca="1">IF($A336="","",IFERROR(SUMIF(INDIRECT("'"&amp;'Template Setup'!$C$8&amp;"'!C:C"),$A336,INDIRECT("'"&amp;'Template Setup'!$C$8&amp;"'!A:A")),0))</f>
        <v/>
      </c>
      <c r="L336" s="11" t="str">
        <f>IF($A336="","",IFERROR(VALUE(MID(TRIM('Template Setup'!$C$4),FIND("-",TRIM('Template Setup'!$C$4))+1,10)),0))</f>
        <v/>
      </c>
      <c r="M336" s="11" t="str">
        <f>IF($A336="","",IFERROR(VALUE(MID(TRIM('Template Setup'!$C$5),FIND("-",TRIM('Template Setup'!$C$5))+1,10)),0))</f>
        <v/>
      </c>
      <c r="N336" s="11" t="str">
        <f>IF($A336="","",IFERROR(VALUE(MID(TRIM('Template Setup'!$C$6),FIND("-",TRIM('Template Setup'!$C$6))+1,10)),0))</f>
        <v/>
      </c>
      <c r="O336" s="11" t="str">
        <f>IF($A336="","",IFERROR(VALUE(MID(TRIM('Template Setup'!$C$7),FIND("-",TRIM('Template Setup'!$C$7))+1,10)),0))</f>
        <v/>
      </c>
      <c r="P336" s="11" t="str">
        <f>IF($A336="","",IFERROR(VALUE(MID(TRIM('Template Setup'!$C$8),FIND("-",TRIM('Template Setup'!$C$8))+1,10)),0))</f>
        <v/>
      </c>
      <c r="Q336" s="9" t="str">
        <f>IF($A336="","",$A336&amp;"-"&amp;'Template Setup'!$C$16)</f>
        <v/>
      </c>
      <c r="R336" s="24" t="str">
        <f t="shared" si="21"/>
        <v/>
      </c>
      <c r="S336" s="24"/>
      <c r="T336" s="24" t="str">
        <f t="shared" si="22"/>
        <v/>
      </c>
      <c r="U336" s="6" t="str">
        <f t="shared" si="20"/>
        <v/>
      </c>
    </row>
    <row r="337" spans="1:21">
      <c r="A337" s="11"/>
      <c r="B337" s="11"/>
      <c r="C337" s="11"/>
      <c r="D337" s="11" t="str">
        <f>IF($A337="","",_xlfn.TEXTJOIN(", ",TRUE,IF($G337&gt;0,'Template Setup'!$C$4,""),IF($H337&gt;0,'Template Setup'!$C$5,""),IF($I337&gt;0,'Template Setup'!$C$6,""),IF($J337&gt;0,'Template Setup'!$C$7,""),IF($K337&gt;0,'Template Setup'!$C$8,"")))</f>
        <v/>
      </c>
      <c r="E337" s="6" t="str" cm="1">
        <f t="array" ref="E337">IF($A337="","",_xlfn.LET(_xlpm.sheets,CHOOSE({1,2,3,4,5},'Template Setup'!$C$4,'Template Setup'!$C$5,'Template Setup'!$C$6,'Template Setup'!$C$7,'Template Setup'!$C$8),_xlpm.nums,CHOOSE({1,2,3,4,5},$L337,$M337,$N337,$O337,$P337),_xlpm.qtys,CHOOSE({1,2,3,4,5},$G337,$H337,$I337,$J337,$K337),_xlpm.validNums,_xlfn._xlws.FILTER(_xlpm.nums,_xlpm.qtys&gt;0),_xlpm.validSheets,_xlfn._xlws.FILTER(_xlpm.sheets,_xlpm.qtys&gt;0),_xlpm.mx,IFERROR(MAX(_xlpm.validNums),0),IF(_xlpm.mx=0,"",INDEX(_xlpm.validSheets,MATCH(_xlpm.mx,_xlpm.validNums,0))&amp;" (+"&amp;$R337&amp;")")))</f>
        <v/>
      </c>
      <c r="F337" s="11" t="str">
        <f t="shared" si="23"/>
        <v/>
      </c>
      <c r="G337" s="12" t="str">
        <f ca="1">IF($A337="","",IFERROR(SUMIF(INDIRECT("'"&amp;'Template Setup'!$C$4&amp;"'!C:C"),$A337,INDIRECT("'"&amp;'Template Setup'!$C$4&amp;"'!A:A")),0))</f>
        <v/>
      </c>
      <c r="H337" s="12" t="str">
        <f ca="1">IF($A337="","",IFERROR(SUMIF(INDIRECT("'"&amp;'Template Setup'!$C$5&amp;"'!C:C"),$A337,INDIRECT("'"&amp;'Template Setup'!$C$5&amp;"'!A:A")),0))</f>
        <v/>
      </c>
      <c r="I337" s="12" t="str">
        <f ca="1">IF($A337="","",IFERROR(SUMIF(INDIRECT("'"&amp;'Template Setup'!$C$6&amp;"'!C:C"),$A337,INDIRECT("'"&amp;'Template Setup'!$C$6&amp;"'!A:A")),0))</f>
        <v/>
      </c>
      <c r="J337" s="12" t="str">
        <f ca="1">IF($A337="","",IFERROR(SUMIF(INDIRECT("'"&amp;'Template Setup'!$C$7&amp;"'!C:C"),$A337,INDIRECT("'"&amp;'Template Setup'!$C$7&amp;"'!A:A")),0))</f>
        <v/>
      </c>
      <c r="K337" s="12" t="str">
        <f ca="1">IF($A337="","",IFERROR(SUMIF(INDIRECT("'"&amp;'Template Setup'!$C$8&amp;"'!C:C"),$A337,INDIRECT("'"&amp;'Template Setup'!$C$8&amp;"'!A:A")),0))</f>
        <v/>
      </c>
      <c r="L337" s="11" t="str">
        <f>IF($A337="","",IFERROR(VALUE(MID(TRIM('Template Setup'!$C$4),FIND("-",TRIM('Template Setup'!$C$4))+1,10)),0))</f>
        <v/>
      </c>
      <c r="M337" s="11" t="str">
        <f>IF($A337="","",IFERROR(VALUE(MID(TRIM('Template Setup'!$C$5),FIND("-",TRIM('Template Setup'!$C$5))+1,10)),0))</f>
        <v/>
      </c>
      <c r="N337" s="11" t="str">
        <f>IF($A337="","",IFERROR(VALUE(MID(TRIM('Template Setup'!$C$6),FIND("-",TRIM('Template Setup'!$C$6))+1,10)),0))</f>
        <v/>
      </c>
      <c r="O337" s="11" t="str">
        <f>IF($A337="","",IFERROR(VALUE(MID(TRIM('Template Setup'!$C$7),FIND("-",TRIM('Template Setup'!$C$7))+1,10)),0))</f>
        <v/>
      </c>
      <c r="P337" s="11" t="str">
        <f>IF($A337="","",IFERROR(VALUE(MID(TRIM('Template Setup'!$C$8),FIND("-",TRIM('Template Setup'!$C$8))+1,10)),0))</f>
        <v/>
      </c>
      <c r="Q337" s="9" t="str">
        <f>IF($A337="","",$A337&amp;"-"&amp;'Template Setup'!$C$16)</f>
        <v/>
      </c>
      <c r="R337" s="24" t="str">
        <f t="shared" si="21"/>
        <v/>
      </c>
      <c r="S337" s="24"/>
      <c r="T337" s="24" t="str">
        <f t="shared" si="22"/>
        <v/>
      </c>
      <c r="U337" s="6" t="str">
        <f t="shared" si="20"/>
        <v/>
      </c>
    </row>
    <row r="338" spans="1:21">
      <c r="A338" s="11"/>
      <c r="B338" s="11"/>
      <c r="C338" s="11"/>
      <c r="D338" s="11" t="str">
        <f>IF($A338="","",_xlfn.TEXTJOIN(", ",TRUE,IF($G338&gt;0,'Template Setup'!$C$4,""),IF($H338&gt;0,'Template Setup'!$C$5,""),IF($I338&gt;0,'Template Setup'!$C$6,""),IF($J338&gt;0,'Template Setup'!$C$7,""),IF($K338&gt;0,'Template Setup'!$C$8,"")))</f>
        <v/>
      </c>
      <c r="E338" s="6" t="str" cm="1">
        <f t="array" ref="E338">IF($A338="","",_xlfn.LET(_xlpm.sheets,CHOOSE({1,2,3,4,5},'Template Setup'!$C$4,'Template Setup'!$C$5,'Template Setup'!$C$6,'Template Setup'!$C$7,'Template Setup'!$C$8),_xlpm.nums,CHOOSE({1,2,3,4,5},$L338,$M338,$N338,$O338,$P338),_xlpm.qtys,CHOOSE({1,2,3,4,5},$G338,$H338,$I338,$J338,$K338),_xlpm.validNums,_xlfn._xlws.FILTER(_xlpm.nums,_xlpm.qtys&gt;0),_xlpm.validSheets,_xlfn._xlws.FILTER(_xlpm.sheets,_xlpm.qtys&gt;0),_xlpm.mx,IFERROR(MAX(_xlpm.validNums),0),IF(_xlpm.mx=0,"",INDEX(_xlpm.validSheets,MATCH(_xlpm.mx,_xlpm.validNums,0))&amp;" (+"&amp;$R338&amp;")")))</f>
        <v/>
      </c>
      <c r="F338" s="11" t="str">
        <f t="shared" si="23"/>
        <v/>
      </c>
      <c r="G338" s="12" t="str">
        <f ca="1">IF($A338="","",IFERROR(SUMIF(INDIRECT("'"&amp;'Template Setup'!$C$4&amp;"'!C:C"),$A338,INDIRECT("'"&amp;'Template Setup'!$C$4&amp;"'!A:A")),0))</f>
        <v/>
      </c>
      <c r="H338" s="12" t="str">
        <f ca="1">IF($A338="","",IFERROR(SUMIF(INDIRECT("'"&amp;'Template Setup'!$C$5&amp;"'!C:C"),$A338,INDIRECT("'"&amp;'Template Setup'!$C$5&amp;"'!A:A")),0))</f>
        <v/>
      </c>
      <c r="I338" s="12" t="str">
        <f ca="1">IF($A338="","",IFERROR(SUMIF(INDIRECT("'"&amp;'Template Setup'!$C$6&amp;"'!C:C"),$A338,INDIRECT("'"&amp;'Template Setup'!$C$6&amp;"'!A:A")),0))</f>
        <v/>
      </c>
      <c r="J338" s="12" t="str">
        <f ca="1">IF($A338="","",IFERROR(SUMIF(INDIRECT("'"&amp;'Template Setup'!$C$7&amp;"'!C:C"),$A338,INDIRECT("'"&amp;'Template Setup'!$C$7&amp;"'!A:A")),0))</f>
        <v/>
      </c>
      <c r="K338" s="12" t="str">
        <f ca="1">IF($A338="","",IFERROR(SUMIF(INDIRECT("'"&amp;'Template Setup'!$C$8&amp;"'!C:C"),$A338,INDIRECT("'"&amp;'Template Setup'!$C$8&amp;"'!A:A")),0))</f>
        <v/>
      </c>
      <c r="L338" s="11" t="str">
        <f>IF($A338="","",IFERROR(VALUE(MID(TRIM('Template Setup'!$C$4),FIND("-",TRIM('Template Setup'!$C$4))+1,10)),0))</f>
        <v/>
      </c>
      <c r="M338" s="11" t="str">
        <f>IF($A338="","",IFERROR(VALUE(MID(TRIM('Template Setup'!$C$5),FIND("-",TRIM('Template Setup'!$C$5))+1,10)),0))</f>
        <v/>
      </c>
      <c r="N338" s="11" t="str">
        <f>IF($A338="","",IFERROR(VALUE(MID(TRIM('Template Setup'!$C$6),FIND("-",TRIM('Template Setup'!$C$6))+1,10)),0))</f>
        <v/>
      </c>
      <c r="O338" s="11" t="str">
        <f>IF($A338="","",IFERROR(VALUE(MID(TRIM('Template Setup'!$C$7),FIND("-",TRIM('Template Setup'!$C$7))+1,10)),0))</f>
        <v/>
      </c>
      <c r="P338" s="11" t="str">
        <f>IF($A338="","",IFERROR(VALUE(MID(TRIM('Template Setup'!$C$8),FIND("-",TRIM('Template Setup'!$C$8))+1,10)),0))</f>
        <v/>
      </c>
      <c r="Q338" s="9" t="str">
        <f>IF($A338="","",$A338&amp;"-"&amp;'Template Setup'!$C$16)</f>
        <v/>
      </c>
      <c r="R338" s="24" t="str">
        <f t="shared" si="21"/>
        <v/>
      </c>
      <c r="S338" s="24"/>
      <c r="T338" s="24" t="str">
        <f t="shared" si="22"/>
        <v/>
      </c>
      <c r="U338" s="6" t="str">
        <f t="shared" ref="U338:U401" si="24">IF($A338="","","☐")</f>
        <v/>
      </c>
    </row>
    <row r="339" spans="1:21">
      <c r="A339" s="11"/>
      <c r="B339" s="11"/>
      <c r="C339" s="11"/>
      <c r="D339" s="11" t="str">
        <f>IF($A339="","",_xlfn.TEXTJOIN(", ",TRUE,IF($G339&gt;0,'Template Setup'!$C$4,""),IF($H339&gt;0,'Template Setup'!$C$5,""),IF($I339&gt;0,'Template Setup'!$C$6,""),IF($J339&gt;0,'Template Setup'!$C$7,""),IF($K339&gt;0,'Template Setup'!$C$8,"")))</f>
        <v/>
      </c>
      <c r="E339" s="6" t="str" cm="1">
        <f t="array" ref="E339">IF($A339="","",_xlfn.LET(_xlpm.sheets,CHOOSE({1,2,3,4,5},'Template Setup'!$C$4,'Template Setup'!$C$5,'Template Setup'!$C$6,'Template Setup'!$C$7,'Template Setup'!$C$8),_xlpm.nums,CHOOSE({1,2,3,4,5},$L339,$M339,$N339,$O339,$P339),_xlpm.qtys,CHOOSE({1,2,3,4,5},$G339,$H339,$I339,$J339,$K339),_xlpm.validNums,_xlfn._xlws.FILTER(_xlpm.nums,_xlpm.qtys&gt;0),_xlpm.validSheets,_xlfn._xlws.FILTER(_xlpm.sheets,_xlpm.qtys&gt;0),_xlpm.mx,IFERROR(MAX(_xlpm.validNums),0),IF(_xlpm.mx=0,"",INDEX(_xlpm.validSheets,MATCH(_xlpm.mx,_xlpm.validNums,0))&amp;" (+"&amp;$R339&amp;")")))</f>
        <v/>
      </c>
      <c r="F339" s="11" t="str">
        <f t="shared" si="23"/>
        <v/>
      </c>
      <c r="G339" s="12" t="str">
        <f ca="1">IF($A339="","",IFERROR(SUMIF(INDIRECT("'"&amp;'Template Setup'!$C$4&amp;"'!C:C"),$A339,INDIRECT("'"&amp;'Template Setup'!$C$4&amp;"'!A:A")),0))</f>
        <v/>
      </c>
      <c r="H339" s="12" t="str">
        <f ca="1">IF($A339="","",IFERROR(SUMIF(INDIRECT("'"&amp;'Template Setup'!$C$5&amp;"'!C:C"),$A339,INDIRECT("'"&amp;'Template Setup'!$C$5&amp;"'!A:A")),0))</f>
        <v/>
      </c>
      <c r="I339" s="12" t="str">
        <f ca="1">IF($A339="","",IFERROR(SUMIF(INDIRECT("'"&amp;'Template Setup'!$C$6&amp;"'!C:C"),$A339,INDIRECT("'"&amp;'Template Setup'!$C$6&amp;"'!A:A")),0))</f>
        <v/>
      </c>
      <c r="J339" s="12" t="str">
        <f ca="1">IF($A339="","",IFERROR(SUMIF(INDIRECT("'"&amp;'Template Setup'!$C$7&amp;"'!C:C"),$A339,INDIRECT("'"&amp;'Template Setup'!$C$7&amp;"'!A:A")),0))</f>
        <v/>
      </c>
      <c r="K339" s="12" t="str">
        <f ca="1">IF($A339="","",IFERROR(SUMIF(INDIRECT("'"&amp;'Template Setup'!$C$8&amp;"'!C:C"),$A339,INDIRECT("'"&amp;'Template Setup'!$C$8&amp;"'!A:A")),0))</f>
        <v/>
      </c>
      <c r="L339" s="11" t="str">
        <f>IF($A339="","",IFERROR(VALUE(MID(TRIM('Template Setup'!$C$4),FIND("-",TRIM('Template Setup'!$C$4))+1,10)),0))</f>
        <v/>
      </c>
      <c r="M339" s="11" t="str">
        <f>IF($A339="","",IFERROR(VALUE(MID(TRIM('Template Setup'!$C$5),FIND("-",TRIM('Template Setup'!$C$5))+1,10)),0))</f>
        <v/>
      </c>
      <c r="N339" s="11" t="str">
        <f>IF($A339="","",IFERROR(VALUE(MID(TRIM('Template Setup'!$C$6),FIND("-",TRIM('Template Setup'!$C$6))+1,10)),0))</f>
        <v/>
      </c>
      <c r="O339" s="11" t="str">
        <f>IF($A339="","",IFERROR(VALUE(MID(TRIM('Template Setup'!$C$7),FIND("-",TRIM('Template Setup'!$C$7))+1,10)),0))</f>
        <v/>
      </c>
      <c r="P339" s="11" t="str">
        <f>IF($A339="","",IFERROR(VALUE(MID(TRIM('Template Setup'!$C$8),FIND("-",TRIM('Template Setup'!$C$8))+1,10)),0))</f>
        <v/>
      </c>
      <c r="Q339" s="9" t="str">
        <f>IF($A339="","",$A339&amp;"-"&amp;'Template Setup'!$C$16)</f>
        <v/>
      </c>
      <c r="R339" s="24" t="str">
        <f t="shared" si="21"/>
        <v/>
      </c>
      <c r="S339" s="24"/>
      <c r="T339" s="24" t="str">
        <f t="shared" si="22"/>
        <v/>
      </c>
      <c r="U339" s="6" t="str">
        <f t="shared" si="24"/>
        <v/>
      </c>
    </row>
    <row r="340" spans="1:21">
      <c r="A340" s="11"/>
      <c r="B340" s="11"/>
      <c r="C340" s="11"/>
      <c r="D340" s="11" t="str">
        <f>IF($A340="","",_xlfn.TEXTJOIN(", ",TRUE,IF($G340&gt;0,'Template Setup'!$C$4,""),IF($H340&gt;0,'Template Setup'!$C$5,""),IF($I340&gt;0,'Template Setup'!$C$6,""),IF($J340&gt;0,'Template Setup'!$C$7,""),IF($K340&gt;0,'Template Setup'!$C$8,"")))</f>
        <v/>
      </c>
      <c r="E340" s="6" t="str" cm="1">
        <f t="array" ref="E340">IF($A340="","",_xlfn.LET(_xlpm.sheets,CHOOSE({1,2,3,4,5},'Template Setup'!$C$4,'Template Setup'!$C$5,'Template Setup'!$C$6,'Template Setup'!$C$7,'Template Setup'!$C$8),_xlpm.nums,CHOOSE({1,2,3,4,5},$L340,$M340,$N340,$O340,$P340),_xlpm.qtys,CHOOSE({1,2,3,4,5},$G340,$H340,$I340,$J340,$K340),_xlpm.validNums,_xlfn._xlws.FILTER(_xlpm.nums,_xlpm.qtys&gt;0),_xlpm.validSheets,_xlfn._xlws.FILTER(_xlpm.sheets,_xlpm.qtys&gt;0),_xlpm.mx,IFERROR(MAX(_xlpm.validNums),0),IF(_xlpm.mx=0,"",INDEX(_xlpm.validSheets,MATCH(_xlpm.mx,_xlpm.validNums,0))&amp;" (+"&amp;$R340&amp;")")))</f>
        <v/>
      </c>
      <c r="F340" s="11" t="str">
        <f t="shared" si="23"/>
        <v/>
      </c>
      <c r="G340" s="12" t="str">
        <f ca="1">IF($A340="","",IFERROR(SUMIF(INDIRECT("'"&amp;'Template Setup'!$C$4&amp;"'!C:C"),$A340,INDIRECT("'"&amp;'Template Setup'!$C$4&amp;"'!A:A")),0))</f>
        <v/>
      </c>
      <c r="H340" s="12" t="str">
        <f ca="1">IF($A340="","",IFERROR(SUMIF(INDIRECT("'"&amp;'Template Setup'!$C$5&amp;"'!C:C"),$A340,INDIRECT("'"&amp;'Template Setup'!$C$5&amp;"'!A:A")),0))</f>
        <v/>
      </c>
      <c r="I340" s="12" t="str">
        <f ca="1">IF($A340="","",IFERROR(SUMIF(INDIRECT("'"&amp;'Template Setup'!$C$6&amp;"'!C:C"),$A340,INDIRECT("'"&amp;'Template Setup'!$C$6&amp;"'!A:A")),0))</f>
        <v/>
      </c>
      <c r="J340" s="12" t="str">
        <f ca="1">IF($A340="","",IFERROR(SUMIF(INDIRECT("'"&amp;'Template Setup'!$C$7&amp;"'!C:C"),$A340,INDIRECT("'"&amp;'Template Setup'!$C$7&amp;"'!A:A")),0))</f>
        <v/>
      </c>
      <c r="K340" s="12" t="str">
        <f ca="1">IF($A340="","",IFERROR(SUMIF(INDIRECT("'"&amp;'Template Setup'!$C$8&amp;"'!C:C"),$A340,INDIRECT("'"&amp;'Template Setup'!$C$8&amp;"'!A:A")),0))</f>
        <v/>
      </c>
      <c r="L340" s="11" t="str">
        <f>IF($A340="","",IFERROR(VALUE(MID(TRIM('Template Setup'!$C$4),FIND("-",TRIM('Template Setup'!$C$4))+1,10)),0))</f>
        <v/>
      </c>
      <c r="M340" s="11" t="str">
        <f>IF($A340="","",IFERROR(VALUE(MID(TRIM('Template Setup'!$C$5),FIND("-",TRIM('Template Setup'!$C$5))+1,10)),0))</f>
        <v/>
      </c>
      <c r="N340" s="11" t="str">
        <f>IF($A340="","",IFERROR(VALUE(MID(TRIM('Template Setup'!$C$6),FIND("-",TRIM('Template Setup'!$C$6))+1,10)),0))</f>
        <v/>
      </c>
      <c r="O340" s="11" t="str">
        <f>IF($A340="","",IFERROR(VALUE(MID(TRIM('Template Setup'!$C$7),FIND("-",TRIM('Template Setup'!$C$7))+1,10)),0))</f>
        <v/>
      </c>
      <c r="P340" s="11" t="str">
        <f>IF($A340="","",IFERROR(VALUE(MID(TRIM('Template Setup'!$C$8),FIND("-",TRIM('Template Setup'!$C$8))+1,10)),0))</f>
        <v/>
      </c>
      <c r="Q340" s="9" t="str">
        <f>IF($A340="","",$A340&amp;"-"&amp;'Template Setup'!$C$16)</f>
        <v/>
      </c>
      <c r="R340" s="24" t="str">
        <f t="shared" si="21"/>
        <v/>
      </c>
      <c r="S340" s="24"/>
      <c r="T340" s="24" t="str">
        <f t="shared" si="22"/>
        <v/>
      </c>
      <c r="U340" s="6" t="str">
        <f t="shared" si="24"/>
        <v/>
      </c>
    </row>
    <row r="341" spans="1:21">
      <c r="A341" s="11"/>
      <c r="B341" s="11"/>
      <c r="C341" s="11"/>
      <c r="D341" s="11" t="str">
        <f>IF($A341="","",_xlfn.TEXTJOIN(", ",TRUE,IF($G341&gt;0,'Template Setup'!$C$4,""),IF($H341&gt;0,'Template Setup'!$C$5,""),IF($I341&gt;0,'Template Setup'!$C$6,""),IF($J341&gt;0,'Template Setup'!$C$7,""),IF($K341&gt;0,'Template Setup'!$C$8,"")))</f>
        <v/>
      </c>
      <c r="E341" s="6" t="str" cm="1">
        <f t="array" ref="E341">IF($A341="","",_xlfn.LET(_xlpm.sheets,CHOOSE({1,2,3,4,5},'Template Setup'!$C$4,'Template Setup'!$C$5,'Template Setup'!$C$6,'Template Setup'!$C$7,'Template Setup'!$C$8),_xlpm.nums,CHOOSE({1,2,3,4,5},$L341,$M341,$N341,$O341,$P341),_xlpm.qtys,CHOOSE({1,2,3,4,5},$G341,$H341,$I341,$J341,$K341),_xlpm.validNums,_xlfn._xlws.FILTER(_xlpm.nums,_xlpm.qtys&gt;0),_xlpm.validSheets,_xlfn._xlws.FILTER(_xlpm.sheets,_xlpm.qtys&gt;0),_xlpm.mx,IFERROR(MAX(_xlpm.validNums),0),IF(_xlpm.mx=0,"",INDEX(_xlpm.validSheets,MATCH(_xlpm.mx,_xlpm.validNums,0))&amp;" (+"&amp;$R341&amp;")")))</f>
        <v/>
      </c>
      <c r="F341" s="11" t="str">
        <f t="shared" si="23"/>
        <v/>
      </c>
      <c r="G341" s="12" t="str">
        <f ca="1">IF($A341="","",IFERROR(SUMIF(INDIRECT("'"&amp;'Template Setup'!$C$4&amp;"'!C:C"),$A341,INDIRECT("'"&amp;'Template Setup'!$C$4&amp;"'!A:A")),0))</f>
        <v/>
      </c>
      <c r="H341" s="12" t="str">
        <f ca="1">IF($A341="","",IFERROR(SUMIF(INDIRECT("'"&amp;'Template Setup'!$C$5&amp;"'!C:C"),$A341,INDIRECT("'"&amp;'Template Setup'!$C$5&amp;"'!A:A")),0))</f>
        <v/>
      </c>
      <c r="I341" s="12" t="str">
        <f ca="1">IF($A341="","",IFERROR(SUMIF(INDIRECT("'"&amp;'Template Setup'!$C$6&amp;"'!C:C"),$A341,INDIRECT("'"&amp;'Template Setup'!$C$6&amp;"'!A:A")),0))</f>
        <v/>
      </c>
      <c r="J341" s="12" t="str">
        <f ca="1">IF($A341="","",IFERROR(SUMIF(INDIRECT("'"&amp;'Template Setup'!$C$7&amp;"'!C:C"),$A341,INDIRECT("'"&amp;'Template Setup'!$C$7&amp;"'!A:A")),0))</f>
        <v/>
      </c>
      <c r="K341" s="12" t="str">
        <f ca="1">IF($A341="","",IFERROR(SUMIF(INDIRECT("'"&amp;'Template Setup'!$C$8&amp;"'!C:C"),$A341,INDIRECT("'"&amp;'Template Setup'!$C$8&amp;"'!A:A")),0))</f>
        <v/>
      </c>
      <c r="L341" s="11" t="str">
        <f>IF($A341="","",IFERROR(VALUE(MID(TRIM('Template Setup'!$C$4),FIND("-",TRIM('Template Setup'!$C$4))+1,10)),0))</f>
        <v/>
      </c>
      <c r="M341" s="11" t="str">
        <f>IF($A341="","",IFERROR(VALUE(MID(TRIM('Template Setup'!$C$5),FIND("-",TRIM('Template Setup'!$C$5))+1,10)),0))</f>
        <v/>
      </c>
      <c r="N341" s="11" t="str">
        <f>IF($A341="","",IFERROR(VALUE(MID(TRIM('Template Setup'!$C$6),FIND("-",TRIM('Template Setup'!$C$6))+1,10)),0))</f>
        <v/>
      </c>
      <c r="O341" s="11" t="str">
        <f>IF($A341="","",IFERROR(VALUE(MID(TRIM('Template Setup'!$C$7),FIND("-",TRIM('Template Setup'!$C$7))+1,10)),0))</f>
        <v/>
      </c>
      <c r="P341" s="11" t="str">
        <f>IF($A341="","",IFERROR(VALUE(MID(TRIM('Template Setup'!$C$8),FIND("-",TRIM('Template Setup'!$C$8))+1,10)),0))</f>
        <v/>
      </c>
      <c r="Q341" s="9" t="str">
        <f>IF($A341="","",$A341&amp;"-"&amp;'Template Setup'!$C$16)</f>
        <v/>
      </c>
      <c r="R341" s="24" t="str">
        <f t="shared" si="21"/>
        <v/>
      </c>
      <c r="S341" s="24"/>
      <c r="T341" s="24" t="str">
        <f t="shared" si="22"/>
        <v/>
      </c>
      <c r="U341" s="6" t="str">
        <f t="shared" si="24"/>
        <v/>
      </c>
    </row>
    <row r="342" spans="1:21">
      <c r="A342" s="11"/>
      <c r="B342" s="11"/>
      <c r="C342" s="11"/>
      <c r="D342" s="11" t="str">
        <f>IF($A342="","",_xlfn.TEXTJOIN(", ",TRUE,IF($G342&gt;0,'Template Setup'!$C$4,""),IF($H342&gt;0,'Template Setup'!$C$5,""),IF($I342&gt;0,'Template Setup'!$C$6,""),IF($J342&gt;0,'Template Setup'!$C$7,""),IF($K342&gt;0,'Template Setup'!$C$8,"")))</f>
        <v/>
      </c>
      <c r="E342" s="6" t="str" cm="1">
        <f t="array" ref="E342">IF($A342="","",_xlfn.LET(_xlpm.sheets,CHOOSE({1,2,3,4,5},'Template Setup'!$C$4,'Template Setup'!$C$5,'Template Setup'!$C$6,'Template Setup'!$C$7,'Template Setup'!$C$8),_xlpm.nums,CHOOSE({1,2,3,4,5},$L342,$M342,$N342,$O342,$P342),_xlpm.qtys,CHOOSE({1,2,3,4,5},$G342,$H342,$I342,$J342,$K342),_xlpm.validNums,_xlfn._xlws.FILTER(_xlpm.nums,_xlpm.qtys&gt;0),_xlpm.validSheets,_xlfn._xlws.FILTER(_xlpm.sheets,_xlpm.qtys&gt;0),_xlpm.mx,IFERROR(MAX(_xlpm.validNums),0),IF(_xlpm.mx=0,"",INDEX(_xlpm.validSheets,MATCH(_xlpm.mx,_xlpm.validNums,0))&amp;" (+"&amp;$R342&amp;")")))</f>
        <v/>
      </c>
      <c r="F342" s="11" t="str">
        <f t="shared" si="23"/>
        <v/>
      </c>
      <c r="G342" s="12" t="str">
        <f ca="1">IF($A342="","",IFERROR(SUMIF(INDIRECT("'"&amp;'Template Setup'!$C$4&amp;"'!C:C"),$A342,INDIRECT("'"&amp;'Template Setup'!$C$4&amp;"'!A:A")),0))</f>
        <v/>
      </c>
      <c r="H342" s="12" t="str">
        <f ca="1">IF($A342="","",IFERROR(SUMIF(INDIRECT("'"&amp;'Template Setup'!$C$5&amp;"'!C:C"),$A342,INDIRECT("'"&amp;'Template Setup'!$C$5&amp;"'!A:A")),0))</f>
        <v/>
      </c>
      <c r="I342" s="12" t="str">
        <f ca="1">IF($A342="","",IFERROR(SUMIF(INDIRECT("'"&amp;'Template Setup'!$C$6&amp;"'!C:C"),$A342,INDIRECT("'"&amp;'Template Setup'!$C$6&amp;"'!A:A")),0))</f>
        <v/>
      </c>
      <c r="J342" s="12" t="str">
        <f ca="1">IF($A342="","",IFERROR(SUMIF(INDIRECT("'"&amp;'Template Setup'!$C$7&amp;"'!C:C"),$A342,INDIRECT("'"&amp;'Template Setup'!$C$7&amp;"'!A:A")),0))</f>
        <v/>
      </c>
      <c r="K342" s="12" t="str">
        <f ca="1">IF($A342="","",IFERROR(SUMIF(INDIRECT("'"&amp;'Template Setup'!$C$8&amp;"'!C:C"),$A342,INDIRECT("'"&amp;'Template Setup'!$C$8&amp;"'!A:A")),0))</f>
        <v/>
      </c>
      <c r="L342" s="11" t="str">
        <f>IF($A342="","",IFERROR(VALUE(MID(TRIM('Template Setup'!$C$4),FIND("-",TRIM('Template Setup'!$C$4))+1,10)),0))</f>
        <v/>
      </c>
      <c r="M342" s="11" t="str">
        <f>IF($A342="","",IFERROR(VALUE(MID(TRIM('Template Setup'!$C$5),FIND("-",TRIM('Template Setup'!$C$5))+1,10)),0))</f>
        <v/>
      </c>
      <c r="N342" s="11" t="str">
        <f>IF($A342="","",IFERROR(VALUE(MID(TRIM('Template Setup'!$C$6),FIND("-",TRIM('Template Setup'!$C$6))+1,10)),0))</f>
        <v/>
      </c>
      <c r="O342" s="11" t="str">
        <f>IF($A342="","",IFERROR(VALUE(MID(TRIM('Template Setup'!$C$7),FIND("-",TRIM('Template Setup'!$C$7))+1,10)),0))</f>
        <v/>
      </c>
      <c r="P342" s="11" t="str">
        <f>IF($A342="","",IFERROR(VALUE(MID(TRIM('Template Setup'!$C$8),FIND("-",TRIM('Template Setup'!$C$8))+1,10)),0))</f>
        <v/>
      </c>
      <c r="Q342" s="9" t="str">
        <f>IF($A342="","",$A342&amp;"-"&amp;'Template Setup'!$C$16)</f>
        <v/>
      </c>
      <c r="R342" s="24" t="str">
        <f t="shared" si="21"/>
        <v/>
      </c>
      <c r="S342" s="24"/>
      <c r="T342" s="24" t="str">
        <f t="shared" si="22"/>
        <v/>
      </c>
      <c r="U342" s="6" t="str">
        <f t="shared" si="24"/>
        <v/>
      </c>
    </row>
    <row r="343" spans="1:21">
      <c r="A343" s="11"/>
      <c r="B343" s="11"/>
      <c r="C343" s="11"/>
      <c r="D343" s="11" t="str">
        <f>IF($A343="","",_xlfn.TEXTJOIN(", ",TRUE,IF($G343&gt;0,'Template Setup'!$C$4,""),IF($H343&gt;0,'Template Setup'!$C$5,""),IF($I343&gt;0,'Template Setup'!$C$6,""),IF($J343&gt;0,'Template Setup'!$C$7,""),IF($K343&gt;0,'Template Setup'!$C$8,"")))</f>
        <v/>
      </c>
      <c r="E343" s="6" t="str" cm="1">
        <f t="array" ref="E343">IF($A343="","",_xlfn.LET(_xlpm.sheets,CHOOSE({1,2,3,4,5},'Template Setup'!$C$4,'Template Setup'!$C$5,'Template Setup'!$C$6,'Template Setup'!$C$7,'Template Setup'!$C$8),_xlpm.nums,CHOOSE({1,2,3,4,5},$L343,$M343,$N343,$O343,$P343),_xlpm.qtys,CHOOSE({1,2,3,4,5},$G343,$H343,$I343,$J343,$K343),_xlpm.validNums,_xlfn._xlws.FILTER(_xlpm.nums,_xlpm.qtys&gt;0),_xlpm.validSheets,_xlfn._xlws.FILTER(_xlpm.sheets,_xlpm.qtys&gt;0),_xlpm.mx,IFERROR(MAX(_xlpm.validNums),0),IF(_xlpm.mx=0,"",INDEX(_xlpm.validSheets,MATCH(_xlpm.mx,_xlpm.validNums,0))&amp;" (+"&amp;$R343&amp;")")))</f>
        <v/>
      </c>
      <c r="F343" s="11" t="str">
        <f t="shared" si="23"/>
        <v/>
      </c>
      <c r="G343" s="12" t="str">
        <f ca="1">IF($A343="","",IFERROR(SUMIF(INDIRECT("'"&amp;'Template Setup'!$C$4&amp;"'!C:C"),$A343,INDIRECT("'"&amp;'Template Setup'!$C$4&amp;"'!A:A")),0))</f>
        <v/>
      </c>
      <c r="H343" s="12" t="str">
        <f ca="1">IF($A343="","",IFERROR(SUMIF(INDIRECT("'"&amp;'Template Setup'!$C$5&amp;"'!C:C"),$A343,INDIRECT("'"&amp;'Template Setup'!$C$5&amp;"'!A:A")),0))</f>
        <v/>
      </c>
      <c r="I343" s="12" t="str">
        <f ca="1">IF($A343="","",IFERROR(SUMIF(INDIRECT("'"&amp;'Template Setup'!$C$6&amp;"'!C:C"),$A343,INDIRECT("'"&amp;'Template Setup'!$C$6&amp;"'!A:A")),0))</f>
        <v/>
      </c>
      <c r="J343" s="12" t="str">
        <f ca="1">IF($A343="","",IFERROR(SUMIF(INDIRECT("'"&amp;'Template Setup'!$C$7&amp;"'!C:C"),$A343,INDIRECT("'"&amp;'Template Setup'!$C$7&amp;"'!A:A")),0))</f>
        <v/>
      </c>
      <c r="K343" s="12" t="str">
        <f ca="1">IF($A343="","",IFERROR(SUMIF(INDIRECT("'"&amp;'Template Setup'!$C$8&amp;"'!C:C"),$A343,INDIRECT("'"&amp;'Template Setup'!$C$8&amp;"'!A:A")),0))</f>
        <v/>
      </c>
      <c r="L343" s="11" t="str">
        <f>IF($A343="","",IFERROR(VALUE(MID(TRIM('Template Setup'!$C$4),FIND("-",TRIM('Template Setup'!$C$4))+1,10)),0))</f>
        <v/>
      </c>
      <c r="M343" s="11" t="str">
        <f>IF($A343="","",IFERROR(VALUE(MID(TRIM('Template Setup'!$C$5),FIND("-",TRIM('Template Setup'!$C$5))+1,10)),0))</f>
        <v/>
      </c>
      <c r="N343" s="11" t="str">
        <f>IF($A343="","",IFERROR(VALUE(MID(TRIM('Template Setup'!$C$6),FIND("-",TRIM('Template Setup'!$C$6))+1,10)),0))</f>
        <v/>
      </c>
      <c r="O343" s="11" t="str">
        <f>IF($A343="","",IFERROR(VALUE(MID(TRIM('Template Setup'!$C$7),FIND("-",TRIM('Template Setup'!$C$7))+1,10)),0))</f>
        <v/>
      </c>
      <c r="P343" s="11" t="str">
        <f>IF($A343="","",IFERROR(VALUE(MID(TRIM('Template Setup'!$C$8),FIND("-",TRIM('Template Setup'!$C$8))+1,10)),0))</f>
        <v/>
      </c>
      <c r="Q343" s="9" t="str">
        <f>IF($A343="","",$A343&amp;"-"&amp;'Template Setup'!$C$16)</f>
        <v/>
      </c>
      <c r="R343" s="24" t="str">
        <f t="shared" si="21"/>
        <v/>
      </c>
      <c r="S343" s="24"/>
      <c r="T343" s="24" t="str">
        <f t="shared" si="22"/>
        <v/>
      </c>
      <c r="U343" s="6" t="str">
        <f t="shared" si="24"/>
        <v/>
      </c>
    </row>
    <row r="344" spans="1:21">
      <c r="A344" s="11"/>
      <c r="B344" s="11"/>
      <c r="C344" s="11"/>
      <c r="D344" s="11" t="str">
        <f>IF($A344="","",_xlfn.TEXTJOIN(", ",TRUE,IF($G344&gt;0,'Template Setup'!$C$4,""),IF($H344&gt;0,'Template Setup'!$C$5,""),IF($I344&gt;0,'Template Setup'!$C$6,""),IF($J344&gt;0,'Template Setup'!$C$7,""),IF($K344&gt;0,'Template Setup'!$C$8,"")))</f>
        <v/>
      </c>
      <c r="E344" s="6" t="str" cm="1">
        <f t="array" ref="E344">IF($A344="","",_xlfn.LET(_xlpm.sheets,CHOOSE({1,2,3,4,5},'Template Setup'!$C$4,'Template Setup'!$C$5,'Template Setup'!$C$6,'Template Setup'!$C$7,'Template Setup'!$C$8),_xlpm.nums,CHOOSE({1,2,3,4,5},$L344,$M344,$N344,$O344,$P344),_xlpm.qtys,CHOOSE({1,2,3,4,5},$G344,$H344,$I344,$J344,$K344),_xlpm.validNums,_xlfn._xlws.FILTER(_xlpm.nums,_xlpm.qtys&gt;0),_xlpm.validSheets,_xlfn._xlws.FILTER(_xlpm.sheets,_xlpm.qtys&gt;0),_xlpm.mx,IFERROR(MAX(_xlpm.validNums),0),IF(_xlpm.mx=0,"",INDEX(_xlpm.validSheets,MATCH(_xlpm.mx,_xlpm.validNums,0))&amp;" (+"&amp;$R344&amp;")")))</f>
        <v/>
      </c>
      <c r="F344" s="11" t="str">
        <f t="shared" si="23"/>
        <v/>
      </c>
      <c r="G344" s="12" t="str">
        <f ca="1">IF($A344="","",IFERROR(SUMIF(INDIRECT("'"&amp;'Template Setup'!$C$4&amp;"'!C:C"),$A344,INDIRECT("'"&amp;'Template Setup'!$C$4&amp;"'!A:A")),0))</f>
        <v/>
      </c>
      <c r="H344" s="12" t="str">
        <f ca="1">IF($A344="","",IFERROR(SUMIF(INDIRECT("'"&amp;'Template Setup'!$C$5&amp;"'!C:C"),$A344,INDIRECT("'"&amp;'Template Setup'!$C$5&amp;"'!A:A")),0))</f>
        <v/>
      </c>
      <c r="I344" s="12" t="str">
        <f ca="1">IF($A344="","",IFERROR(SUMIF(INDIRECT("'"&amp;'Template Setup'!$C$6&amp;"'!C:C"),$A344,INDIRECT("'"&amp;'Template Setup'!$C$6&amp;"'!A:A")),0))</f>
        <v/>
      </c>
      <c r="J344" s="12" t="str">
        <f ca="1">IF($A344="","",IFERROR(SUMIF(INDIRECT("'"&amp;'Template Setup'!$C$7&amp;"'!C:C"),$A344,INDIRECT("'"&amp;'Template Setup'!$C$7&amp;"'!A:A")),0))</f>
        <v/>
      </c>
      <c r="K344" s="12" t="str">
        <f ca="1">IF($A344="","",IFERROR(SUMIF(INDIRECT("'"&amp;'Template Setup'!$C$8&amp;"'!C:C"),$A344,INDIRECT("'"&amp;'Template Setup'!$C$8&amp;"'!A:A")),0))</f>
        <v/>
      </c>
      <c r="L344" s="11" t="str">
        <f>IF($A344="","",IFERROR(VALUE(MID(TRIM('Template Setup'!$C$4),FIND("-",TRIM('Template Setup'!$C$4))+1,10)),0))</f>
        <v/>
      </c>
      <c r="M344" s="11" t="str">
        <f>IF($A344="","",IFERROR(VALUE(MID(TRIM('Template Setup'!$C$5),FIND("-",TRIM('Template Setup'!$C$5))+1,10)),0))</f>
        <v/>
      </c>
      <c r="N344" s="11" t="str">
        <f>IF($A344="","",IFERROR(VALUE(MID(TRIM('Template Setup'!$C$6),FIND("-",TRIM('Template Setup'!$C$6))+1,10)),0))</f>
        <v/>
      </c>
      <c r="O344" s="11" t="str">
        <f>IF($A344="","",IFERROR(VALUE(MID(TRIM('Template Setup'!$C$7),FIND("-",TRIM('Template Setup'!$C$7))+1,10)),0))</f>
        <v/>
      </c>
      <c r="P344" s="11" t="str">
        <f>IF($A344="","",IFERROR(VALUE(MID(TRIM('Template Setup'!$C$8),FIND("-",TRIM('Template Setup'!$C$8))+1,10)),0))</f>
        <v/>
      </c>
      <c r="Q344" s="9" t="str">
        <f>IF($A344="","",$A344&amp;"-"&amp;'Template Setup'!$C$16)</f>
        <v/>
      </c>
      <c r="R344" s="24" t="str">
        <f t="shared" si="21"/>
        <v/>
      </c>
      <c r="S344" s="24"/>
      <c r="T344" s="24" t="str">
        <f t="shared" si="22"/>
        <v/>
      </c>
      <c r="U344" s="6" t="str">
        <f t="shared" si="24"/>
        <v/>
      </c>
    </row>
    <row r="345" spans="1:21">
      <c r="A345" s="11"/>
      <c r="B345" s="11"/>
      <c r="C345" s="11"/>
      <c r="D345" s="11" t="str">
        <f>IF($A345="","",_xlfn.TEXTJOIN(", ",TRUE,IF($G345&gt;0,'Template Setup'!$C$4,""),IF($H345&gt;0,'Template Setup'!$C$5,""),IF($I345&gt;0,'Template Setup'!$C$6,""),IF($J345&gt;0,'Template Setup'!$C$7,""),IF($K345&gt;0,'Template Setup'!$C$8,"")))</f>
        <v/>
      </c>
      <c r="E345" s="6" t="str" cm="1">
        <f t="array" ref="E345">IF($A345="","",_xlfn.LET(_xlpm.sheets,CHOOSE({1,2,3,4,5},'Template Setup'!$C$4,'Template Setup'!$C$5,'Template Setup'!$C$6,'Template Setup'!$C$7,'Template Setup'!$C$8),_xlpm.nums,CHOOSE({1,2,3,4,5},$L345,$M345,$N345,$O345,$P345),_xlpm.qtys,CHOOSE({1,2,3,4,5},$G345,$H345,$I345,$J345,$K345),_xlpm.validNums,_xlfn._xlws.FILTER(_xlpm.nums,_xlpm.qtys&gt;0),_xlpm.validSheets,_xlfn._xlws.FILTER(_xlpm.sheets,_xlpm.qtys&gt;0),_xlpm.mx,IFERROR(MAX(_xlpm.validNums),0),IF(_xlpm.mx=0,"",INDEX(_xlpm.validSheets,MATCH(_xlpm.mx,_xlpm.validNums,0))&amp;" (+"&amp;$R345&amp;")")))</f>
        <v/>
      </c>
      <c r="F345" s="11" t="str">
        <f t="shared" si="23"/>
        <v/>
      </c>
      <c r="G345" s="12" t="str">
        <f ca="1">IF($A345="","",IFERROR(SUMIF(INDIRECT("'"&amp;'Template Setup'!$C$4&amp;"'!C:C"),$A345,INDIRECT("'"&amp;'Template Setup'!$C$4&amp;"'!A:A")),0))</f>
        <v/>
      </c>
      <c r="H345" s="12" t="str">
        <f ca="1">IF($A345="","",IFERROR(SUMIF(INDIRECT("'"&amp;'Template Setup'!$C$5&amp;"'!C:C"),$A345,INDIRECT("'"&amp;'Template Setup'!$C$5&amp;"'!A:A")),0))</f>
        <v/>
      </c>
      <c r="I345" s="12" t="str">
        <f ca="1">IF($A345="","",IFERROR(SUMIF(INDIRECT("'"&amp;'Template Setup'!$C$6&amp;"'!C:C"),$A345,INDIRECT("'"&amp;'Template Setup'!$C$6&amp;"'!A:A")),0))</f>
        <v/>
      </c>
      <c r="J345" s="12" t="str">
        <f ca="1">IF($A345="","",IFERROR(SUMIF(INDIRECT("'"&amp;'Template Setup'!$C$7&amp;"'!C:C"),$A345,INDIRECT("'"&amp;'Template Setup'!$C$7&amp;"'!A:A")),0))</f>
        <v/>
      </c>
      <c r="K345" s="12" t="str">
        <f ca="1">IF($A345="","",IFERROR(SUMIF(INDIRECT("'"&amp;'Template Setup'!$C$8&amp;"'!C:C"),$A345,INDIRECT("'"&amp;'Template Setup'!$C$8&amp;"'!A:A")),0))</f>
        <v/>
      </c>
      <c r="L345" s="11" t="str">
        <f>IF($A345="","",IFERROR(VALUE(MID(TRIM('Template Setup'!$C$4),FIND("-",TRIM('Template Setup'!$C$4))+1,10)),0))</f>
        <v/>
      </c>
      <c r="M345" s="11" t="str">
        <f>IF($A345="","",IFERROR(VALUE(MID(TRIM('Template Setup'!$C$5),FIND("-",TRIM('Template Setup'!$C$5))+1,10)),0))</f>
        <v/>
      </c>
      <c r="N345" s="11" t="str">
        <f>IF($A345="","",IFERROR(VALUE(MID(TRIM('Template Setup'!$C$6),FIND("-",TRIM('Template Setup'!$C$6))+1,10)),0))</f>
        <v/>
      </c>
      <c r="O345" s="11" t="str">
        <f>IF($A345="","",IFERROR(VALUE(MID(TRIM('Template Setup'!$C$7),FIND("-",TRIM('Template Setup'!$C$7))+1,10)),0))</f>
        <v/>
      </c>
      <c r="P345" s="11" t="str">
        <f>IF($A345="","",IFERROR(VALUE(MID(TRIM('Template Setup'!$C$8),FIND("-",TRIM('Template Setup'!$C$8))+1,10)),0))</f>
        <v/>
      </c>
      <c r="Q345" s="9" t="str">
        <f>IF($A345="","",$A345&amp;"-"&amp;'Template Setup'!$C$16)</f>
        <v/>
      </c>
      <c r="R345" s="24" t="str">
        <f t="shared" si="21"/>
        <v/>
      </c>
      <c r="S345" s="24"/>
      <c r="T345" s="24" t="str">
        <f t="shared" si="22"/>
        <v/>
      </c>
      <c r="U345" s="6" t="str">
        <f t="shared" si="24"/>
        <v/>
      </c>
    </row>
    <row r="346" spans="1:21">
      <c r="A346" s="11"/>
      <c r="B346" s="11"/>
      <c r="C346" s="11"/>
      <c r="D346" s="11" t="str">
        <f>IF($A346="","",_xlfn.TEXTJOIN(", ",TRUE,IF($G346&gt;0,'Template Setup'!$C$4,""),IF($H346&gt;0,'Template Setup'!$C$5,""),IF($I346&gt;0,'Template Setup'!$C$6,""),IF($J346&gt;0,'Template Setup'!$C$7,""),IF($K346&gt;0,'Template Setup'!$C$8,"")))</f>
        <v/>
      </c>
      <c r="E346" s="6" t="str" cm="1">
        <f t="array" ref="E346">IF($A346="","",_xlfn.LET(_xlpm.sheets,CHOOSE({1,2,3,4,5},'Template Setup'!$C$4,'Template Setup'!$C$5,'Template Setup'!$C$6,'Template Setup'!$C$7,'Template Setup'!$C$8),_xlpm.nums,CHOOSE({1,2,3,4,5},$L346,$M346,$N346,$O346,$P346),_xlpm.qtys,CHOOSE({1,2,3,4,5},$G346,$H346,$I346,$J346,$K346),_xlpm.validNums,_xlfn._xlws.FILTER(_xlpm.nums,_xlpm.qtys&gt;0),_xlpm.validSheets,_xlfn._xlws.FILTER(_xlpm.sheets,_xlpm.qtys&gt;0),_xlpm.mx,IFERROR(MAX(_xlpm.validNums),0),IF(_xlpm.mx=0,"",INDEX(_xlpm.validSheets,MATCH(_xlpm.mx,_xlpm.validNums,0))&amp;" (+"&amp;$R346&amp;")")))</f>
        <v/>
      </c>
      <c r="F346" s="11" t="str">
        <f t="shared" si="23"/>
        <v/>
      </c>
      <c r="G346" s="12" t="str">
        <f ca="1">IF($A346="","",IFERROR(SUMIF(INDIRECT("'"&amp;'Template Setup'!$C$4&amp;"'!C:C"),$A346,INDIRECT("'"&amp;'Template Setup'!$C$4&amp;"'!A:A")),0))</f>
        <v/>
      </c>
      <c r="H346" s="12" t="str">
        <f ca="1">IF($A346="","",IFERROR(SUMIF(INDIRECT("'"&amp;'Template Setup'!$C$5&amp;"'!C:C"),$A346,INDIRECT("'"&amp;'Template Setup'!$C$5&amp;"'!A:A")),0))</f>
        <v/>
      </c>
      <c r="I346" s="12" t="str">
        <f ca="1">IF($A346="","",IFERROR(SUMIF(INDIRECT("'"&amp;'Template Setup'!$C$6&amp;"'!C:C"),$A346,INDIRECT("'"&amp;'Template Setup'!$C$6&amp;"'!A:A")),0))</f>
        <v/>
      </c>
      <c r="J346" s="12" t="str">
        <f ca="1">IF($A346="","",IFERROR(SUMIF(INDIRECT("'"&amp;'Template Setup'!$C$7&amp;"'!C:C"),$A346,INDIRECT("'"&amp;'Template Setup'!$C$7&amp;"'!A:A")),0))</f>
        <v/>
      </c>
      <c r="K346" s="12" t="str">
        <f ca="1">IF($A346="","",IFERROR(SUMIF(INDIRECT("'"&amp;'Template Setup'!$C$8&amp;"'!C:C"),$A346,INDIRECT("'"&amp;'Template Setup'!$C$8&amp;"'!A:A")),0))</f>
        <v/>
      </c>
      <c r="L346" s="11" t="str">
        <f>IF($A346="","",IFERROR(VALUE(MID(TRIM('Template Setup'!$C$4),FIND("-",TRIM('Template Setup'!$C$4))+1,10)),0))</f>
        <v/>
      </c>
      <c r="M346" s="11" t="str">
        <f>IF($A346="","",IFERROR(VALUE(MID(TRIM('Template Setup'!$C$5),FIND("-",TRIM('Template Setup'!$C$5))+1,10)),0))</f>
        <v/>
      </c>
      <c r="N346" s="11" t="str">
        <f>IF($A346="","",IFERROR(VALUE(MID(TRIM('Template Setup'!$C$6),FIND("-",TRIM('Template Setup'!$C$6))+1,10)),0))</f>
        <v/>
      </c>
      <c r="O346" s="11" t="str">
        <f>IF($A346="","",IFERROR(VALUE(MID(TRIM('Template Setup'!$C$7),FIND("-",TRIM('Template Setup'!$C$7))+1,10)),0))</f>
        <v/>
      </c>
      <c r="P346" s="11" t="str">
        <f>IF($A346="","",IFERROR(VALUE(MID(TRIM('Template Setup'!$C$8),FIND("-",TRIM('Template Setup'!$C$8))+1,10)),0))</f>
        <v/>
      </c>
      <c r="Q346" s="9" t="str">
        <f>IF($A346="","",$A346&amp;"-"&amp;'Template Setup'!$C$16)</f>
        <v/>
      </c>
      <c r="R346" s="24" t="str">
        <f t="shared" si="21"/>
        <v/>
      </c>
      <c r="S346" s="24"/>
      <c r="T346" s="24" t="str">
        <f t="shared" si="22"/>
        <v/>
      </c>
      <c r="U346" s="6" t="str">
        <f t="shared" si="24"/>
        <v/>
      </c>
    </row>
    <row r="347" spans="1:21">
      <c r="A347" s="11"/>
      <c r="B347" s="11"/>
      <c r="C347" s="11"/>
      <c r="D347" s="11" t="str">
        <f>IF($A347="","",_xlfn.TEXTJOIN(", ",TRUE,IF($G347&gt;0,'Template Setup'!$C$4,""),IF($H347&gt;0,'Template Setup'!$C$5,""),IF($I347&gt;0,'Template Setup'!$C$6,""),IF($J347&gt;0,'Template Setup'!$C$7,""),IF($K347&gt;0,'Template Setup'!$C$8,"")))</f>
        <v/>
      </c>
      <c r="E347" s="6" t="str" cm="1">
        <f t="array" ref="E347">IF($A347="","",_xlfn.LET(_xlpm.sheets,CHOOSE({1,2,3,4,5},'Template Setup'!$C$4,'Template Setup'!$C$5,'Template Setup'!$C$6,'Template Setup'!$C$7,'Template Setup'!$C$8),_xlpm.nums,CHOOSE({1,2,3,4,5},$L347,$M347,$N347,$O347,$P347),_xlpm.qtys,CHOOSE({1,2,3,4,5},$G347,$H347,$I347,$J347,$K347),_xlpm.validNums,_xlfn._xlws.FILTER(_xlpm.nums,_xlpm.qtys&gt;0),_xlpm.validSheets,_xlfn._xlws.FILTER(_xlpm.sheets,_xlpm.qtys&gt;0),_xlpm.mx,IFERROR(MAX(_xlpm.validNums),0),IF(_xlpm.mx=0,"",INDEX(_xlpm.validSheets,MATCH(_xlpm.mx,_xlpm.validNums,0))&amp;" (+"&amp;$R347&amp;")")))</f>
        <v/>
      </c>
      <c r="F347" s="11" t="str">
        <f t="shared" si="23"/>
        <v/>
      </c>
      <c r="G347" s="12" t="str">
        <f ca="1">IF($A347="","",IFERROR(SUMIF(INDIRECT("'"&amp;'Template Setup'!$C$4&amp;"'!C:C"),$A347,INDIRECT("'"&amp;'Template Setup'!$C$4&amp;"'!A:A")),0))</f>
        <v/>
      </c>
      <c r="H347" s="12" t="str">
        <f ca="1">IF($A347="","",IFERROR(SUMIF(INDIRECT("'"&amp;'Template Setup'!$C$5&amp;"'!C:C"),$A347,INDIRECT("'"&amp;'Template Setup'!$C$5&amp;"'!A:A")),0))</f>
        <v/>
      </c>
      <c r="I347" s="12" t="str">
        <f ca="1">IF($A347="","",IFERROR(SUMIF(INDIRECT("'"&amp;'Template Setup'!$C$6&amp;"'!C:C"),$A347,INDIRECT("'"&amp;'Template Setup'!$C$6&amp;"'!A:A")),0))</f>
        <v/>
      </c>
      <c r="J347" s="12" t="str">
        <f ca="1">IF($A347="","",IFERROR(SUMIF(INDIRECT("'"&amp;'Template Setup'!$C$7&amp;"'!C:C"),$A347,INDIRECT("'"&amp;'Template Setup'!$C$7&amp;"'!A:A")),0))</f>
        <v/>
      </c>
      <c r="K347" s="12" t="str">
        <f ca="1">IF($A347="","",IFERROR(SUMIF(INDIRECT("'"&amp;'Template Setup'!$C$8&amp;"'!C:C"),$A347,INDIRECT("'"&amp;'Template Setup'!$C$8&amp;"'!A:A")),0))</f>
        <v/>
      </c>
      <c r="L347" s="11" t="str">
        <f>IF($A347="","",IFERROR(VALUE(MID(TRIM('Template Setup'!$C$4),FIND("-",TRIM('Template Setup'!$C$4))+1,10)),0))</f>
        <v/>
      </c>
      <c r="M347" s="11" t="str">
        <f>IF($A347="","",IFERROR(VALUE(MID(TRIM('Template Setup'!$C$5),FIND("-",TRIM('Template Setup'!$C$5))+1,10)),0))</f>
        <v/>
      </c>
      <c r="N347" s="11" t="str">
        <f>IF($A347="","",IFERROR(VALUE(MID(TRIM('Template Setup'!$C$6),FIND("-",TRIM('Template Setup'!$C$6))+1,10)),0))</f>
        <v/>
      </c>
      <c r="O347" s="11" t="str">
        <f>IF($A347="","",IFERROR(VALUE(MID(TRIM('Template Setup'!$C$7),FIND("-",TRIM('Template Setup'!$C$7))+1,10)),0))</f>
        <v/>
      </c>
      <c r="P347" s="11" t="str">
        <f>IF($A347="","",IFERROR(VALUE(MID(TRIM('Template Setup'!$C$8),FIND("-",TRIM('Template Setup'!$C$8))+1,10)),0))</f>
        <v/>
      </c>
      <c r="Q347" s="9" t="str">
        <f>IF($A347="","",$A347&amp;"-"&amp;'Template Setup'!$C$16)</f>
        <v/>
      </c>
      <c r="R347" s="24" t="str">
        <f t="shared" si="21"/>
        <v/>
      </c>
      <c r="S347" s="24"/>
      <c r="T347" s="24" t="str">
        <f t="shared" si="22"/>
        <v/>
      </c>
      <c r="U347" s="6" t="str">
        <f t="shared" si="24"/>
        <v/>
      </c>
    </row>
    <row r="348" spans="1:21">
      <c r="A348" s="11"/>
      <c r="B348" s="11"/>
      <c r="C348" s="11"/>
      <c r="D348" s="11" t="str">
        <f>IF($A348="","",_xlfn.TEXTJOIN(", ",TRUE,IF($G348&gt;0,'Template Setup'!$C$4,""),IF($H348&gt;0,'Template Setup'!$C$5,""),IF($I348&gt;0,'Template Setup'!$C$6,""),IF($J348&gt;0,'Template Setup'!$C$7,""),IF($K348&gt;0,'Template Setup'!$C$8,"")))</f>
        <v/>
      </c>
      <c r="E348" s="6" t="str" cm="1">
        <f t="array" ref="E348">IF($A348="","",_xlfn.LET(_xlpm.sheets,CHOOSE({1,2,3,4,5},'Template Setup'!$C$4,'Template Setup'!$C$5,'Template Setup'!$C$6,'Template Setup'!$C$7,'Template Setup'!$C$8),_xlpm.nums,CHOOSE({1,2,3,4,5},$L348,$M348,$N348,$O348,$P348),_xlpm.qtys,CHOOSE({1,2,3,4,5},$G348,$H348,$I348,$J348,$K348),_xlpm.validNums,_xlfn._xlws.FILTER(_xlpm.nums,_xlpm.qtys&gt;0),_xlpm.validSheets,_xlfn._xlws.FILTER(_xlpm.sheets,_xlpm.qtys&gt;0),_xlpm.mx,IFERROR(MAX(_xlpm.validNums),0),IF(_xlpm.mx=0,"",INDEX(_xlpm.validSheets,MATCH(_xlpm.mx,_xlpm.validNums,0))&amp;" (+"&amp;$R348&amp;")")))</f>
        <v/>
      </c>
      <c r="F348" s="11" t="str">
        <f t="shared" si="23"/>
        <v/>
      </c>
      <c r="G348" s="12" t="str">
        <f ca="1">IF($A348="","",IFERROR(SUMIF(INDIRECT("'"&amp;'Template Setup'!$C$4&amp;"'!C:C"),$A348,INDIRECT("'"&amp;'Template Setup'!$C$4&amp;"'!A:A")),0))</f>
        <v/>
      </c>
      <c r="H348" s="12" t="str">
        <f ca="1">IF($A348="","",IFERROR(SUMIF(INDIRECT("'"&amp;'Template Setup'!$C$5&amp;"'!C:C"),$A348,INDIRECT("'"&amp;'Template Setup'!$C$5&amp;"'!A:A")),0))</f>
        <v/>
      </c>
      <c r="I348" s="12" t="str">
        <f ca="1">IF($A348="","",IFERROR(SUMIF(INDIRECT("'"&amp;'Template Setup'!$C$6&amp;"'!C:C"),$A348,INDIRECT("'"&amp;'Template Setup'!$C$6&amp;"'!A:A")),0))</f>
        <v/>
      </c>
      <c r="J348" s="12" t="str">
        <f ca="1">IF($A348="","",IFERROR(SUMIF(INDIRECT("'"&amp;'Template Setup'!$C$7&amp;"'!C:C"),$A348,INDIRECT("'"&amp;'Template Setup'!$C$7&amp;"'!A:A")),0))</f>
        <v/>
      </c>
      <c r="K348" s="12" t="str">
        <f ca="1">IF($A348="","",IFERROR(SUMIF(INDIRECT("'"&amp;'Template Setup'!$C$8&amp;"'!C:C"),$A348,INDIRECT("'"&amp;'Template Setup'!$C$8&amp;"'!A:A")),0))</f>
        <v/>
      </c>
      <c r="L348" s="11" t="str">
        <f>IF($A348="","",IFERROR(VALUE(MID(TRIM('Template Setup'!$C$4),FIND("-",TRIM('Template Setup'!$C$4))+1,10)),0))</f>
        <v/>
      </c>
      <c r="M348" s="11" t="str">
        <f>IF($A348="","",IFERROR(VALUE(MID(TRIM('Template Setup'!$C$5),FIND("-",TRIM('Template Setup'!$C$5))+1,10)),0))</f>
        <v/>
      </c>
      <c r="N348" s="11" t="str">
        <f>IF($A348="","",IFERROR(VALUE(MID(TRIM('Template Setup'!$C$6),FIND("-",TRIM('Template Setup'!$C$6))+1,10)),0))</f>
        <v/>
      </c>
      <c r="O348" s="11" t="str">
        <f>IF($A348="","",IFERROR(VALUE(MID(TRIM('Template Setup'!$C$7),FIND("-",TRIM('Template Setup'!$C$7))+1,10)),0))</f>
        <v/>
      </c>
      <c r="P348" s="11" t="str">
        <f>IF($A348="","",IFERROR(VALUE(MID(TRIM('Template Setup'!$C$8),FIND("-",TRIM('Template Setup'!$C$8))+1,10)),0))</f>
        <v/>
      </c>
      <c r="Q348" s="9" t="str">
        <f>IF($A348="","",$A348&amp;"-"&amp;'Template Setup'!$C$16)</f>
        <v/>
      </c>
      <c r="R348" s="24" t="str">
        <f t="shared" si="21"/>
        <v/>
      </c>
      <c r="S348" s="24"/>
      <c r="T348" s="24" t="str">
        <f t="shared" si="22"/>
        <v/>
      </c>
      <c r="U348" s="6" t="str">
        <f t="shared" si="24"/>
        <v/>
      </c>
    </row>
    <row r="349" spans="1:21">
      <c r="A349" s="11"/>
      <c r="B349" s="11"/>
      <c r="C349" s="11"/>
      <c r="D349" s="11" t="str">
        <f>IF($A349="","",_xlfn.TEXTJOIN(", ",TRUE,IF($G349&gt;0,'Template Setup'!$C$4,""),IF($H349&gt;0,'Template Setup'!$C$5,""),IF($I349&gt;0,'Template Setup'!$C$6,""),IF($J349&gt;0,'Template Setup'!$C$7,""),IF($K349&gt;0,'Template Setup'!$C$8,"")))</f>
        <v/>
      </c>
      <c r="E349" s="6" t="str" cm="1">
        <f t="array" ref="E349">IF($A349="","",_xlfn.LET(_xlpm.sheets,CHOOSE({1,2,3,4,5},'Template Setup'!$C$4,'Template Setup'!$C$5,'Template Setup'!$C$6,'Template Setup'!$C$7,'Template Setup'!$C$8),_xlpm.nums,CHOOSE({1,2,3,4,5},$L349,$M349,$N349,$O349,$P349),_xlpm.qtys,CHOOSE({1,2,3,4,5},$G349,$H349,$I349,$J349,$K349),_xlpm.validNums,_xlfn._xlws.FILTER(_xlpm.nums,_xlpm.qtys&gt;0),_xlpm.validSheets,_xlfn._xlws.FILTER(_xlpm.sheets,_xlpm.qtys&gt;0),_xlpm.mx,IFERROR(MAX(_xlpm.validNums),0),IF(_xlpm.mx=0,"",INDEX(_xlpm.validSheets,MATCH(_xlpm.mx,_xlpm.validNums,0))&amp;" (+"&amp;$R349&amp;")")))</f>
        <v/>
      </c>
      <c r="F349" s="11" t="str">
        <f t="shared" si="23"/>
        <v/>
      </c>
      <c r="G349" s="12" t="str">
        <f ca="1">IF($A349="","",IFERROR(SUMIF(INDIRECT("'"&amp;'Template Setup'!$C$4&amp;"'!C:C"),$A349,INDIRECT("'"&amp;'Template Setup'!$C$4&amp;"'!A:A")),0))</f>
        <v/>
      </c>
      <c r="H349" s="12" t="str">
        <f ca="1">IF($A349="","",IFERROR(SUMIF(INDIRECT("'"&amp;'Template Setup'!$C$5&amp;"'!C:C"),$A349,INDIRECT("'"&amp;'Template Setup'!$C$5&amp;"'!A:A")),0))</f>
        <v/>
      </c>
      <c r="I349" s="12" t="str">
        <f ca="1">IF($A349="","",IFERROR(SUMIF(INDIRECT("'"&amp;'Template Setup'!$C$6&amp;"'!C:C"),$A349,INDIRECT("'"&amp;'Template Setup'!$C$6&amp;"'!A:A")),0))</f>
        <v/>
      </c>
      <c r="J349" s="12" t="str">
        <f ca="1">IF($A349="","",IFERROR(SUMIF(INDIRECT("'"&amp;'Template Setup'!$C$7&amp;"'!C:C"),$A349,INDIRECT("'"&amp;'Template Setup'!$C$7&amp;"'!A:A")),0))</f>
        <v/>
      </c>
      <c r="K349" s="12" t="str">
        <f ca="1">IF($A349="","",IFERROR(SUMIF(INDIRECT("'"&amp;'Template Setup'!$C$8&amp;"'!C:C"),$A349,INDIRECT("'"&amp;'Template Setup'!$C$8&amp;"'!A:A")),0))</f>
        <v/>
      </c>
      <c r="L349" s="11" t="str">
        <f>IF($A349="","",IFERROR(VALUE(MID(TRIM('Template Setup'!$C$4),FIND("-",TRIM('Template Setup'!$C$4))+1,10)),0))</f>
        <v/>
      </c>
      <c r="M349" s="11" t="str">
        <f>IF($A349="","",IFERROR(VALUE(MID(TRIM('Template Setup'!$C$5),FIND("-",TRIM('Template Setup'!$C$5))+1,10)),0))</f>
        <v/>
      </c>
      <c r="N349" s="11" t="str">
        <f>IF($A349="","",IFERROR(VALUE(MID(TRIM('Template Setup'!$C$6),FIND("-",TRIM('Template Setup'!$C$6))+1,10)),0))</f>
        <v/>
      </c>
      <c r="O349" s="11" t="str">
        <f>IF($A349="","",IFERROR(VALUE(MID(TRIM('Template Setup'!$C$7),FIND("-",TRIM('Template Setup'!$C$7))+1,10)),0))</f>
        <v/>
      </c>
      <c r="P349" s="11" t="str">
        <f>IF($A349="","",IFERROR(VALUE(MID(TRIM('Template Setup'!$C$8),FIND("-",TRIM('Template Setup'!$C$8))+1,10)),0))</f>
        <v/>
      </c>
      <c r="Q349" s="9" t="str">
        <f>IF($A349="","",$A349&amp;"-"&amp;'Template Setup'!$C$16)</f>
        <v/>
      </c>
      <c r="R349" s="24" t="str">
        <f t="shared" si="21"/>
        <v/>
      </c>
      <c r="S349" s="24"/>
      <c r="T349" s="24" t="str">
        <f t="shared" si="22"/>
        <v/>
      </c>
      <c r="U349" s="6" t="str">
        <f t="shared" si="24"/>
        <v/>
      </c>
    </row>
    <row r="350" spans="1:21">
      <c r="A350" s="11"/>
      <c r="B350" s="11"/>
      <c r="C350" s="11"/>
      <c r="D350" s="11" t="str">
        <f>IF($A350="","",_xlfn.TEXTJOIN(", ",TRUE,IF($G350&gt;0,'Template Setup'!$C$4,""),IF($H350&gt;0,'Template Setup'!$C$5,""),IF($I350&gt;0,'Template Setup'!$C$6,""),IF($J350&gt;0,'Template Setup'!$C$7,""),IF($K350&gt;0,'Template Setup'!$C$8,"")))</f>
        <v/>
      </c>
      <c r="E350" s="6" t="str" cm="1">
        <f t="array" ref="E350">IF($A350="","",_xlfn.LET(_xlpm.sheets,CHOOSE({1,2,3,4,5},'Template Setup'!$C$4,'Template Setup'!$C$5,'Template Setup'!$C$6,'Template Setup'!$C$7,'Template Setup'!$C$8),_xlpm.nums,CHOOSE({1,2,3,4,5},$L350,$M350,$N350,$O350,$P350),_xlpm.qtys,CHOOSE({1,2,3,4,5},$G350,$H350,$I350,$J350,$K350),_xlpm.validNums,_xlfn._xlws.FILTER(_xlpm.nums,_xlpm.qtys&gt;0),_xlpm.validSheets,_xlfn._xlws.FILTER(_xlpm.sheets,_xlpm.qtys&gt;0),_xlpm.mx,IFERROR(MAX(_xlpm.validNums),0),IF(_xlpm.mx=0,"",INDEX(_xlpm.validSheets,MATCH(_xlpm.mx,_xlpm.validNums,0))&amp;" (+"&amp;$R350&amp;")")))</f>
        <v/>
      </c>
      <c r="F350" s="11" t="str">
        <f t="shared" si="23"/>
        <v/>
      </c>
      <c r="G350" s="12" t="str">
        <f ca="1">IF($A350="","",IFERROR(SUMIF(INDIRECT("'"&amp;'Template Setup'!$C$4&amp;"'!C:C"),$A350,INDIRECT("'"&amp;'Template Setup'!$C$4&amp;"'!A:A")),0))</f>
        <v/>
      </c>
      <c r="H350" s="12" t="str">
        <f ca="1">IF($A350="","",IFERROR(SUMIF(INDIRECT("'"&amp;'Template Setup'!$C$5&amp;"'!C:C"),$A350,INDIRECT("'"&amp;'Template Setup'!$C$5&amp;"'!A:A")),0))</f>
        <v/>
      </c>
      <c r="I350" s="12" t="str">
        <f ca="1">IF($A350="","",IFERROR(SUMIF(INDIRECT("'"&amp;'Template Setup'!$C$6&amp;"'!C:C"),$A350,INDIRECT("'"&amp;'Template Setup'!$C$6&amp;"'!A:A")),0))</f>
        <v/>
      </c>
      <c r="J350" s="12" t="str">
        <f ca="1">IF($A350="","",IFERROR(SUMIF(INDIRECT("'"&amp;'Template Setup'!$C$7&amp;"'!C:C"),$A350,INDIRECT("'"&amp;'Template Setup'!$C$7&amp;"'!A:A")),0))</f>
        <v/>
      </c>
      <c r="K350" s="12" t="str">
        <f ca="1">IF($A350="","",IFERROR(SUMIF(INDIRECT("'"&amp;'Template Setup'!$C$8&amp;"'!C:C"),$A350,INDIRECT("'"&amp;'Template Setup'!$C$8&amp;"'!A:A")),0))</f>
        <v/>
      </c>
      <c r="L350" s="11" t="str">
        <f>IF($A350="","",IFERROR(VALUE(MID(TRIM('Template Setup'!$C$4),FIND("-",TRIM('Template Setup'!$C$4))+1,10)),0))</f>
        <v/>
      </c>
      <c r="M350" s="11" t="str">
        <f>IF($A350="","",IFERROR(VALUE(MID(TRIM('Template Setup'!$C$5),FIND("-",TRIM('Template Setup'!$C$5))+1,10)),0))</f>
        <v/>
      </c>
      <c r="N350" s="11" t="str">
        <f>IF($A350="","",IFERROR(VALUE(MID(TRIM('Template Setup'!$C$6),FIND("-",TRIM('Template Setup'!$C$6))+1,10)),0))</f>
        <v/>
      </c>
      <c r="O350" s="11" t="str">
        <f>IF($A350="","",IFERROR(VALUE(MID(TRIM('Template Setup'!$C$7),FIND("-",TRIM('Template Setup'!$C$7))+1,10)),0))</f>
        <v/>
      </c>
      <c r="P350" s="11" t="str">
        <f>IF($A350="","",IFERROR(VALUE(MID(TRIM('Template Setup'!$C$8),FIND("-",TRIM('Template Setup'!$C$8))+1,10)),0))</f>
        <v/>
      </c>
      <c r="Q350" s="9" t="str">
        <f>IF($A350="","",$A350&amp;"-"&amp;'Template Setup'!$C$16)</f>
        <v/>
      </c>
      <c r="R350" s="24" t="str">
        <f t="shared" si="21"/>
        <v/>
      </c>
      <c r="S350" s="24"/>
      <c r="T350" s="24" t="str">
        <f t="shared" si="22"/>
        <v/>
      </c>
      <c r="U350" s="6" t="str">
        <f t="shared" si="24"/>
        <v/>
      </c>
    </row>
    <row r="351" spans="1:21">
      <c r="A351" s="11"/>
      <c r="B351" s="11"/>
      <c r="C351" s="11"/>
      <c r="D351" s="11" t="str">
        <f>IF($A351="","",_xlfn.TEXTJOIN(", ",TRUE,IF($G351&gt;0,'Template Setup'!$C$4,""),IF($H351&gt;0,'Template Setup'!$C$5,""),IF($I351&gt;0,'Template Setup'!$C$6,""),IF($J351&gt;0,'Template Setup'!$C$7,""),IF($K351&gt;0,'Template Setup'!$C$8,"")))</f>
        <v/>
      </c>
      <c r="E351" s="6" t="str" cm="1">
        <f t="array" ref="E351">IF($A351="","",_xlfn.LET(_xlpm.sheets,CHOOSE({1,2,3,4,5},'Template Setup'!$C$4,'Template Setup'!$C$5,'Template Setup'!$C$6,'Template Setup'!$C$7,'Template Setup'!$C$8),_xlpm.nums,CHOOSE({1,2,3,4,5},$L351,$M351,$N351,$O351,$P351),_xlpm.qtys,CHOOSE({1,2,3,4,5},$G351,$H351,$I351,$J351,$K351),_xlpm.validNums,_xlfn._xlws.FILTER(_xlpm.nums,_xlpm.qtys&gt;0),_xlpm.validSheets,_xlfn._xlws.FILTER(_xlpm.sheets,_xlpm.qtys&gt;0),_xlpm.mx,IFERROR(MAX(_xlpm.validNums),0),IF(_xlpm.mx=0,"",INDEX(_xlpm.validSheets,MATCH(_xlpm.mx,_xlpm.validNums,0))&amp;" (+"&amp;$R351&amp;")")))</f>
        <v/>
      </c>
      <c r="F351" s="11" t="str">
        <f t="shared" si="23"/>
        <v/>
      </c>
      <c r="G351" s="12" t="str">
        <f ca="1">IF($A351="","",IFERROR(SUMIF(INDIRECT("'"&amp;'Template Setup'!$C$4&amp;"'!C:C"),$A351,INDIRECT("'"&amp;'Template Setup'!$C$4&amp;"'!A:A")),0))</f>
        <v/>
      </c>
      <c r="H351" s="12" t="str">
        <f ca="1">IF($A351="","",IFERROR(SUMIF(INDIRECT("'"&amp;'Template Setup'!$C$5&amp;"'!C:C"),$A351,INDIRECT("'"&amp;'Template Setup'!$C$5&amp;"'!A:A")),0))</f>
        <v/>
      </c>
      <c r="I351" s="12" t="str">
        <f ca="1">IF($A351="","",IFERROR(SUMIF(INDIRECT("'"&amp;'Template Setup'!$C$6&amp;"'!C:C"),$A351,INDIRECT("'"&amp;'Template Setup'!$C$6&amp;"'!A:A")),0))</f>
        <v/>
      </c>
      <c r="J351" s="12" t="str">
        <f ca="1">IF($A351="","",IFERROR(SUMIF(INDIRECT("'"&amp;'Template Setup'!$C$7&amp;"'!C:C"),$A351,INDIRECT("'"&amp;'Template Setup'!$C$7&amp;"'!A:A")),0))</f>
        <v/>
      </c>
      <c r="K351" s="12" t="str">
        <f ca="1">IF($A351="","",IFERROR(SUMIF(INDIRECT("'"&amp;'Template Setup'!$C$8&amp;"'!C:C"),$A351,INDIRECT("'"&amp;'Template Setup'!$C$8&amp;"'!A:A")),0))</f>
        <v/>
      </c>
      <c r="L351" s="11" t="str">
        <f>IF($A351="","",IFERROR(VALUE(MID(TRIM('Template Setup'!$C$4),FIND("-",TRIM('Template Setup'!$C$4))+1,10)),0))</f>
        <v/>
      </c>
      <c r="M351" s="11" t="str">
        <f>IF($A351="","",IFERROR(VALUE(MID(TRIM('Template Setup'!$C$5),FIND("-",TRIM('Template Setup'!$C$5))+1,10)),0))</f>
        <v/>
      </c>
      <c r="N351" s="11" t="str">
        <f>IF($A351="","",IFERROR(VALUE(MID(TRIM('Template Setup'!$C$6),FIND("-",TRIM('Template Setup'!$C$6))+1,10)),0))</f>
        <v/>
      </c>
      <c r="O351" s="11" t="str">
        <f>IF($A351="","",IFERROR(VALUE(MID(TRIM('Template Setup'!$C$7),FIND("-",TRIM('Template Setup'!$C$7))+1,10)),0))</f>
        <v/>
      </c>
      <c r="P351" s="11" t="str">
        <f>IF($A351="","",IFERROR(VALUE(MID(TRIM('Template Setup'!$C$8),FIND("-",TRIM('Template Setup'!$C$8))+1,10)),0))</f>
        <v/>
      </c>
      <c r="Q351" s="9" t="str">
        <f>IF($A351="","",$A351&amp;"-"&amp;'Template Setup'!$C$16)</f>
        <v/>
      </c>
      <c r="R351" s="24" t="str">
        <f t="shared" si="21"/>
        <v/>
      </c>
      <c r="S351" s="24"/>
      <c r="T351" s="24" t="str">
        <f t="shared" si="22"/>
        <v/>
      </c>
      <c r="U351" s="6" t="str">
        <f t="shared" si="24"/>
        <v/>
      </c>
    </row>
    <row r="352" spans="1:21">
      <c r="A352" s="11"/>
      <c r="B352" s="11"/>
      <c r="C352" s="11"/>
      <c r="D352" s="11" t="str">
        <f>IF($A352="","",_xlfn.TEXTJOIN(", ",TRUE,IF($G352&gt;0,'Template Setup'!$C$4,""),IF($H352&gt;0,'Template Setup'!$C$5,""),IF($I352&gt;0,'Template Setup'!$C$6,""),IF($J352&gt;0,'Template Setup'!$C$7,""),IF($K352&gt;0,'Template Setup'!$C$8,"")))</f>
        <v/>
      </c>
      <c r="E352" s="6" t="str" cm="1">
        <f t="array" ref="E352">IF($A352="","",_xlfn.LET(_xlpm.sheets,CHOOSE({1,2,3,4,5},'Template Setup'!$C$4,'Template Setup'!$C$5,'Template Setup'!$C$6,'Template Setup'!$C$7,'Template Setup'!$C$8),_xlpm.nums,CHOOSE({1,2,3,4,5},$L352,$M352,$N352,$O352,$P352),_xlpm.qtys,CHOOSE({1,2,3,4,5},$G352,$H352,$I352,$J352,$K352),_xlpm.validNums,_xlfn._xlws.FILTER(_xlpm.nums,_xlpm.qtys&gt;0),_xlpm.validSheets,_xlfn._xlws.FILTER(_xlpm.sheets,_xlpm.qtys&gt;0),_xlpm.mx,IFERROR(MAX(_xlpm.validNums),0),IF(_xlpm.mx=0,"",INDEX(_xlpm.validSheets,MATCH(_xlpm.mx,_xlpm.validNums,0))&amp;" (+"&amp;$R352&amp;")")))</f>
        <v/>
      </c>
      <c r="F352" s="11" t="str">
        <f t="shared" si="23"/>
        <v/>
      </c>
      <c r="G352" s="12" t="str">
        <f ca="1">IF($A352="","",IFERROR(SUMIF(INDIRECT("'"&amp;'Template Setup'!$C$4&amp;"'!C:C"),$A352,INDIRECT("'"&amp;'Template Setup'!$C$4&amp;"'!A:A")),0))</f>
        <v/>
      </c>
      <c r="H352" s="12" t="str">
        <f ca="1">IF($A352="","",IFERROR(SUMIF(INDIRECT("'"&amp;'Template Setup'!$C$5&amp;"'!C:C"),$A352,INDIRECT("'"&amp;'Template Setup'!$C$5&amp;"'!A:A")),0))</f>
        <v/>
      </c>
      <c r="I352" s="12" t="str">
        <f ca="1">IF($A352="","",IFERROR(SUMIF(INDIRECT("'"&amp;'Template Setup'!$C$6&amp;"'!C:C"),$A352,INDIRECT("'"&amp;'Template Setup'!$C$6&amp;"'!A:A")),0))</f>
        <v/>
      </c>
      <c r="J352" s="12" t="str">
        <f ca="1">IF($A352="","",IFERROR(SUMIF(INDIRECT("'"&amp;'Template Setup'!$C$7&amp;"'!C:C"),$A352,INDIRECT("'"&amp;'Template Setup'!$C$7&amp;"'!A:A")),0))</f>
        <v/>
      </c>
      <c r="K352" s="12" t="str">
        <f ca="1">IF($A352="","",IFERROR(SUMIF(INDIRECT("'"&amp;'Template Setup'!$C$8&amp;"'!C:C"),$A352,INDIRECT("'"&amp;'Template Setup'!$C$8&amp;"'!A:A")),0))</f>
        <v/>
      </c>
      <c r="L352" s="11" t="str">
        <f>IF($A352="","",IFERROR(VALUE(MID(TRIM('Template Setup'!$C$4),FIND("-",TRIM('Template Setup'!$C$4))+1,10)),0))</f>
        <v/>
      </c>
      <c r="M352" s="11" t="str">
        <f>IF($A352="","",IFERROR(VALUE(MID(TRIM('Template Setup'!$C$5),FIND("-",TRIM('Template Setup'!$C$5))+1,10)),0))</f>
        <v/>
      </c>
      <c r="N352" s="11" t="str">
        <f>IF($A352="","",IFERROR(VALUE(MID(TRIM('Template Setup'!$C$6),FIND("-",TRIM('Template Setup'!$C$6))+1,10)),0))</f>
        <v/>
      </c>
      <c r="O352" s="11" t="str">
        <f>IF($A352="","",IFERROR(VALUE(MID(TRIM('Template Setup'!$C$7),FIND("-",TRIM('Template Setup'!$C$7))+1,10)),0))</f>
        <v/>
      </c>
      <c r="P352" s="11" t="str">
        <f>IF($A352="","",IFERROR(VALUE(MID(TRIM('Template Setup'!$C$8),FIND("-",TRIM('Template Setup'!$C$8))+1,10)),0))</f>
        <v/>
      </c>
      <c r="Q352" s="9" t="str">
        <f>IF($A352="","",$A352&amp;"-"&amp;'Template Setup'!$C$16)</f>
        <v/>
      </c>
      <c r="R352" s="24" t="str">
        <f t="shared" si="21"/>
        <v/>
      </c>
      <c r="S352" s="24"/>
      <c r="T352" s="24" t="str">
        <f t="shared" si="22"/>
        <v/>
      </c>
      <c r="U352" s="6" t="str">
        <f t="shared" si="24"/>
        <v/>
      </c>
    </row>
    <row r="353" spans="1:21">
      <c r="A353" s="11"/>
      <c r="B353" s="11"/>
      <c r="C353" s="11"/>
      <c r="D353" s="11" t="str">
        <f>IF($A353="","",_xlfn.TEXTJOIN(", ",TRUE,IF($G353&gt;0,'Template Setup'!$C$4,""),IF($H353&gt;0,'Template Setup'!$C$5,""),IF($I353&gt;0,'Template Setup'!$C$6,""),IF($J353&gt;0,'Template Setup'!$C$7,""),IF($K353&gt;0,'Template Setup'!$C$8,"")))</f>
        <v/>
      </c>
      <c r="E353" s="6" t="str" cm="1">
        <f t="array" ref="E353">IF($A353="","",_xlfn.LET(_xlpm.sheets,CHOOSE({1,2,3,4,5},'Template Setup'!$C$4,'Template Setup'!$C$5,'Template Setup'!$C$6,'Template Setup'!$C$7,'Template Setup'!$C$8),_xlpm.nums,CHOOSE({1,2,3,4,5},$L353,$M353,$N353,$O353,$P353),_xlpm.qtys,CHOOSE({1,2,3,4,5},$G353,$H353,$I353,$J353,$K353),_xlpm.validNums,_xlfn._xlws.FILTER(_xlpm.nums,_xlpm.qtys&gt;0),_xlpm.validSheets,_xlfn._xlws.FILTER(_xlpm.sheets,_xlpm.qtys&gt;0),_xlpm.mx,IFERROR(MAX(_xlpm.validNums),0),IF(_xlpm.mx=0,"",INDEX(_xlpm.validSheets,MATCH(_xlpm.mx,_xlpm.validNums,0))&amp;" (+"&amp;$R353&amp;")")))</f>
        <v/>
      </c>
      <c r="F353" s="11" t="str">
        <f t="shared" si="23"/>
        <v/>
      </c>
      <c r="G353" s="12" t="str">
        <f ca="1">IF($A353="","",IFERROR(SUMIF(INDIRECT("'"&amp;'Template Setup'!$C$4&amp;"'!C:C"),$A353,INDIRECT("'"&amp;'Template Setup'!$C$4&amp;"'!A:A")),0))</f>
        <v/>
      </c>
      <c r="H353" s="12" t="str">
        <f ca="1">IF($A353="","",IFERROR(SUMIF(INDIRECT("'"&amp;'Template Setup'!$C$5&amp;"'!C:C"),$A353,INDIRECT("'"&amp;'Template Setup'!$C$5&amp;"'!A:A")),0))</f>
        <v/>
      </c>
      <c r="I353" s="12" t="str">
        <f ca="1">IF($A353="","",IFERROR(SUMIF(INDIRECT("'"&amp;'Template Setup'!$C$6&amp;"'!C:C"),$A353,INDIRECT("'"&amp;'Template Setup'!$C$6&amp;"'!A:A")),0))</f>
        <v/>
      </c>
      <c r="J353" s="12" t="str">
        <f ca="1">IF($A353="","",IFERROR(SUMIF(INDIRECT("'"&amp;'Template Setup'!$C$7&amp;"'!C:C"),$A353,INDIRECT("'"&amp;'Template Setup'!$C$7&amp;"'!A:A")),0))</f>
        <v/>
      </c>
      <c r="K353" s="12" t="str">
        <f ca="1">IF($A353="","",IFERROR(SUMIF(INDIRECT("'"&amp;'Template Setup'!$C$8&amp;"'!C:C"),$A353,INDIRECT("'"&amp;'Template Setup'!$C$8&amp;"'!A:A")),0))</f>
        <v/>
      </c>
      <c r="L353" s="11" t="str">
        <f>IF($A353="","",IFERROR(VALUE(MID(TRIM('Template Setup'!$C$4),FIND("-",TRIM('Template Setup'!$C$4))+1,10)),0))</f>
        <v/>
      </c>
      <c r="M353" s="11" t="str">
        <f>IF($A353="","",IFERROR(VALUE(MID(TRIM('Template Setup'!$C$5),FIND("-",TRIM('Template Setup'!$C$5))+1,10)),0))</f>
        <v/>
      </c>
      <c r="N353" s="11" t="str">
        <f>IF($A353="","",IFERROR(VALUE(MID(TRIM('Template Setup'!$C$6),FIND("-",TRIM('Template Setup'!$C$6))+1,10)),0))</f>
        <v/>
      </c>
      <c r="O353" s="11" t="str">
        <f>IF($A353="","",IFERROR(VALUE(MID(TRIM('Template Setup'!$C$7),FIND("-",TRIM('Template Setup'!$C$7))+1,10)),0))</f>
        <v/>
      </c>
      <c r="P353" s="11" t="str">
        <f>IF($A353="","",IFERROR(VALUE(MID(TRIM('Template Setup'!$C$8),FIND("-",TRIM('Template Setup'!$C$8))+1,10)),0))</f>
        <v/>
      </c>
      <c r="Q353" s="9" t="str">
        <f>IF($A353="","",$A353&amp;"-"&amp;'Template Setup'!$C$16)</f>
        <v/>
      </c>
      <c r="R353" s="24" t="str">
        <f t="shared" si="21"/>
        <v/>
      </c>
      <c r="S353" s="24"/>
      <c r="T353" s="24" t="str">
        <f t="shared" si="22"/>
        <v/>
      </c>
      <c r="U353" s="6" t="str">
        <f t="shared" si="24"/>
        <v/>
      </c>
    </row>
    <row r="354" spans="1:21">
      <c r="A354" s="11"/>
      <c r="B354" s="11"/>
      <c r="C354" s="11"/>
      <c r="D354" s="11" t="str">
        <f>IF($A354="","",_xlfn.TEXTJOIN(", ",TRUE,IF($G354&gt;0,'Template Setup'!$C$4,""),IF($H354&gt;0,'Template Setup'!$C$5,""),IF($I354&gt;0,'Template Setup'!$C$6,""),IF($J354&gt;0,'Template Setup'!$C$7,""),IF($K354&gt;0,'Template Setup'!$C$8,"")))</f>
        <v/>
      </c>
      <c r="E354" s="6" t="str" cm="1">
        <f t="array" ref="E354">IF($A354="","",_xlfn.LET(_xlpm.sheets,CHOOSE({1,2,3,4,5},'Template Setup'!$C$4,'Template Setup'!$C$5,'Template Setup'!$C$6,'Template Setup'!$C$7,'Template Setup'!$C$8),_xlpm.nums,CHOOSE({1,2,3,4,5},$L354,$M354,$N354,$O354,$P354),_xlpm.qtys,CHOOSE({1,2,3,4,5},$G354,$H354,$I354,$J354,$K354),_xlpm.validNums,_xlfn._xlws.FILTER(_xlpm.nums,_xlpm.qtys&gt;0),_xlpm.validSheets,_xlfn._xlws.FILTER(_xlpm.sheets,_xlpm.qtys&gt;0),_xlpm.mx,IFERROR(MAX(_xlpm.validNums),0),IF(_xlpm.mx=0,"",INDEX(_xlpm.validSheets,MATCH(_xlpm.mx,_xlpm.validNums,0))&amp;" (+"&amp;$R354&amp;")")))</f>
        <v/>
      </c>
      <c r="F354" s="11" t="str">
        <f t="shared" si="23"/>
        <v/>
      </c>
      <c r="G354" s="12" t="str">
        <f ca="1">IF($A354="","",IFERROR(SUMIF(INDIRECT("'"&amp;'Template Setup'!$C$4&amp;"'!C:C"),$A354,INDIRECT("'"&amp;'Template Setup'!$C$4&amp;"'!A:A")),0))</f>
        <v/>
      </c>
      <c r="H354" s="12" t="str">
        <f ca="1">IF($A354="","",IFERROR(SUMIF(INDIRECT("'"&amp;'Template Setup'!$C$5&amp;"'!C:C"),$A354,INDIRECT("'"&amp;'Template Setup'!$C$5&amp;"'!A:A")),0))</f>
        <v/>
      </c>
      <c r="I354" s="12" t="str">
        <f ca="1">IF($A354="","",IFERROR(SUMIF(INDIRECT("'"&amp;'Template Setup'!$C$6&amp;"'!C:C"),$A354,INDIRECT("'"&amp;'Template Setup'!$C$6&amp;"'!A:A")),0))</f>
        <v/>
      </c>
      <c r="J354" s="12" t="str">
        <f ca="1">IF($A354="","",IFERROR(SUMIF(INDIRECT("'"&amp;'Template Setup'!$C$7&amp;"'!C:C"),$A354,INDIRECT("'"&amp;'Template Setup'!$C$7&amp;"'!A:A")),0))</f>
        <v/>
      </c>
      <c r="K354" s="12" t="str">
        <f ca="1">IF($A354="","",IFERROR(SUMIF(INDIRECT("'"&amp;'Template Setup'!$C$8&amp;"'!C:C"),$A354,INDIRECT("'"&amp;'Template Setup'!$C$8&amp;"'!A:A")),0))</f>
        <v/>
      </c>
      <c r="L354" s="11" t="str">
        <f>IF($A354="","",IFERROR(VALUE(MID(TRIM('Template Setup'!$C$4),FIND("-",TRIM('Template Setup'!$C$4))+1,10)),0))</f>
        <v/>
      </c>
      <c r="M354" s="11" t="str">
        <f>IF($A354="","",IFERROR(VALUE(MID(TRIM('Template Setup'!$C$5),FIND("-",TRIM('Template Setup'!$C$5))+1,10)),0))</f>
        <v/>
      </c>
      <c r="N354" s="11" t="str">
        <f>IF($A354="","",IFERROR(VALUE(MID(TRIM('Template Setup'!$C$6),FIND("-",TRIM('Template Setup'!$C$6))+1,10)),0))</f>
        <v/>
      </c>
      <c r="O354" s="11" t="str">
        <f>IF($A354="","",IFERROR(VALUE(MID(TRIM('Template Setup'!$C$7),FIND("-",TRIM('Template Setup'!$C$7))+1,10)),0))</f>
        <v/>
      </c>
      <c r="P354" s="11" t="str">
        <f>IF($A354="","",IFERROR(VALUE(MID(TRIM('Template Setup'!$C$8),FIND("-",TRIM('Template Setup'!$C$8))+1,10)),0))</f>
        <v/>
      </c>
      <c r="Q354" s="9" t="str">
        <f>IF($A354="","",$A354&amp;"-"&amp;'Template Setup'!$C$16)</f>
        <v/>
      </c>
      <c r="R354" s="24" t="str">
        <f t="shared" si="21"/>
        <v/>
      </c>
      <c r="S354" s="24"/>
      <c r="T354" s="24" t="str">
        <f t="shared" si="22"/>
        <v/>
      </c>
      <c r="U354" s="6" t="str">
        <f t="shared" si="24"/>
        <v/>
      </c>
    </row>
    <row r="355" spans="1:21">
      <c r="A355" s="11"/>
      <c r="B355" s="11"/>
      <c r="C355" s="11"/>
      <c r="D355" s="11" t="str">
        <f>IF($A355="","",_xlfn.TEXTJOIN(", ",TRUE,IF($G355&gt;0,'Template Setup'!$C$4,""),IF($H355&gt;0,'Template Setup'!$C$5,""),IF($I355&gt;0,'Template Setup'!$C$6,""),IF($J355&gt;0,'Template Setup'!$C$7,""),IF($K355&gt;0,'Template Setup'!$C$8,"")))</f>
        <v/>
      </c>
      <c r="E355" s="6" t="str" cm="1">
        <f t="array" ref="E355">IF($A355="","",_xlfn.LET(_xlpm.sheets,CHOOSE({1,2,3,4,5},'Template Setup'!$C$4,'Template Setup'!$C$5,'Template Setup'!$C$6,'Template Setup'!$C$7,'Template Setup'!$C$8),_xlpm.nums,CHOOSE({1,2,3,4,5},$L355,$M355,$N355,$O355,$P355),_xlpm.qtys,CHOOSE({1,2,3,4,5},$G355,$H355,$I355,$J355,$K355),_xlpm.validNums,_xlfn._xlws.FILTER(_xlpm.nums,_xlpm.qtys&gt;0),_xlpm.validSheets,_xlfn._xlws.FILTER(_xlpm.sheets,_xlpm.qtys&gt;0),_xlpm.mx,IFERROR(MAX(_xlpm.validNums),0),IF(_xlpm.mx=0,"",INDEX(_xlpm.validSheets,MATCH(_xlpm.mx,_xlpm.validNums,0))&amp;" (+"&amp;$R355&amp;")")))</f>
        <v/>
      </c>
      <c r="F355" s="11" t="str">
        <f t="shared" si="23"/>
        <v/>
      </c>
      <c r="G355" s="12" t="str">
        <f ca="1">IF($A355="","",IFERROR(SUMIF(INDIRECT("'"&amp;'Template Setup'!$C$4&amp;"'!C:C"),$A355,INDIRECT("'"&amp;'Template Setup'!$C$4&amp;"'!A:A")),0))</f>
        <v/>
      </c>
      <c r="H355" s="12" t="str">
        <f ca="1">IF($A355="","",IFERROR(SUMIF(INDIRECT("'"&amp;'Template Setup'!$C$5&amp;"'!C:C"),$A355,INDIRECT("'"&amp;'Template Setup'!$C$5&amp;"'!A:A")),0))</f>
        <v/>
      </c>
      <c r="I355" s="12" t="str">
        <f ca="1">IF($A355="","",IFERROR(SUMIF(INDIRECT("'"&amp;'Template Setup'!$C$6&amp;"'!C:C"),$A355,INDIRECT("'"&amp;'Template Setup'!$C$6&amp;"'!A:A")),0))</f>
        <v/>
      </c>
      <c r="J355" s="12" t="str">
        <f ca="1">IF($A355="","",IFERROR(SUMIF(INDIRECT("'"&amp;'Template Setup'!$C$7&amp;"'!C:C"),$A355,INDIRECT("'"&amp;'Template Setup'!$C$7&amp;"'!A:A")),0))</f>
        <v/>
      </c>
      <c r="K355" s="12" t="str">
        <f ca="1">IF($A355="","",IFERROR(SUMIF(INDIRECT("'"&amp;'Template Setup'!$C$8&amp;"'!C:C"),$A355,INDIRECT("'"&amp;'Template Setup'!$C$8&amp;"'!A:A")),0))</f>
        <v/>
      </c>
      <c r="L355" s="11" t="str">
        <f>IF($A355="","",IFERROR(VALUE(MID(TRIM('Template Setup'!$C$4),FIND("-",TRIM('Template Setup'!$C$4))+1,10)),0))</f>
        <v/>
      </c>
      <c r="M355" s="11" t="str">
        <f>IF($A355="","",IFERROR(VALUE(MID(TRIM('Template Setup'!$C$5),FIND("-",TRIM('Template Setup'!$C$5))+1,10)),0))</f>
        <v/>
      </c>
      <c r="N355" s="11" t="str">
        <f>IF($A355="","",IFERROR(VALUE(MID(TRIM('Template Setup'!$C$6),FIND("-",TRIM('Template Setup'!$C$6))+1,10)),0))</f>
        <v/>
      </c>
      <c r="O355" s="11" t="str">
        <f>IF($A355="","",IFERROR(VALUE(MID(TRIM('Template Setup'!$C$7),FIND("-",TRIM('Template Setup'!$C$7))+1,10)),0))</f>
        <v/>
      </c>
      <c r="P355" s="11" t="str">
        <f>IF($A355="","",IFERROR(VALUE(MID(TRIM('Template Setup'!$C$8),FIND("-",TRIM('Template Setup'!$C$8))+1,10)),0))</f>
        <v/>
      </c>
      <c r="Q355" s="9" t="str">
        <f>IF($A355="","",$A355&amp;"-"&amp;'Template Setup'!$C$16)</f>
        <v/>
      </c>
      <c r="R355" s="24" t="str">
        <f t="shared" si="21"/>
        <v/>
      </c>
      <c r="S355" s="24"/>
      <c r="T355" s="24" t="str">
        <f t="shared" si="22"/>
        <v/>
      </c>
      <c r="U355" s="6" t="str">
        <f t="shared" si="24"/>
        <v/>
      </c>
    </row>
    <row r="356" spans="1:21">
      <c r="A356" s="11"/>
      <c r="B356" s="11"/>
      <c r="C356" s="11"/>
      <c r="D356" s="11" t="str">
        <f>IF($A356="","",_xlfn.TEXTJOIN(", ",TRUE,IF($G356&gt;0,'Template Setup'!$C$4,""),IF($H356&gt;0,'Template Setup'!$C$5,""),IF($I356&gt;0,'Template Setup'!$C$6,""),IF($J356&gt;0,'Template Setup'!$C$7,""),IF($K356&gt;0,'Template Setup'!$C$8,"")))</f>
        <v/>
      </c>
      <c r="E356" s="6" t="str" cm="1">
        <f t="array" ref="E356">IF($A356="","",_xlfn.LET(_xlpm.sheets,CHOOSE({1,2,3,4,5},'Template Setup'!$C$4,'Template Setup'!$C$5,'Template Setup'!$C$6,'Template Setup'!$C$7,'Template Setup'!$C$8),_xlpm.nums,CHOOSE({1,2,3,4,5},$L356,$M356,$N356,$O356,$P356),_xlpm.qtys,CHOOSE({1,2,3,4,5},$G356,$H356,$I356,$J356,$K356),_xlpm.validNums,_xlfn._xlws.FILTER(_xlpm.nums,_xlpm.qtys&gt;0),_xlpm.validSheets,_xlfn._xlws.FILTER(_xlpm.sheets,_xlpm.qtys&gt;0),_xlpm.mx,IFERROR(MAX(_xlpm.validNums),0),IF(_xlpm.mx=0,"",INDEX(_xlpm.validSheets,MATCH(_xlpm.mx,_xlpm.validNums,0))&amp;" (+"&amp;$R356&amp;")")))</f>
        <v/>
      </c>
      <c r="F356" s="11" t="str">
        <f t="shared" si="23"/>
        <v/>
      </c>
      <c r="G356" s="12" t="str">
        <f ca="1">IF($A356="","",IFERROR(SUMIF(INDIRECT("'"&amp;'Template Setup'!$C$4&amp;"'!C:C"),$A356,INDIRECT("'"&amp;'Template Setup'!$C$4&amp;"'!A:A")),0))</f>
        <v/>
      </c>
      <c r="H356" s="12" t="str">
        <f ca="1">IF($A356="","",IFERROR(SUMIF(INDIRECT("'"&amp;'Template Setup'!$C$5&amp;"'!C:C"),$A356,INDIRECT("'"&amp;'Template Setup'!$C$5&amp;"'!A:A")),0))</f>
        <v/>
      </c>
      <c r="I356" s="12" t="str">
        <f ca="1">IF($A356="","",IFERROR(SUMIF(INDIRECT("'"&amp;'Template Setup'!$C$6&amp;"'!C:C"),$A356,INDIRECT("'"&amp;'Template Setup'!$C$6&amp;"'!A:A")),0))</f>
        <v/>
      </c>
      <c r="J356" s="12" t="str">
        <f ca="1">IF($A356="","",IFERROR(SUMIF(INDIRECT("'"&amp;'Template Setup'!$C$7&amp;"'!C:C"),$A356,INDIRECT("'"&amp;'Template Setup'!$C$7&amp;"'!A:A")),0))</f>
        <v/>
      </c>
      <c r="K356" s="12" t="str">
        <f ca="1">IF($A356="","",IFERROR(SUMIF(INDIRECT("'"&amp;'Template Setup'!$C$8&amp;"'!C:C"),$A356,INDIRECT("'"&amp;'Template Setup'!$C$8&amp;"'!A:A")),0))</f>
        <v/>
      </c>
      <c r="L356" s="11" t="str">
        <f>IF($A356="","",IFERROR(VALUE(MID(TRIM('Template Setup'!$C$4),FIND("-",TRIM('Template Setup'!$C$4))+1,10)),0))</f>
        <v/>
      </c>
      <c r="M356" s="11" t="str">
        <f>IF($A356="","",IFERROR(VALUE(MID(TRIM('Template Setup'!$C$5),FIND("-",TRIM('Template Setup'!$C$5))+1,10)),0))</f>
        <v/>
      </c>
      <c r="N356" s="11" t="str">
        <f>IF($A356="","",IFERROR(VALUE(MID(TRIM('Template Setup'!$C$6),FIND("-",TRIM('Template Setup'!$C$6))+1,10)),0))</f>
        <v/>
      </c>
      <c r="O356" s="11" t="str">
        <f>IF($A356="","",IFERROR(VALUE(MID(TRIM('Template Setup'!$C$7),FIND("-",TRIM('Template Setup'!$C$7))+1,10)),0))</f>
        <v/>
      </c>
      <c r="P356" s="11" t="str">
        <f>IF($A356="","",IFERROR(VALUE(MID(TRIM('Template Setup'!$C$8),FIND("-",TRIM('Template Setup'!$C$8))+1,10)),0))</f>
        <v/>
      </c>
      <c r="Q356" s="9" t="str">
        <f>IF($A356="","",$A356&amp;"-"&amp;'Template Setup'!$C$16)</f>
        <v/>
      </c>
      <c r="R356" s="24" t="str">
        <f t="shared" si="21"/>
        <v/>
      </c>
      <c r="S356" s="24"/>
      <c r="T356" s="24" t="str">
        <f t="shared" si="22"/>
        <v/>
      </c>
      <c r="U356" s="6" t="str">
        <f t="shared" si="24"/>
        <v/>
      </c>
    </row>
    <row r="357" spans="1:21">
      <c r="A357" s="11"/>
      <c r="B357" s="11"/>
      <c r="C357" s="11"/>
      <c r="D357" s="11" t="str">
        <f>IF($A357="","",_xlfn.TEXTJOIN(", ",TRUE,IF($G357&gt;0,'Template Setup'!$C$4,""),IF($H357&gt;0,'Template Setup'!$C$5,""),IF($I357&gt;0,'Template Setup'!$C$6,""),IF($J357&gt;0,'Template Setup'!$C$7,""),IF($K357&gt;0,'Template Setup'!$C$8,"")))</f>
        <v/>
      </c>
      <c r="E357" s="6" t="str" cm="1">
        <f t="array" ref="E357">IF($A357="","",_xlfn.LET(_xlpm.sheets,CHOOSE({1,2,3,4,5},'Template Setup'!$C$4,'Template Setup'!$C$5,'Template Setup'!$C$6,'Template Setup'!$C$7,'Template Setup'!$C$8),_xlpm.nums,CHOOSE({1,2,3,4,5},$L357,$M357,$N357,$O357,$P357),_xlpm.qtys,CHOOSE({1,2,3,4,5},$G357,$H357,$I357,$J357,$K357),_xlpm.validNums,_xlfn._xlws.FILTER(_xlpm.nums,_xlpm.qtys&gt;0),_xlpm.validSheets,_xlfn._xlws.FILTER(_xlpm.sheets,_xlpm.qtys&gt;0),_xlpm.mx,IFERROR(MAX(_xlpm.validNums),0),IF(_xlpm.mx=0,"",INDEX(_xlpm.validSheets,MATCH(_xlpm.mx,_xlpm.validNums,0))&amp;" (+"&amp;$R357&amp;")")))</f>
        <v/>
      </c>
      <c r="F357" s="11" t="str">
        <f t="shared" si="23"/>
        <v/>
      </c>
      <c r="G357" s="12" t="str">
        <f ca="1">IF($A357="","",IFERROR(SUMIF(INDIRECT("'"&amp;'Template Setup'!$C$4&amp;"'!C:C"),$A357,INDIRECT("'"&amp;'Template Setup'!$C$4&amp;"'!A:A")),0))</f>
        <v/>
      </c>
      <c r="H357" s="12" t="str">
        <f ca="1">IF($A357="","",IFERROR(SUMIF(INDIRECT("'"&amp;'Template Setup'!$C$5&amp;"'!C:C"),$A357,INDIRECT("'"&amp;'Template Setup'!$C$5&amp;"'!A:A")),0))</f>
        <v/>
      </c>
      <c r="I357" s="12" t="str">
        <f ca="1">IF($A357="","",IFERROR(SUMIF(INDIRECT("'"&amp;'Template Setup'!$C$6&amp;"'!C:C"),$A357,INDIRECT("'"&amp;'Template Setup'!$C$6&amp;"'!A:A")),0))</f>
        <v/>
      </c>
      <c r="J357" s="12" t="str">
        <f ca="1">IF($A357="","",IFERROR(SUMIF(INDIRECT("'"&amp;'Template Setup'!$C$7&amp;"'!C:C"),$A357,INDIRECT("'"&amp;'Template Setup'!$C$7&amp;"'!A:A")),0))</f>
        <v/>
      </c>
      <c r="K357" s="12" t="str">
        <f ca="1">IF($A357="","",IFERROR(SUMIF(INDIRECT("'"&amp;'Template Setup'!$C$8&amp;"'!C:C"),$A357,INDIRECT("'"&amp;'Template Setup'!$C$8&amp;"'!A:A")),0))</f>
        <v/>
      </c>
      <c r="L357" s="11" t="str">
        <f>IF($A357="","",IFERROR(VALUE(MID(TRIM('Template Setup'!$C$4),FIND("-",TRIM('Template Setup'!$C$4))+1,10)),0))</f>
        <v/>
      </c>
      <c r="M357" s="11" t="str">
        <f>IF($A357="","",IFERROR(VALUE(MID(TRIM('Template Setup'!$C$5),FIND("-",TRIM('Template Setup'!$C$5))+1,10)),0))</f>
        <v/>
      </c>
      <c r="N357" s="11" t="str">
        <f>IF($A357="","",IFERROR(VALUE(MID(TRIM('Template Setup'!$C$6),FIND("-",TRIM('Template Setup'!$C$6))+1,10)),0))</f>
        <v/>
      </c>
      <c r="O357" s="11" t="str">
        <f>IF($A357="","",IFERROR(VALUE(MID(TRIM('Template Setup'!$C$7),FIND("-",TRIM('Template Setup'!$C$7))+1,10)),0))</f>
        <v/>
      </c>
      <c r="P357" s="11" t="str">
        <f>IF($A357="","",IFERROR(VALUE(MID(TRIM('Template Setup'!$C$8),FIND("-",TRIM('Template Setup'!$C$8))+1,10)),0))</f>
        <v/>
      </c>
      <c r="Q357" s="9" t="str">
        <f>IF($A357="","",$A357&amp;"-"&amp;'Template Setup'!$C$16)</f>
        <v/>
      </c>
      <c r="R357" s="24" t="str">
        <f t="shared" si="21"/>
        <v/>
      </c>
      <c r="S357" s="24"/>
      <c r="T357" s="24" t="str">
        <f t="shared" si="22"/>
        <v/>
      </c>
      <c r="U357" s="6" t="str">
        <f t="shared" si="24"/>
        <v/>
      </c>
    </row>
    <row r="358" spans="1:21">
      <c r="A358" s="11"/>
      <c r="B358" s="11"/>
      <c r="C358" s="11"/>
      <c r="D358" s="11" t="str">
        <f>IF($A358="","",_xlfn.TEXTJOIN(", ",TRUE,IF($G358&gt;0,'Template Setup'!$C$4,""),IF($H358&gt;0,'Template Setup'!$C$5,""),IF($I358&gt;0,'Template Setup'!$C$6,""),IF($J358&gt;0,'Template Setup'!$C$7,""),IF($K358&gt;0,'Template Setup'!$C$8,"")))</f>
        <v/>
      </c>
      <c r="E358" s="6" t="str" cm="1">
        <f t="array" ref="E358">IF($A358="","",_xlfn.LET(_xlpm.sheets,CHOOSE({1,2,3,4,5},'Template Setup'!$C$4,'Template Setup'!$C$5,'Template Setup'!$C$6,'Template Setup'!$C$7,'Template Setup'!$C$8),_xlpm.nums,CHOOSE({1,2,3,4,5},$L358,$M358,$N358,$O358,$P358),_xlpm.qtys,CHOOSE({1,2,3,4,5},$G358,$H358,$I358,$J358,$K358),_xlpm.validNums,_xlfn._xlws.FILTER(_xlpm.nums,_xlpm.qtys&gt;0),_xlpm.validSheets,_xlfn._xlws.FILTER(_xlpm.sheets,_xlpm.qtys&gt;0),_xlpm.mx,IFERROR(MAX(_xlpm.validNums),0),IF(_xlpm.mx=0,"",INDEX(_xlpm.validSheets,MATCH(_xlpm.mx,_xlpm.validNums,0))&amp;" (+"&amp;$R358&amp;")")))</f>
        <v/>
      </c>
      <c r="F358" s="11" t="str">
        <f t="shared" si="23"/>
        <v/>
      </c>
      <c r="G358" s="12" t="str">
        <f ca="1">IF($A358="","",IFERROR(SUMIF(INDIRECT("'"&amp;'Template Setup'!$C$4&amp;"'!C:C"),$A358,INDIRECT("'"&amp;'Template Setup'!$C$4&amp;"'!A:A")),0))</f>
        <v/>
      </c>
      <c r="H358" s="12" t="str">
        <f ca="1">IF($A358="","",IFERROR(SUMIF(INDIRECT("'"&amp;'Template Setup'!$C$5&amp;"'!C:C"),$A358,INDIRECT("'"&amp;'Template Setup'!$C$5&amp;"'!A:A")),0))</f>
        <v/>
      </c>
      <c r="I358" s="12" t="str">
        <f ca="1">IF($A358="","",IFERROR(SUMIF(INDIRECT("'"&amp;'Template Setup'!$C$6&amp;"'!C:C"),$A358,INDIRECT("'"&amp;'Template Setup'!$C$6&amp;"'!A:A")),0))</f>
        <v/>
      </c>
      <c r="J358" s="12" t="str">
        <f ca="1">IF($A358="","",IFERROR(SUMIF(INDIRECT("'"&amp;'Template Setup'!$C$7&amp;"'!C:C"),$A358,INDIRECT("'"&amp;'Template Setup'!$C$7&amp;"'!A:A")),0))</f>
        <v/>
      </c>
      <c r="K358" s="12" t="str">
        <f ca="1">IF($A358="","",IFERROR(SUMIF(INDIRECT("'"&amp;'Template Setup'!$C$8&amp;"'!C:C"),$A358,INDIRECT("'"&amp;'Template Setup'!$C$8&amp;"'!A:A")),0))</f>
        <v/>
      </c>
      <c r="L358" s="11" t="str">
        <f>IF($A358="","",IFERROR(VALUE(MID(TRIM('Template Setup'!$C$4),FIND("-",TRIM('Template Setup'!$C$4))+1,10)),0))</f>
        <v/>
      </c>
      <c r="M358" s="11" t="str">
        <f>IF($A358="","",IFERROR(VALUE(MID(TRIM('Template Setup'!$C$5),FIND("-",TRIM('Template Setup'!$C$5))+1,10)),0))</f>
        <v/>
      </c>
      <c r="N358" s="11" t="str">
        <f>IF($A358="","",IFERROR(VALUE(MID(TRIM('Template Setup'!$C$6),FIND("-",TRIM('Template Setup'!$C$6))+1,10)),0))</f>
        <v/>
      </c>
      <c r="O358" s="11" t="str">
        <f>IF($A358="","",IFERROR(VALUE(MID(TRIM('Template Setup'!$C$7),FIND("-",TRIM('Template Setup'!$C$7))+1,10)),0))</f>
        <v/>
      </c>
      <c r="P358" s="11" t="str">
        <f>IF($A358="","",IFERROR(VALUE(MID(TRIM('Template Setup'!$C$8),FIND("-",TRIM('Template Setup'!$C$8))+1,10)),0))</f>
        <v/>
      </c>
      <c r="Q358" s="9" t="str">
        <f>IF($A358="","",$A358&amp;"-"&amp;'Template Setup'!$C$16)</f>
        <v/>
      </c>
      <c r="R358" s="24" t="str">
        <f t="shared" si="21"/>
        <v/>
      </c>
      <c r="S358" s="24"/>
      <c r="T358" s="24" t="str">
        <f t="shared" si="22"/>
        <v/>
      </c>
      <c r="U358" s="6" t="str">
        <f t="shared" si="24"/>
        <v/>
      </c>
    </row>
    <row r="359" spans="1:21">
      <c r="A359" s="11"/>
      <c r="B359" s="11"/>
      <c r="C359" s="11"/>
      <c r="D359" s="11" t="str">
        <f>IF($A359="","",_xlfn.TEXTJOIN(", ",TRUE,IF($G359&gt;0,'Template Setup'!$C$4,""),IF($H359&gt;0,'Template Setup'!$C$5,""),IF($I359&gt;0,'Template Setup'!$C$6,""),IF($J359&gt;0,'Template Setup'!$C$7,""),IF($K359&gt;0,'Template Setup'!$C$8,"")))</f>
        <v/>
      </c>
      <c r="E359" s="6" t="str" cm="1">
        <f t="array" ref="E359">IF($A359="","",_xlfn.LET(_xlpm.sheets,CHOOSE({1,2,3,4,5},'Template Setup'!$C$4,'Template Setup'!$C$5,'Template Setup'!$C$6,'Template Setup'!$C$7,'Template Setup'!$C$8),_xlpm.nums,CHOOSE({1,2,3,4,5},$L359,$M359,$N359,$O359,$P359),_xlpm.qtys,CHOOSE({1,2,3,4,5},$G359,$H359,$I359,$J359,$K359),_xlpm.validNums,_xlfn._xlws.FILTER(_xlpm.nums,_xlpm.qtys&gt;0),_xlpm.validSheets,_xlfn._xlws.FILTER(_xlpm.sheets,_xlpm.qtys&gt;0),_xlpm.mx,IFERROR(MAX(_xlpm.validNums),0),IF(_xlpm.mx=0,"",INDEX(_xlpm.validSheets,MATCH(_xlpm.mx,_xlpm.validNums,0))&amp;" (+"&amp;$R359&amp;")")))</f>
        <v/>
      </c>
      <c r="F359" s="11" t="str">
        <f t="shared" si="23"/>
        <v/>
      </c>
      <c r="G359" s="12" t="str">
        <f ca="1">IF($A359="","",IFERROR(SUMIF(INDIRECT("'"&amp;'Template Setup'!$C$4&amp;"'!C:C"),$A359,INDIRECT("'"&amp;'Template Setup'!$C$4&amp;"'!A:A")),0))</f>
        <v/>
      </c>
      <c r="H359" s="12" t="str">
        <f ca="1">IF($A359="","",IFERROR(SUMIF(INDIRECT("'"&amp;'Template Setup'!$C$5&amp;"'!C:C"),$A359,INDIRECT("'"&amp;'Template Setup'!$C$5&amp;"'!A:A")),0))</f>
        <v/>
      </c>
      <c r="I359" s="12" t="str">
        <f ca="1">IF($A359="","",IFERROR(SUMIF(INDIRECT("'"&amp;'Template Setup'!$C$6&amp;"'!C:C"),$A359,INDIRECT("'"&amp;'Template Setup'!$C$6&amp;"'!A:A")),0))</f>
        <v/>
      </c>
      <c r="J359" s="12" t="str">
        <f ca="1">IF($A359="","",IFERROR(SUMIF(INDIRECT("'"&amp;'Template Setup'!$C$7&amp;"'!C:C"),$A359,INDIRECT("'"&amp;'Template Setup'!$C$7&amp;"'!A:A")),0))</f>
        <v/>
      </c>
      <c r="K359" s="12" t="str">
        <f ca="1">IF($A359="","",IFERROR(SUMIF(INDIRECT("'"&amp;'Template Setup'!$C$8&amp;"'!C:C"),$A359,INDIRECT("'"&amp;'Template Setup'!$C$8&amp;"'!A:A")),0))</f>
        <v/>
      </c>
      <c r="L359" s="11" t="str">
        <f>IF($A359="","",IFERROR(VALUE(MID(TRIM('Template Setup'!$C$4),FIND("-",TRIM('Template Setup'!$C$4))+1,10)),0))</f>
        <v/>
      </c>
      <c r="M359" s="11" t="str">
        <f>IF($A359="","",IFERROR(VALUE(MID(TRIM('Template Setup'!$C$5),FIND("-",TRIM('Template Setup'!$C$5))+1,10)),0))</f>
        <v/>
      </c>
      <c r="N359" s="11" t="str">
        <f>IF($A359="","",IFERROR(VALUE(MID(TRIM('Template Setup'!$C$6),FIND("-",TRIM('Template Setup'!$C$6))+1,10)),0))</f>
        <v/>
      </c>
      <c r="O359" s="11" t="str">
        <f>IF($A359="","",IFERROR(VALUE(MID(TRIM('Template Setup'!$C$7),FIND("-",TRIM('Template Setup'!$C$7))+1,10)),0))</f>
        <v/>
      </c>
      <c r="P359" s="11" t="str">
        <f>IF($A359="","",IFERROR(VALUE(MID(TRIM('Template Setup'!$C$8),FIND("-",TRIM('Template Setup'!$C$8))+1,10)),0))</f>
        <v/>
      </c>
      <c r="Q359" s="9" t="str">
        <f>IF($A359="","",$A359&amp;"-"&amp;'Template Setup'!$C$16)</f>
        <v/>
      </c>
      <c r="R359" s="24" t="str">
        <f t="shared" si="21"/>
        <v/>
      </c>
      <c r="S359" s="24"/>
      <c r="T359" s="24" t="str">
        <f t="shared" si="22"/>
        <v/>
      </c>
      <c r="U359" s="6" t="str">
        <f t="shared" si="24"/>
        <v/>
      </c>
    </row>
    <row r="360" spans="1:21">
      <c r="A360" s="11"/>
      <c r="B360" s="11"/>
      <c r="C360" s="11"/>
      <c r="D360" s="11" t="str">
        <f>IF($A360="","",_xlfn.TEXTJOIN(", ",TRUE,IF($G360&gt;0,'Template Setup'!$C$4,""),IF($H360&gt;0,'Template Setup'!$C$5,""),IF($I360&gt;0,'Template Setup'!$C$6,""),IF($J360&gt;0,'Template Setup'!$C$7,""),IF($K360&gt;0,'Template Setup'!$C$8,"")))</f>
        <v/>
      </c>
      <c r="E360" s="6" t="str" cm="1">
        <f t="array" ref="E360">IF($A360="","",_xlfn.LET(_xlpm.sheets,CHOOSE({1,2,3,4,5},'Template Setup'!$C$4,'Template Setup'!$C$5,'Template Setup'!$C$6,'Template Setup'!$C$7,'Template Setup'!$C$8),_xlpm.nums,CHOOSE({1,2,3,4,5},$L360,$M360,$N360,$O360,$P360),_xlpm.qtys,CHOOSE({1,2,3,4,5},$G360,$H360,$I360,$J360,$K360),_xlpm.validNums,_xlfn._xlws.FILTER(_xlpm.nums,_xlpm.qtys&gt;0),_xlpm.validSheets,_xlfn._xlws.FILTER(_xlpm.sheets,_xlpm.qtys&gt;0),_xlpm.mx,IFERROR(MAX(_xlpm.validNums),0),IF(_xlpm.mx=0,"",INDEX(_xlpm.validSheets,MATCH(_xlpm.mx,_xlpm.validNums,0))&amp;" (+"&amp;$R360&amp;")")))</f>
        <v/>
      </c>
      <c r="F360" s="11" t="str">
        <f t="shared" si="23"/>
        <v/>
      </c>
      <c r="G360" s="12" t="str">
        <f ca="1">IF($A360="","",IFERROR(SUMIF(INDIRECT("'"&amp;'Template Setup'!$C$4&amp;"'!C:C"),$A360,INDIRECT("'"&amp;'Template Setup'!$C$4&amp;"'!A:A")),0))</f>
        <v/>
      </c>
      <c r="H360" s="12" t="str">
        <f ca="1">IF($A360="","",IFERROR(SUMIF(INDIRECT("'"&amp;'Template Setup'!$C$5&amp;"'!C:C"),$A360,INDIRECT("'"&amp;'Template Setup'!$C$5&amp;"'!A:A")),0))</f>
        <v/>
      </c>
      <c r="I360" s="12" t="str">
        <f ca="1">IF($A360="","",IFERROR(SUMIF(INDIRECT("'"&amp;'Template Setup'!$C$6&amp;"'!C:C"),$A360,INDIRECT("'"&amp;'Template Setup'!$C$6&amp;"'!A:A")),0))</f>
        <v/>
      </c>
      <c r="J360" s="12" t="str">
        <f ca="1">IF($A360="","",IFERROR(SUMIF(INDIRECT("'"&amp;'Template Setup'!$C$7&amp;"'!C:C"),$A360,INDIRECT("'"&amp;'Template Setup'!$C$7&amp;"'!A:A")),0))</f>
        <v/>
      </c>
      <c r="K360" s="12" t="str">
        <f ca="1">IF($A360="","",IFERROR(SUMIF(INDIRECT("'"&amp;'Template Setup'!$C$8&amp;"'!C:C"),$A360,INDIRECT("'"&amp;'Template Setup'!$C$8&amp;"'!A:A")),0))</f>
        <v/>
      </c>
      <c r="L360" s="11" t="str">
        <f>IF($A360="","",IFERROR(VALUE(MID(TRIM('Template Setup'!$C$4),FIND("-",TRIM('Template Setup'!$C$4))+1,10)),0))</f>
        <v/>
      </c>
      <c r="M360" s="11" t="str">
        <f>IF($A360="","",IFERROR(VALUE(MID(TRIM('Template Setup'!$C$5),FIND("-",TRIM('Template Setup'!$C$5))+1,10)),0))</f>
        <v/>
      </c>
      <c r="N360" s="11" t="str">
        <f>IF($A360="","",IFERROR(VALUE(MID(TRIM('Template Setup'!$C$6),FIND("-",TRIM('Template Setup'!$C$6))+1,10)),0))</f>
        <v/>
      </c>
      <c r="O360" s="11" t="str">
        <f>IF($A360="","",IFERROR(VALUE(MID(TRIM('Template Setup'!$C$7),FIND("-",TRIM('Template Setup'!$C$7))+1,10)),0))</f>
        <v/>
      </c>
      <c r="P360" s="11" t="str">
        <f>IF($A360="","",IFERROR(VALUE(MID(TRIM('Template Setup'!$C$8),FIND("-",TRIM('Template Setup'!$C$8))+1,10)),0))</f>
        <v/>
      </c>
      <c r="Q360" s="9" t="str">
        <f>IF($A360="","",$A360&amp;"-"&amp;'Template Setup'!$C$16)</f>
        <v/>
      </c>
      <c r="R360" s="24" t="str">
        <f t="shared" si="21"/>
        <v/>
      </c>
      <c r="S360" s="24"/>
      <c r="T360" s="24" t="str">
        <f t="shared" si="22"/>
        <v/>
      </c>
      <c r="U360" s="6" t="str">
        <f t="shared" si="24"/>
        <v/>
      </c>
    </row>
    <row r="361" spans="1:21">
      <c r="A361" s="11"/>
      <c r="B361" s="11"/>
      <c r="C361" s="11"/>
      <c r="D361" s="11" t="str">
        <f>IF($A361="","",_xlfn.TEXTJOIN(", ",TRUE,IF($G361&gt;0,'Template Setup'!$C$4,""),IF($H361&gt;0,'Template Setup'!$C$5,""),IF($I361&gt;0,'Template Setup'!$C$6,""),IF($J361&gt;0,'Template Setup'!$C$7,""),IF($K361&gt;0,'Template Setup'!$C$8,"")))</f>
        <v/>
      </c>
      <c r="E361" s="6" t="str" cm="1">
        <f t="array" ref="E361">IF($A361="","",_xlfn.LET(_xlpm.sheets,CHOOSE({1,2,3,4,5},'Template Setup'!$C$4,'Template Setup'!$C$5,'Template Setup'!$C$6,'Template Setup'!$C$7,'Template Setup'!$C$8),_xlpm.nums,CHOOSE({1,2,3,4,5},$L361,$M361,$N361,$O361,$P361),_xlpm.qtys,CHOOSE({1,2,3,4,5},$G361,$H361,$I361,$J361,$K361),_xlpm.validNums,_xlfn._xlws.FILTER(_xlpm.nums,_xlpm.qtys&gt;0),_xlpm.validSheets,_xlfn._xlws.FILTER(_xlpm.sheets,_xlpm.qtys&gt;0),_xlpm.mx,IFERROR(MAX(_xlpm.validNums),0),IF(_xlpm.mx=0,"",INDEX(_xlpm.validSheets,MATCH(_xlpm.mx,_xlpm.validNums,0))&amp;" (+"&amp;$R361&amp;")")))</f>
        <v/>
      </c>
      <c r="F361" s="11" t="str">
        <f t="shared" si="23"/>
        <v/>
      </c>
      <c r="G361" s="12" t="str">
        <f ca="1">IF($A361="","",IFERROR(SUMIF(INDIRECT("'"&amp;'Template Setup'!$C$4&amp;"'!C:C"),$A361,INDIRECT("'"&amp;'Template Setup'!$C$4&amp;"'!A:A")),0))</f>
        <v/>
      </c>
      <c r="H361" s="12" t="str">
        <f ca="1">IF($A361="","",IFERROR(SUMIF(INDIRECT("'"&amp;'Template Setup'!$C$5&amp;"'!C:C"),$A361,INDIRECT("'"&amp;'Template Setup'!$C$5&amp;"'!A:A")),0))</f>
        <v/>
      </c>
      <c r="I361" s="12" t="str">
        <f ca="1">IF($A361="","",IFERROR(SUMIF(INDIRECT("'"&amp;'Template Setup'!$C$6&amp;"'!C:C"),$A361,INDIRECT("'"&amp;'Template Setup'!$C$6&amp;"'!A:A")),0))</f>
        <v/>
      </c>
      <c r="J361" s="12" t="str">
        <f ca="1">IF($A361="","",IFERROR(SUMIF(INDIRECT("'"&amp;'Template Setup'!$C$7&amp;"'!C:C"),$A361,INDIRECT("'"&amp;'Template Setup'!$C$7&amp;"'!A:A")),0))</f>
        <v/>
      </c>
      <c r="K361" s="12" t="str">
        <f ca="1">IF($A361="","",IFERROR(SUMIF(INDIRECT("'"&amp;'Template Setup'!$C$8&amp;"'!C:C"),$A361,INDIRECT("'"&amp;'Template Setup'!$C$8&amp;"'!A:A")),0))</f>
        <v/>
      </c>
      <c r="L361" s="11" t="str">
        <f>IF($A361="","",IFERROR(VALUE(MID(TRIM('Template Setup'!$C$4),FIND("-",TRIM('Template Setup'!$C$4))+1,10)),0))</f>
        <v/>
      </c>
      <c r="M361" s="11" t="str">
        <f>IF($A361="","",IFERROR(VALUE(MID(TRIM('Template Setup'!$C$5),FIND("-",TRIM('Template Setup'!$C$5))+1,10)),0))</f>
        <v/>
      </c>
      <c r="N361" s="11" t="str">
        <f>IF($A361="","",IFERROR(VALUE(MID(TRIM('Template Setup'!$C$6),FIND("-",TRIM('Template Setup'!$C$6))+1,10)),0))</f>
        <v/>
      </c>
      <c r="O361" s="11" t="str">
        <f>IF($A361="","",IFERROR(VALUE(MID(TRIM('Template Setup'!$C$7),FIND("-",TRIM('Template Setup'!$C$7))+1,10)),0))</f>
        <v/>
      </c>
      <c r="P361" s="11" t="str">
        <f>IF($A361="","",IFERROR(VALUE(MID(TRIM('Template Setup'!$C$8),FIND("-",TRIM('Template Setup'!$C$8))+1,10)),0))</f>
        <v/>
      </c>
      <c r="Q361" s="9" t="str">
        <f>IF($A361="","",$A361&amp;"-"&amp;'Template Setup'!$C$16)</f>
        <v/>
      </c>
      <c r="R361" s="24" t="str">
        <f t="shared" si="21"/>
        <v/>
      </c>
      <c r="S361" s="24"/>
      <c r="T361" s="24" t="str">
        <f t="shared" si="22"/>
        <v/>
      </c>
      <c r="U361" s="6" t="str">
        <f t="shared" si="24"/>
        <v/>
      </c>
    </row>
    <row r="362" spans="1:21">
      <c r="A362" s="11"/>
      <c r="B362" s="11"/>
      <c r="C362" s="11"/>
      <c r="D362" s="11" t="str">
        <f>IF($A362="","",_xlfn.TEXTJOIN(", ",TRUE,IF($G362&gt;0,'Template Setup'!$C$4,""),IF($H362&gt;0,'Template Setup'!$C$5,""),IF($I362&gt;0,'Template Setup'!$C$6,""),IF($J362&gt;0,'Template Setup'!$C$7,""),IF($K362&gt;0,'Template Setup'!$C$8,"")))</f>
        <v/>
      </c>
      <c r="E362" s="6" t="str" cm="1">
        <f t="array" ref="E362">IF($A362="","",_xlfn.LET(_xlpm.sheets,CHOOSE({1,2,3,4,5},'Template Setup'!$C$4,'Template Setup'!$C$5,'Template Setup'!$C$6,'Template Setup'!$C$7,'Template Setup'!$C$8),_xlpm.nums,CHOOSE({1,2,3,4,5},$L362,$M362,$N362,$O362,$P362),_xlpm.qtys,CHOOSE({1,2,3,4,5},$G362,$H362,$I362,$J362,$K362),_xlpm.validNums,_xlfn._xlws.FILTER(_xlpm.nums,_xlpm.qtys&gt;0),_xlpm.validSheets,_xlfn._xlws.FILTER(_xlpm.sheets,_xlpm.qtys&gt;0),_xlpm.mx,IFERROR(MAX(_xlpm.validNums),0),IF(_xlpm.mx=0,"",INDEX(_xlpm.validSheets,MATCH(_xlpm.mx,_xlpm.validNums,0))&amp;" (+"&amp;$R362&amp;")")))</f>
        <v/>
      </c>
      <c r="F362" s="11" t="str">
        <f t="shared" si="23"/>
        <v/>
      </c>
      <c r="G362" s="12" t="str">
        <f ca="1">IF($A362="","",IFERROR(SUMIF(INDIRECT("'"&amp;'Template Setup'!$C$4&amp;"'!C:C"),$A362,INDIRECT("'"&amp;'Template Setup'!$C$4&amp;"'!A:A")),0))</f>
        <v/>
      </c>
      <c r="H362" s="12" t="str">
        <f ca="1">IF($A362="","",IFERROR(SUMIF(INDIRECT("'"&amp;'Template Setup'!$C$5&amp;"'!C:C"),$A362,INDIRECT("'"&amp;'Template Setup'!$C$5&amp;"'!A:A")),0))</f>
        <v/>
      </c>
      <c r="I362" s="12" t="str">
        <f ca="1">IF($A362="","",IFERROR(SUMIF(INDIRECT("'"&amp;'Template Setup'!$C$6&amp;"'!C:C"),$A362,INDIRECT("'"&amp;'Template Setup'!$C$6&amp;"'!A:A")),0))</f>
        <v/>
      </c>
      <c r="J362" s="12" t="str">
        <f ca="1">IF($A362="","",IFERROR(SUMIF(INDIRECT("'"&amp;'Template Setup'!$C$7&amp;"'!C:C"),$A362,INDIRECT("'"&amp;'Template Setup'!$C$7&amp;"'!A:A")),0))</f>
        <v/>
      </c>
      <c r="K362" s="12" t="str">
        <f ca="1">IF($A362="","",IFERROR(SUMIF(INDIRECT("'"&amp;'Template Setup'!$C$8&amp;"'!C:C"),$A362,INDIRECT("'"&amp;'Template Setup'!$C$8&amp;"'!A:A")),0))</f>
        <v/>
      </c>
      <c r="L362" s="11" t="str">
        <f>IF($A362="","",IFERROR(VALUE(MID(TRIM('Template Setup'!$C$4),FIND("-",TRIM('Template Setup'!$C$4))+1,10)),0))</f>
        <v/>
      </c>
      <c r="M362" s="11" t="str">
        <f>IF($A362="","",IFERROR(VALUE(MID(TRIM('Template Setup'!$C$5),FIND("-",TRIM('Template Setup'!$C$5))+1,10)),0))</f>
        <v/>
      </c>
      <c r="N362" s="11" t="str">
        <f>IF($A362="","",IFERROR(VALUE(MID(TRIM('Template Setup'!$C$6),FIND("-",TRIM('Template Setup'!$C$6))+1,10)),0))</f>
        <v/>
      </c>
      <c r="O362" s="11" t="str">
        <f>IF($A362="","",IFERROR(VALUE(MID(TRIM('Template Setup'!$C$7),FIND("-",TRIM('Template Setup'!$C$7))+1,10)),0))</f>
        <v/>
      </c>
      <c r="P362" s="11" t="str">
        <f>IF($A362="","",IFERROR(VALUE(MID(TRIM('Template Setup'!$C$8),FIND("-",TRIM('Template Setup'!$C$8))+1,10)),0))</f>
        <v/>
      </c>
      <c r="Q362" s="9" t="str">
        <f>IF($A362="","",$A362&amp;"-"&amp;'Template Setup'!$C$16)</f>
        <v/>
      </c>
      <c r="R362" s="24" t="str">
        <f t="shared" si="21"/>
        <v/>
      </c>
      <c r="S362" s="24"/>
      <c r="T362" s="24" t="str">
        <f t="shared" si="22"/>
        <v/>
      </c>
      <c r="U362" s="6" t="str">
        <f t="shared" si="24"/>
        <v/>
      </c>
    </row>
    <row r="363" spans="1:21">
      <c r="A363" s="11"/>
      <c r="B363" s="11"/>
      <c r="C363" s="11"/>
      <c r="D363" s="11" t="str">
        <f>IF($A363="","",_xlfn.TEXTJOIN(", ",TRUE,IF($G363&gt;0,'Template Setup'!$C$4,""),IF($H363&gt;0,'Template Setup'!$C$5,""),IF($I363&gt;0,'Template Setup'!$C$6,""),IF($J363&gt;0,'Template Setup'!$C$7,""),IF($K363&gt;0,'Template Setup'!$C$8,"")))</f>
        <v/>
      </c>
      <c r="E363" s="6" t="str" cm="1">
        <f t="array" ref="E363">IF($A363="","",_xlfn.LET(_xlpm.sheets,CHOOSE({1,2,3,4,5},'Template Setup'!$C$4,'Template Setup'!$C$5,'Template Setup'!$C$6,'Template Setup'!$C$7,'Template Setup'!$C$8),_xlpm.nums,CHOOSE({1,2,3,4,5},$L363,$M363,$N363,$O363,$P363),_xlpm.qtys,CHOOSE({1,2,3,4,5},$G363,$H363,$I363,$J363,$K363),_xlpm.validNums,_xlfn._xlws.FILTER(_xlpm.nums,_xlpm.qtys&gt;0),_xlpm.validSheets,_xlfn._xlws.FILTER(_xlpm.sheets,_xlpm.qtys&gt;0),_xlpm.mx,IFERROR(MAX(_xlpm.validNums),0),IF(_xlpm.mx=0,"",INDEX(_xlpm.validSheets,MATCH(_xlpm.mx,_xlpm.validNums,0))&amp;" (+"&amp;$R363&amp;")")))</f>
        <v/>
      </c>
      <c r="F363" s="11" t="str">
        <f t="shared" si="23"/>
        <v/>
      </c>
      <c r="G363" s="12" t="str">
        <f ca="1">IF($A363="","",IFERROR(SUMIF(INDIRECT("'"&amp;'Template Setup'!$C$4&amp;"'!C:C"),$A363,INDIRECT("'"&amp;'Template Setup'!$C$4&amp;"'!A:A")),0))</f>
        <v/>
      </c>
      <c r="H363" s="12" t="str">
        <f ca="1">IF($A363="","",IFERROR(SUMIF(INDIRECT("'"&amp;'Template Setup'!$C$5&amp;"'!C:C"),$A363,INDIRECT("'"&amp;'Template Setup'!$C$5&amp;"'!A:A")),0))</f>
        <v/>
      </c>
      <c r="I363" s="12" t="str">
        <f ca="1">IF($A363="","",IFERROR(SUMIF(INDIRECT("'"&amp;'Template Setup'!$C$6&amp;"'!C:C"),$A363,INDIRECT("'"&amp;'Template Setup'!$C$6&amp;"'!A:A")),0))</f>
        <v/>
      </c>
      <c r="J363" s="12" t="str">
        <f ca="1">IF($A363="","",IFERROR(SUMIF(INDIRECT("'"&amp;'Template Setup'!$C$7&amp;"'!C:C"),$A363,INDIRECT("'"&amp;'Template Setup'!$C$7&amp;"'!A:A")),0))</f>
        <v/>
      </c>
      <c r="K363" s="12" t="str">
        <f ca="1">IF($A363="","",IFERROR(SUMIF(INDIRECT("'"&amp;'Template Setup'!$C$8&amp;"'!C:C"),$A363,INDIRECT("'"&amp;'Template Setup'!$C$8&amp;"'!A:A")),0))</f>
        <v/>
      </c>
      <c r="L363" s="11" t="str">
        <f>IF($A363="","",IFERROR(VALUE(MID(TRIM('Template Setup'!$C$4),FIND("-",TRIM('Template Setup'!$C$4))+1,10)),0))</f>
        <v/>
      </c>
      <c r="M363" s="11" t="str">
        <f>IF($A363="","",IFERROR(VALUE(MID(TRIM('Template Setup'!$C$5),FIND("-",TRIM('Template Setup'!$C$5))+1,10)),0))</f>
        <v/>
      </c>
      <c r="N363" s="11" t="str">
        <f>IF($A363="","",IFERROR(VALUE(MID(TRIM('Template Setup'!$C$6),FIND("-",TRIM('Template Setup'!$C$6))+1,10)),0))</f>
        <v/>
      </c>
      <c r="O363" s="11" t="str">
        <f>IF($A363="","",IFERROR(VALUE(MID(TRIM('Template Setup'!$C$7),FIND("-",TRIM('Template Setup'!$C$7))+1,10)),0))</f>
        <v/>
      </c>
      <c r="P363" s="11" t="str">
        <f>IF($A363="","",IFERROR(VALUE(MID(TRIM('Template Setup'!$C$8),FIND("-",TRIM('Template Setup'!$C$8))+1,10)),0))</f>
        <v/>
      </c>
      <c r="Q363" s="9" t="str">
        <f>IF($A363="","",$A363&amp;"-"&amp;'Template Setup'!$C$16)</f>
        <v/>
      </c>
      <c r="R363" s="24" t="str">
        <f t="shared" si="21"/>
        <v/>
      </c>
      <c r="S363" s="24"/>
      <c r="T363" s="24" t="str">
        <f t="shared" si="22"/>
        <v/>
      </c>
      <c r="U363" s="6" t="str">
        <f t="shared" si="24"/>
        <v/>
      </c>
    </row>
    <row r="364" spans="1:21">
      <c r="A364" s="11"/>
      <c r="B364" s="11"/>
      <c r="C364" s="11"/>
      <c r="D364" s="11" t="str">
        <f>IF($A364="","",_xlfn.TEXTJOIN(", ",TRUE,IF($G364&gt;0,'Template Setup'!$C$4,""),IF($H364&gt;0,'Template Setup'!$C$5,""),IF($I364&gt;0,'Template Setup'!$C$6,""),IF($J364&gt;0,'Template Setup'!$C$7,""),IF($K364&gt;0,'Template Setup'!$C$8,"")))</f>
        <v/>
      </c>
      <c r="E364" s="6" t="str" cm="1">
        <f t="array" ref="E364">IF($A364="","",_xlfn.LET(_xlpm.sheets,CHOOSE({1,2,3,4,5},'Template Setup'!$C$4,'Template Setup'!$C$5,'Template Setup'!$C$6,'Template Setup'!$C$7,'Template Setup'!$C$8),_xlpm.nums,CHOOSE({1,2,3,4,5},$L364,$M364,$N364,$O364,$P364),_xlpm.qtys,CHOOSE({1,2,3,4,5},$G364,$H364,$I364,$J364,$K364),_xlpm.validNums,_xlfn._xlws.FILTER(_xlpm.nums,_xlpm.qtys&gt;0),_xlpm.validSheets,_xlfn._xlws.FILTER(_xlpm.sheets,_xlpm.qtys&gt;0),_xlpm.mx,IFERROR(MAX(_xlpm.validNums),0),IF(_xlpm.mx=0,"",INDEX(_xlpm.validSheets,MATCH(_xlpm.mx,_xlpm.validNums,0))&amp;" (+"&amp;$R364&amp;")")))</f>
        <v/>
      </c>
      <c r="F364" s="11" t="str">
        <f t="shared" si="23"/>
        <v/>
      </c>
      <c r="G364" s="12" t="str">
        <f ca="1">IF($A364="","",IFERROR(SUMIF(INDIRECT("'"&amp;'Template Setup'!$C$4&amp;"'!C:C"),$A364,INDIRECT("'"&amp;'Template Setup'!$C$4&amp;"'!A:A")),0))</f>
        <v/>
      </c>
      <c r="H364" s="12" t="str">
        <f ca="1">IF($A364="","",IFERROR(SUMIF(INDIRECT("'"&amp;'Template Setup'!$C$5&amp;"'!C:C"),$A364,INDIRECT("'"&amp;'Template Setup'!$C$5&amp;"'!A:A")),0))</f>
        <v/>
      </c>
      <c r="I364" s="12" t="str">
        <f ca="1">IF($A364="","",IFERROR(SUMIF(INDIRECT("'"&amp;'Template Setup'!$C$6&amp;"'!C:C"),$A364,INDIRECT("'"&amp;'Template Setup'!$C$6&amp;"'!A:A")),0))</f>
        <v/>
      </c>
      <c r="J364" s="12" t="str">
        <f ca="1">IF($A364="","",IFERROR(SUMIF(INDIRECT("'"&amp;'Template Setup'!$C$7&amp;"'!C:C"),$A364,INDIRECT("'"&amp;'Template Setup'!$C$7&amp;"'!A:A")),0))</f>
        <v/>
      </c>
      <c r="K364" s="12" t="str">
        <f ca="1">IF($A364="","",IFERROR(SUMIF(INDIRECT("'"&amp;'Template Setup'!$C$8&amp;"'!C:C"),$A364,INDIRECT("'"&amp;'Template Setup'!$C$8&amp;"'!A:A")),0))</f>
        <v/>
      </c>
      <c r="L364" s="11" t="str">
        <f>IF($A364="","",IFERROR(VALUE(MID(TRIM('Template Setup'!$C$4),FIND("-",TRIM('Template Setup'!$C$4))+1,10)),0))</f>
        <v/>
      </c>
      <c r="M364" s="11" t="str">
        <f>IF($A364="","",IFERROR(VALUE(MID(TRIM('Template Setup'!$C$5),FIND("-",TRIM('Template Setup'!$C$5))+1,10)),0))</f>
        <v/>
      </c>
      <c r="N364" s="11" t="str">
        <f>IF($A364="","",IFERROR(VALUE(MID(TRIM('Template Setup'!$C$6),FIND("-",TRIM('Template Setup'!$C$6))+1,10)),0))</f>
        <v/>
      </c>
      <c r="O364" s="11" t="str">
        <f>IF($A364="","",IFERROR(VALUE(MID(TRIM('Template Setup'!$C$7),FIND("-",TRIM('Template Setup'!$C$7))+1,10)),0))</f>
        <v/>
      </c>
      <c r="P364" s="11" t="str">
        <f>IF($A364="","",IFERROR(VALUE(MID(TRIM('Template Setup'!$C$8),FIND("-",TRIM('Template Setup'!$C$8))+1,10)),0))</f>
        <v/>
      </c>
      <c r="Q364" s="9" t="str">
        <f>IF($A364="","",$A364&amp;"-"&amp;'Template Setup'!$C$16)</f>
        <v/>
      </c>
      <c r="R364" s="24" t="str">
        <f t="shared" si="21"/>
        <v/>
      </c>
      <c r="S364" s="24"/>
      <c r="T364" s="24" t="str">
        <f t="shared" si="22"/>
        <v/>
      </c>
      <c r="U364" s="6" t="str">
        <f t="shared" si="24"/>
        <v/>
      </c>
    </row>
    <row r="365" spans="1:21">
      <c r="A365" s="11"/>
      <c r="B365" s="11"/>
      <c r="C365" s="11"/>
      <c r="D365" s="11" t="str">
        <f>IF($A365="","",_xlfn.TEXTJOIN(", ",TRUE,IF($G365&gt;0,'Template Setup'!$C$4,""),IF($H365&gt;0,'Template Setup'!$C$5,""),IF($I365&gt;0,'Template Setup'!$C$6,""),IF($J365&gt;0,'Template Setup'!$C$7,""),IF($K365&gt;0,'Template Setup'!$C$8,"")))</f>
        <v/>
      </c>
      <c r="E365" s="6" t="str" cm="1">
        <f t="array" ref="E365">IF($A365="","",_xlfn.LET(_xlpm.sheets,CHOOSE({1,2,3,4,5},'Template Setup'!$C$4,'Template Setup'!$C$5,'Template Setup'!$C$6,'Template Setup'!$C$7,'Template Setup'!$C$8),_xlpm.nums,CHOOSE({1,2,3,4,5},$L365,$M365,$N365,$O365,$P365),_xlpm.qtys,CHOOSE({1,2,3,4,5},$G365,$H365,$I365,$J365,$K365),_xlpm.validNums,_xlfn._xlws.FILTER(_xlpm.nums,_xlpm.qtys&gt;0),_xlpm.validSheets,_xlfn._xlws.FILTER(_xlpm.sheets,_xlpm.qtys&gt;0),_xlpm.mx,IFERROR(MAX(_xlpm.validNums),0),IF(_xlpm.mx=0,"",INDEX(_xlpm.validSheets,MATCH(_xlpm.mx,_xlpm.validNums,0))&amp;" (+"&amp;$R365&amp;")")))</f>
        <v/>
      </c>
      <c r="F365" s="11" t="str">
        <f t="shared" si="23"/>
        <v/>
      </c>
      <c r="G365" s="12" t="str">
        <f ca="1">IF($A365="","",IFERROR(SUMIF(INDIRECT("'"&amp;'Template Setup'!$C$4&amp;"'!C:C"),$A365,INDIRECT("'"&amp;'Template Setup'!$C$4&amp;"'!A:A")),0))</f>
        <v/>
      </c>
      <c r="H365" s="12" t="str">
        <f ca="1">IF($A365="","",IFERROR(SUMIF(INDIRECT("'"&amp;'Template Setup'!$C$5&amp;"'!C:C"),$A365,INDIRECT("'"&amp;'Template Setup'!$C$5&amp;"'!A:A")),0))</f>
        <v/>
      </c>
      <c r="I365" s="12" t="str">
        <f ca="1">IF($A365="","",IFERROR(SUMIF(INDIRECT("'"&amp;'Template Setup'!$C$6&amp;"'!C:C"),$A365,INDIRECT("'"&amp;'Template Setup'!$C$6&amp;"'!A:A")),0))</f>
        <v/>
      </c>
      <c r="J365" s="12" t="str">
        <f ca="1">IF($A365="","",IFERROR(SUMIF(INDIRECT("'"&amp;'Template Setup'!$C$7&amp;"'!C:C"),$A365,INDIRECT("'"&amp;'Template Setup'!$C$7&amp;"'!A:A")),0))</f>
        <v/>
      </c>
      <c r="K365" s="12" t="str">
        <f ca="1">IF($A365="","",IFERROR(SUMIF(INDIRECT("'"&amp;'Template Setup'!$C$8&amp;"'!C:C"),$A365,INDIRECT("'"&amp;'Template Setup'!$C$8&amp;"'!A:A")),0))</f>
        <v/>
      </c>
      <c r="L365" s="11" t="str">
        <f>IF($A365="","",IFERROR(VALUE(MID(TRIM('Template Setup'!$C$4),FIND("-",TRIM('Template Setup'!$C$4))+1,10)),0))</f>
        <v/>
      </c>
      <c r="M365" s="11" t="str">
        <f>IF($A365="","",IFERROR(VALUE(MID(TRIM('Template Setup'!$C$5),FIND("-",TRIM('Template Setup'!$C$5))+1,10)),0))</f>
        <v/>
      </c>
      <c r="N365" s="11" t="str">
        <f>IF($A365="","",IFERROR(VALUE(MID(TRIM('Template Setup'!$C$6),FIND("-",TRIM('Template Setup'!$C$6))+1,10)),0))</f>
        <v/>
      </c>
      <c r="O365" s="11" t="str">
        <f>IF($A365="","",IFERROR(VALUE(MID(TRIM('Template Setup'!$C$7),FIND("-",TRIM('Template Setup'!$C$7))+1,10)),0))</f>
        <v/>
      </c>
      <c r="P365" s="11" t="str">
        <f>IF($A365="","",IFERROR(VALUE(MID(TRIM('Template Setup'!$C$8),FIND("-",TRIM('Template Setup'!$C$8))+1,10)),0))</f>
        <v/>
      </c>
      <c r="Q365" s="9" t="str">
        <f>IF($A365="","",$A365&amp;"-"&amp;'Template Setup'!$C$16)</f>
        <v/>
      </c>
      <c r="R365" s="24" t="str">
        <f t="shared" si="21"/>
        <v/>
      </c>
      <c r="S365" s="24"/>
      <c r="T365" s="24" t="str">
        <f t="shared" si="22"/>
        <v/>
      </c>
      <c r="U365" s="6" t="str">
        <f t="shared" si="24"/>
        <v/>
      </c>
    </row>
    <row r="366" spans="1:21">
      <c r="A366" s="11"/>
      <c r="B366" s="11"/>
      <c r="C366" s="11"/>
      <c r="D366" s="11" t="str">
        <f>IF($A366="","",_xlfn.TEXTJOIN(", ",TRUE,IF($G366&gt;0,'Template Setup'!$C$4,""),IF($H366&gt;0,'Template Setup'!$C$5,""),IF($I366&gt;0,'Template Setup'!$C$6,""),IF($J366&gt;0,'Template Setup'!$C$7,""),IF($K366&gt;0,'Template Setup'!$C$8,"")))</f>
        <v/>
      </c>
      <c r="E366" s="6" t="str" cm="1">
        <f t="array" ref="E366">IF($A366="","",_xlfn.LET(_xlpm.sheets,CHOOSE({1,2,3,4,5},'Template Setup'!$C$4,'Template Setup'!$C$5,'Template Setup'!$C$6,'Template Setup'!$C$7,'Template Setup'!$C$8),_xlpm.nums,CHOOSE({1,2,3,4,5},$L366,$M366,$N366,$O366,$P366),_xlpm.qtys,CHOOSE({1,2,3,4,5},$G366,$H366,$I366,$J366,$K366),_xlpm.validNums,_xlfn._xlws.FILTER(_xlpm.nums,_xlpm.qtys&gt;0),_xlpm.validSheets,_xlfn._xlws.FILTER(_xlpm.sheets,_xlpm.qtys&gt;0),_xlpm.mx,IFERROR(MAX(_xlpm.validNums),0),IF(_xlpm.mx=0,"",INDEX(_xlpm.validSheets,MATCH(_xlpm.mx,_xlpm.validNums,0))&amp;" (+"&amp;$R366&amp;")")))</f>
        <v/>
      </c>
      <c r="F366" s="11" t="str">
        <f t="shared" si="23"/>
        <v/>
      </c>
      <c r="G366" s="12" t="str">
        <f ca="1">IF($A366="","",IFERROR(SUMIF(INDIRECT("'"&amp;'Template Setup'!$C$4&amp;"'!C:C"),$A366,INDIRECT("'"&amp;'Template Setup'!$C$4&amp;"'!A:A")),0))</f>
        <v/>
      </c>
      <c r="H366" s="12" t="str">
        <f ca="1">IF($A366="","",IFERROR(SUMIF(INDIRECT("'"&amp;'Template Setup'!$C$5&amp;"'!C:C"),$A366,INDIRECT("'"&amp;'Template Setup'!$C$5&amp;"'!A:A")),0))</f>
        <v/>
      </c>
      <c r="I366" s="12" t="str">
        <f ca="1">IF($A366="","",IFERROR(SUMIF(INDIRECT("'"&amp;'Template Setup'!$C$6&amp;"'!C:C"),$A366,INDIRECT("'"&amp;'Template Setup'!$C$6&amp;"'!A:A")),0))</f>
        <v/>
      </c>
      <c r="J366" s="12" t="str">
        <f ca="1">IF($A366="","",IFERROR(SUMIF(INDIRECT("'"&amp;'Template Setup'!$C$7&amp;"'!C:C"),$A366,INDIRECT("'"&amp;'Template Setup'!$C$7&amp;"'!A:A")),0))</f>
        <v/>
      </c>
      <c r="K366" s="12" t="str">
        <f ca="1">IF($A366="","",IFERROR(SUMIF(INDIRECT("'"&amp;'Template Setup'!$C$8&amp;"'!C:C"),$A366,INDIRECT("'"&amp;'Template Setup'!$C$8&amp;"'!A:A")),0))</f>
        <v/>
      </c>
      <c r="L366" s="11" t="str">
        <f>IF($A366="","",IFERROR(VALUE(MID(TRIM('Template Setup'!$C$4),FIND("-",TRIM('Template Setup'!$C$4))+1,10)),0))</f>
        <v/>
      </c>
      <c r="M366" s="11" t="str">
        <f>IF($A366="","",IFERROR(VALUE(MID(TRIM('Template Setup'!$C$5),FIND("-",TRIM('Template Setup'!$C$5))+1,10)),0))</f>
        <v/>
      </c>
      <c r="N366" s="11" t="str">
        <f>IF($A366="","",IFERROR(VALUE(MID(TRIM('Template Setup'!$C$6),FIND("-",TRIM('Template Setup'!$C$6))+1,10)),0))</f>
        <v/>
      </c>
      <c r="O366" s="11" t="str">
        <f>IF($A366="","",IFERROR(VALUE(MID(TRIM('Template Setup'!$C$7),FIND("-",TRIM('Template Setup'!$C$7))+1,10)),0))</f>
        <v/>
      </c>
      <c r="P366" s="11" t="str">
        <f>IF($A366="","",IFERROR(VALUE(MID(TRIM('Template Setup'!$C$8),FIND("-",TRIM('Template Setup'!$C$8))+1,10)),0))</f>
        <v/>
      </c>
      <c r="Q366" s="9" t="str">
        <f>IF($A366="","",$A366&amp;"-"&amp;'Template Setup'!$C$16)</f>
        <v/>
      </c>
      <c r="R366" s="24" t="str">
        <f t="shared" si="21"/>
        <v/>
      </c>
      <c r="S366" s="24"/>
      <c r="T366" s="24" t="str">
        <f t="shared" si="22"/>
        <v/>
      </c>
      <c r="U366" s="6" t="str">
        <f t="shared" si="24"/>
        <v/>
      </c>
    </row>
    <row r="367" spans="1:21">
      <c r="A367" s="11"/>
      <c r="B367" s="11"/>
      <c r="C367" s="11"/>
      <c r="D367" s="11" t="str">
        <f>IF($A367="","",_xlfn.TEXTJOIN(", ",TRUE,IF($G367&gt;0,'Template Setup'!$C$4,""),IF($H367&gt;0,'Template Setup'!$C$5,""),IF($I367&gt;0,'Template Setup'!$C$6,""),IF($J367&gt;0,'Template Setup'!$C$7,""),IF($K367&gt;0,'Template Setup'!$C$8,"")))</f>
        <v/>
      </c>
      <c r="E367" s="6" t="str" cm="1">
        <f t="array" ref="E367">IF($A367="","",_xlfn.LET(_xlpm.sheets,CHOOSE({1,2,3,4,5},'Template Setup'!$C$4,'Template Setup'!$C$5,'Template Setup'!$C$6,'Template Setup'!$C$7,'Template Setup'!$C$8),_xlpm.nums,CHOOSE({1,2,3,4,5},$L367,$M367,$N367,$O367,$P367),_xlpm.qtys,CHOOSE({1,2,3,4,5},$G367,$H367,$I367,$J367,$K367),_xlpm.validNums,_xlfn._xlws.FILTER(_xlpm.nums,_xlpm.qtys&gt;0),_xlpm.validSheets,_xlfn._xlws.FILTER(_xlpm.sheets,_xlpm.qtys&gt;0),_xlpm.mx,IFERROR(MAX(_xlpm.validNums),0),IF(_xlpm.mx=0,"",INDEX(_xlpm.validSheets,MATCH(_xlpm.mx,_xlpm.validNums,0))&amp;" (+"&amp;$R367&amp;")")))</f>
        <v/>
      </c>
      <c r="F367" s="11" t="str">
        <f t="shared" si="23"/>
        <v/>
      </c>
      <c r="G367" s="12" t="str">
        <f ca="1">IF($A367="","",IFERROR(SUMIF(INDIRECT("'"&amp;'Template Setup'!$C$4&amp;"'!C:C"),$A367,INDIRECT("'"&amp;'Template Setup'!$C$4&amp;"'!A:A")),0))</f>
        <v/>
      </c>
      <c r="H367" s="12" t="str">
        <f ca="1">IF($A367="","",IFERROR(SUMIF(INDIRECT("'"&amp;'Template Setup'!$C$5&amp;"'!C:C"),$A367,INDIRECT("'"&amp;'Template Setup'!$C$5&amp;"'!A:A")),0))</f>
        <v/>
      </c>
      <c r="I367" s="12" t="str">
        <f ca="1">IF($A367="","",IFERROR(SUMIF(INDIRECT("'"&amp;'Template Setup'!$C$6&amp;"'!C:C"),$A367,INDIRECT("'"&amp;'Template Setup'!$C$6&amp;"'!A:A")),0))</f>
        <v/>
      </c>
      <c r="J367" s="12" t="str">
        <f ca="1">IF($A367="","",IFERROR(SUMIF(INDIRECT("'"&amp;'Template Setup'!$C$7&amp;"'!C:C"),$A367,INDIRECT("'"&amp;'Template Setup'!$C$7&amp;"'!A:A")),0))</f>
        <v/>
      </c>
      <c r="K367" s="12" t="str">
        <f ca="1">IF($A367="","",IFERROR(SUMIF(INDIRECT("'"&amp;'Template Setup'!$C$8&amp;"'!C:C"),$A367,INDIRECT("'"&amp;'Template Setup'!$C$8&amp;"'!A:A")),0))</f>
        <v/>
      </c>
      <c r="L367" s="11" t="str">
        <f>IF($A367="","",IFERROR(VALUE(MID(TRIM('Template Setup'!$C$4),FIND("-",TRIM('Template Setup'!$C$4))+1,10)),0))</f>
        <v/>
      </c>
      <c r="M367" s="11" t="str">
        <f>IF($A367="","",IFERROR(VALUE(MID(TRIM('Template Setup'!$C$5),FIND("-",TRIM('Template Setup'!$C$5))+1,10)),0))</f>
        <v/>
      </c>
      <c r="N367" s="11" t="str">
        <f>IF($A367="","",IFERROR(VALUE(MID(TRIM('Template Setup'!$C$6),FIND("-",TRIM('Template Setup'!$C$6))+1,10)),0))</f>
        <v/>
      </c>
      <c r="O367" s="11" t="str">
        <f>IF($A367="","",IFERROR(VALUE(MID(TRIM('Template Setup'!$C$7),FIND("-",TRIM('Template Setup'!$C$7))+1,10)),0))</f>
        <v/>
      </c>
      <c r="P367" s="11" t="str">
        <f>IF($A367="","",IFERROR(VALUE(MID(TRIM('Template Setup'!$C$8),FIND("-",TRIM('Template Setup'!$C$8))+1,10)),0))</f>
        <v/>
      </c>
      <c r="Q367" s="9" t="str">
        <f>IF($A367="","",$A367&amp;"-"&amp;'Template Setup'!$C$16)</f>
        <v/>
      </c>
      <c r="R367" s="24" t="str">
        <f t="shared" si="21"/>
        <v/>
      </c>
      <c r="S367" s="24"/>
      <c r="T367" s="24" t="str">
        <f t="shared" si="22"/>
        <v/>
      </c>
      <c r="U367" s="6" t="str">
        <f t="shared" si="24"/>
        <v/>
      </c>
    </row>
    <row r="368" spans="1:21">
      <c r="A368" s="11"/>
      <c r="B368" s="11"/>
      <c r="C368" s="11"/>
      <c r="D368" s="11" t="str">
        <f>IF($A368="","",_xlfn.TEXTJOIN(", ",TRUE,IF($G368&gt;0,'Template Setup'!$C$4,""),IF($H368&gt;0,'Template Setup'!$C$5,""),IF($I368&gt;0,'Template Setup'!$C$6,""),IF($J368&gt;0,'Template Setup'!$C$7,""),IF($K368&gt;0,'Template Setup'!$C$8,"")))</f>
        <v/>
      </c>
      <c r="E368" s="6" t="str" cm="1">
        <f t="array" ref="E368">IF($A368="","",_xlfn.LET(_xlpm.sheets,CHOOSE({1,2,3,4,5},'Template Setup'!$C$4,'Template Setup'!$C$5,'Template Setup'!$C$6,'Template Setup'!$C$7,'Template Setup'!$C$8),_xlpm.nums,CHOOSE({1,2,3,4,5},$L368,$M368,$N368,$O368,$P368),_xlpm.qtys,CHOOSE({1,2,3,4,5},$G368,$H368,$I368,$J368,$K368),_xlpm.validNums,_xlfn._xlws.FILTER(_xlpm.nums,_xlpm.qtys&gt;0),_xlpm.validSheets,_xlfn._xlws.FILTER(_xlpm.sheets,_xlpm.qtys&gt;0),_xlpm.mx,IFERROR(MAX(_xlpm.validNums),0),IF(_xlpm.mx=0,"",INDEX(_xlpm.validSheets,MATCH(_xlpm.mx,_xlpm.validNums,0))&amp;" (+"&amp;$R368&amp;")")))</f>
        <v/>
      </c>
      <c r="F368" s="11" t="str">
        <f t="shared" si="23"/>
        <v/>
      </c>
      <c r="G368" s="12" t="str">
        <f ca="1">IF($A368="","",IFERROR(SUMIF(INDIRECT("'"&amp;'Template Setup'!$C$4&amp;"'!C:C"),$A368,INDIRECT("'"&amp;'Template Setup'!$C$4&amp;"'!A:A")),0))</f>
        <v/>
      </c>
      <c r="H368" s="12" t="str">
        <f ca="1">IF($A368="","",IFERROR(SUMIF(INDIRECT("'"&amp;'Template Setup'!$C$5&amp;"'!C:C"),$A368,INDIRECT("'"&amp;'Template Setup'!$C$5&amp;"'!A:A")),0))</f>
        <v/>
      </c>
      <c r="I368" s="12" t="str">
        <f ca="1">IF($A368="","",IFERROR(SUMIF(INDIRECT("'"&amp;'Template Setup'!$C$6&amp;"'!C:C"),$A368,INDIRECT("'"&amp;'Template Setup'!$C$6&amp;"'!A:A")),0))</f>
        <v/>
      </c>
      <c r="J368" s="12" t="str">
        <f ca="1">IF($A368="","",IFERROR(SUMIF(INDIRECT("'"&amp;'Template Setup'!$C$7&amp;"'!C:C"),$A368,INDIRECT("'"&amp;'Template Setup'!$C$7&amp;"'!A:A")),0))</f>
        <v/>
      </c>
      <c r="K368" s="12" t="str">
        <f ca="1">IF($A368="","",IFERROR(SUMIF(INDIRECT("'"&amp;'Template Setup'!$C$8&amp;"'!C:C"),$A368,INDIRECT("'"&amp;'Template Setup'!$C$8&amp;"'!A:A")),0))</f>
        <v/>
      </c>
      <c r="L368" s="11" t="str">
        <f>IF($A368="","",IFERROR(VALUE(MID(TRIM('Template Setup'!$C$4),FIND("-",TRIM('Template Setup'!$C$4))+1,10)),0))</f>
        <v/>
      </c>
      <c r="M368" s="11" t="str">
        <f>IF($A368="","",IFERROR(VALUE(MID(TRIM('Template Setup'!$C$5),FIND("-",TRIM('Template Setup'!$C$5))+1,10)),0))</f>
        <v/>
      </c>
      <c r="N368" s="11" t="str">
        <f>IF($A368="","",IFERROR(VALUE(MID(TRIM('Template Setup'!$C$6),FIND("-",TRIM('Template Setup'!$C$6))+1,10)),0))</f>
        <v/>
      </c>
      <c r="O368" s="11" t="str">
        <f>IF($A368="","",IFERROR(VALUE(MID(TRIM('Template Setup'!$C$7),FIND("-",TRIM('Template Setup'!$C$7))+1,10)),0))</f>
        <v/>
      </c>
      <c r="P368" s="11" t="str">
        <f>IF($A368="","",IFERROR(VALUE(MID(TRIM('Template Setup'!$C$8),FIND("-",TRIM('Template Setup'!$C$8))+1,10)),0))</f>
        <v/>
      </c>
      <c r="Q368" s="9" t="str">
        <f>IF($A368="","",$A368&amp;"-"&amp;'Template Setup'!$C$16)</f>
        <v/>
      </c>
      <c r="R368" s="24" t="str">
        <f t="shared" si="21"/>
        <v/>
      </c>
      <c r="S368" s="24"/>
      <c r="T368" s="24" t="str">
        <f t="shared" si="22"/>
        <v/>
      </c>
      <c r="U368" s="6" t="str">
        <f t="shared" si="24"/>
        <v/>
      </c>
    </row>
    <row r="369" spans="1:21">
      <c r="A369" s="11"/>
      <c r="B369" s="11"/>
      <c r="C369" s="11"/>
      <c r="D369" s="11" t="str">
        <f>IF($A369="","",_xlfn.TEXTJOIN(", ",TRUE,IF($G369&gt;0,'Template Setup'!$C$4,""),IF($H369&gt;0,'Template Setup'!$C$5,""),IF($I369&gt;0,'Template Setup'!$C$6,""),IF($J369&gt;0,'Template Setup'!$C$7,""),IF($K369&gt;0,'Template Setup'!$C$8,"")))</f>
        <v/>
      </c>
      <c r="E369" s="6" t="str" cm="1">
        <f t="array" ref="E369">IF($A369="","",_xlfn.LET(_xlpm.sheets,CHOOSE({1,2,3,4,5},'Template Setup'!$C$4,'Template Setup'!$C$5,'Template Setup'!$C$6,'Template Setup'!$C$7,'Template Setup'!$C$8),_xlpm.nums,CHOOSE({1,2,3,4,5},$L369,$M369,$N369,$O369,$P369),_xlpm.qtys,CHOOSE({1,2,3,4,5},$G369,$H369,$I369,$J369,$K369),_xlpm.validNums,_xlfn._xlws.FILTER(_xlpm.nums,_xlpm.qtys&gt;0),_xlpm.validSheets,_xlfn._xlws.FILTER(_xlpm.sheets,_xlpm.qtys&gt;0),_xlpm.mx,IFERROR(MAX(_xlpm.validNums),0),IF(_xlpm.mx=0,"",INDEX(_xlpm.validSheets,MATCH(_xlpm.mx,_xlpm.validNums,0))&amp;" (+"&amp;$R369&amp;")")))</f>
        <v/>
      </c>
      <c r="F369" s="11" t="str">
        <f t="shared" si="23"/>
        <v/>
      </c>
      <c r="G369" s="12" t="str">
        <f ca="1">IF($A369="","",IFERROR(SUMIF(INDIRECT("'"&amp;'Template Setup'!$C$4&amp;"'!C:C"),$A369,INDIRECT("'"&amp;'Template Setup'!$C$4&amp;"'!A:A")),0))</f>
        <v/>
      </c>
      <c r="H369" s="12" t="str">
        <f ca="1">IF($A369="","",IFERROR(SUMIF(INDIRECT("'"&amp;'Template Setup'!$C$5&amp;"'!C:C"),$A369,INDIRECT("'"&amp;'Template Setup'!$C$5&amp;"'!A:A")),0))</f>
        <v/>
      </c>
      <c r="I369" s="12" t="str">
        <f ca="1">IF($A369="","",IFERROR(SUMIF(INDIRECT("'"&amp;'Template Setup'!$C$6&amp;"'!C:C"),$A369,INDIRECT("'"&amp;'Template Setup'!$C$6&amp;"'!A:A")),0))</f>
        <v/>
      </c>
      <c r="J369" s="12" t="str">
        <f ca="1">IF($A369="","",IFERROR(SUMIF(INDIRECT("'"&amp;'Template Setup'!$C$7&amp;"'!C:C"),$A369,INDIRECT("'"&amp;'Template Setup'!$C$7&amp;"'!A:A")),0))</f>
        <v/>
      </c>
      <c r="K369" s="12" t="str">
        <f ca="1">IF($A369="","",IFERROR(SUMIF(INDIRECT("'"&amp;'Template Setup'!$C$8&amp;"'!C:C"),$A369,INDIRECT("'"&amp;'Template Setup'!$C$8&amp;"'!A:A")),0))</f>
        <v/>
      </c>
      <c r="L369" s="11" t="str">
        <f>IF($A369="","",IFERROR(VALUE(MID(TRIM('Template Setup'!$C$4),FIND("-",TRIM('Template Setup'!$C$4))+1,10)),0))</f>
        <v/>
      </c>
      <c r="M369" s="11" t="str">
        <f>IF($A369="","",IFERROR(VALUE(MID(TRIM('Template Setup'!$C$5),FIND("-",TRIM('Template Setup'!$C$5))+1,10)),0))</f>
        <v/>
      </c>
      <c r="N369" s="11" t="str">
        <f>IF($A369="","",IFERROR(VALUE(MID(TRIM('Template Setup'!$C$6),FIND("-",TRIM('Template Setup'!$C$6))+1,10)),0))</f>
        <v/>
      </c>
      <c r="O369" s="11" t="str">
        <f>IF($A369="","",IFERROR(VALUE(MID(TRIM('Template Setup'!$C$7),FIND("-",TRIM('Template Setup'!$C$7))+1,10)),0))</f>
        <v/>
      </c>
      <c r="P369" s="11" t="str">
        <f>IF($A369="","",IFERROR(VALUE(MID(TRIM('Template Setup'!$C$8),FIND("-",TRIM('Template Setup'!$C$8))+1,10)),0))</f>
        <v/>
      </c>
      <c r="Q369" s="9" t="str">
        <f>IF($A369="","",$A369&amp;"-"&amp;'Template Setup'!$C$16)</f>
        <v/>
      </c>
      <c r="R369" s="24" t="str">
        <f t="shared" si="21"/>
        <v/>
      </c>
      <c r="S369" s="24"/>
      <c r="T369" s="24" t="str">
        <f t="shared" si="22"/>
        <v/>
      </c>
      <c r="U369" s="6" t="str">
        <f t="shared" si="24"/>
        <v/>
      </c>
    </row>
    <row r="370" spans="1:21">
      <c r="A370" s="11"/>
      <c r="B370" s="11"/>
      <c r="C370" s="11"/>
      <c r="D370" s="11" t="str">
        <f>IF($A370="","",_xlfn.TEXTJOIN(", ",TRUE,IF($G370&gt;0,'Template Setup'!$C$4,""),IF($H370&gt;0,'Template Setup'!$C$5,""),IF($I370&gt;0,'Template Setup'!$C$6,""),IF($J370&gt;0,'Template Setup'!$C$7,""),IF($K370&gt;0,'Template Setup'!$C$8,"")))</f>
        <v/>
      </c>
      <c r="E370" s="6" t="str" cm="1">
        <f t="array" ref="E370">IF($A370="","",_xlfn.LET(_xlpm.sheets,CHOOSE({1,2,3,4,5},'Template Setup'!$C$4,'Template Setup'!$C$5,'Template Setup'!$C$6,'Template Setup'!$C$7,'Template Setup'!$C$8),_xlpm.nums,CHOOSE({1,2,3,4,5},$L370,$M370,$N370,$O370,$P370),_xlpm.qtys,CHOOSE({1,2,3,4,5},$G370,$H370,$I370,$J370,$K370),_xlpm.validNums,_xlfn._xlws.FILTER(_xlpm.nums,_xlpm.qtys&gt;0),_xlpm.validSheets,_xlfn._xlws.FILTER(_xlpm.sheets,_xlpm.qtys&gt;0),_xlpm.mx,IFERROR(MAX(_xlpm.validNums),0),IF(_xlpm.mx=0,"",INDEX(_xlpm.validSheets,MATCH(_xlpm.mx,_xlpm.validNums,0))&amp;" (+"&amp;$R370&amp;")")))</f>
        <v/>
      </c>
      <c r="F370" s="11" t="str">
        <f t="shared" si="23"/>
        <v/>
      </c>
      <c r="G370" s="12" t="str">
        <f ca="1">IF($A370="","",IFERROR(SUMIF(INDIRECT("'"&amp;'Template Setup'!$C$4&amp;"'!C:C"),$A370,INDIRECT("'"&amp;'Template Setup'!$C$4&amp;"'!A:A")),0))</f>
        <v/>
      </c>
      <c r="H370" s="12" t="str">
        <f ca="1">IF($A370="","",IFERROR(SUMIF(INDIRECT("'"&amp;'Template Setup'!$C$5&amp;"'!C:C"),$A370,INDIRECT("'"&amp;'Template Setup'!$C$5&amp;"'!A:A")),0))</f>
        <v/>
      </c>
      <c r="I370" s="12" t="str">
        <f ca="1">IF($A370="","",IFERROR(SUMIF(INDIRECT("'"&amp;'Template Setup'!$C$6&amp;"'!C:C"),$A370,INDIRECT("'"&amp;'Template Setup'!$C$6&amp;"'!A:A")),0))</f>
        <v/>
      </c>
      <c r="J370" s="12" t="str">
        <f ca="1">IF($A370="","",IFERROR(SUMIF(INDIRECT("'"&amp;'Template Setup'!$C$7&amp;"'!C:C"),$A370,INDIRECT("'"&amp;'Template Setup'!$C$7&amp;"'!A:A")),0))</f>
        <v/>
      </c>
      <c r="K370" s="12" t="str">
        <f ca="1">IF($A370="","",IFERROR(SUMIF(INDIRECT("'"&amp;'Template Setup'!$C$8&amp;"'!C:C"),$A370,INDIRECT("'"&amp;'Template Setup'!$C$8&amp;"'!A:A")),0))</f>
        <v/>
      </c>
      <c r="L370" s="11" t="str">
        <f>IF($A370="","",IFERROR(VALUE(MID(TRIM('Template Setup'!$C$4),FIND("-",TRIM('Template Setup'!$C$4))+1,10)),0))</f>
        <v/>
      </c>
      <c r="M370" s="11" t="str">
        <f>IF($A370="","",IFERROR(VALUE(MID(TRIM('Template Setup'!$C$5),FIND("-",TRIM('Template Setup'!$C$5))+1,10)),0))</f>
        <v/>
      </c>
      <c r="N370" s="11" t="str">
        <f>IF($A370="","",IFERROR(VALUE(MID(TRIM('Template Setup'!$C$6),FIND("-",TRIM('Template Setup'!$C$6))+1,10)),0))</f>
        <v/>
      </c>
      <c r="O370" s="11" t="str">
        <f>IF($A370="","",IFERROR(VALUE(MID(TRIM('Template Setup'!$C$7),FIND("-",TRIM('Template Setup'!$C$7))+1,10)),0))</f>
        <v/>
      </c>
      <c r="P370" s="11" t="str">
        <f>IF($A370="","",IFERROR(VALUE(MID(TRIM('Template Setup'!$C$8),FIND("-",TRIM('Template Setup'!$C$8))+1,10)),0))</f>
        <v/>
      </c>
      <c r="Q370" s="9" t="str">
        <f>IF($A370="","",$A370&amp;"-"&amp;'Template Setup'!$C$16)</f>
        <v/>
      </c>
      <c r="R370" s="24" t="str">
        <f t="shared" si="21"/>
        <v/>
      </c>
      <c r="S370" s="24"/>
      <c r="T370" s="24" t="str">
        <f t="shared" si="22"/>
        <v/>
      </c>
      <c r="U370" s="6" t="str">
        <f t="shared" si="24"/>
        <v/>
      </c>
    </row>
    <row r="371" spans="1:21">
      <c r="A371" s="11"/>
      <c r="B371" s="11"/>
      <c r="C371" s="11"/>
      <c r="D371" s="11" t="str">
        <f>IF($A371="","",_xlfn.TEXTJOIN(", ",TRUE,IF($G371&gt;0,'Template Setup'!$C$4,""),IF($H371&gt;0,'Template Setup'!$C$5,""),IF($I371&gt;0,'Template Setup'!$C$6,""),IF($J371&gt;0,'Template Setup'!$C$7,""),IF($K371&gt;0,'Template Setup'!$C$8,"")))</f>
        <v/>
      </c>
      <c r="E371" s="6" t="str" cm="1">
        <f t="array" ref="E371">IF($A371="","",_xlfn.LET(_xlpm.sheets,CHOOSE({1,2,3,4,5},'Template Setup'!$C$4,'Template Setup'!$C$5,'Template Setup'!$C$6,'Template Setup'!$C$7,'Template Setup'!$C$8),_xlpm.nums,CHOOSE({1,2,3,4,5},$L371,$M371,$N371,$O371,$P371),_xlpm.qtys,CHOOSE({1,2,3,4,5},$G371,$H371,$I371,$J371,$K371),_xlpm.validNums,_xlfn._xlws.FILTER(_xlpm.nums,_xlpm.qtys&gt;0),_xlpm.validSheets,_xlfn._xlws.FILTER(_xlpm.sheets,_xlpm.qtys&gt;0),_xlpm.mx,IFERROR(MAX(_xlpm.validNums),0),IF(_xlpm.mx=0,"",INDEX(_xlpm.validSheets,MATCH(_xlpm.mx,_xlpm.validNums,0))&amp;" (+"&amp;$R371&amp;")")))</f>
        <v/>
      </c>
      <c r="F371" s="11" t="str">
        <f t="shared" si="23"/>
        <v/>
      </c>
      <c r="G371" s="12" t="str">
        <f ca="1">IF($A371="","",IFERROR(SUMIF(INDIRECT("'"&amp;'Template Setup'!$C$4&amp;"'!C:C"),$A371,INDIRECT("'"&amp;'Template Setup'!$C$4&amp;"'!A:A")),0))</f>
        <v/>
      </c>
      <c r="H371" s="12" t="str">
        <f ca="1">IF($A371="","",IFERROR(SUMIF(INDIRECT("'"&amp;'Template Setup'!$C$5&amp;"'!C:C"),$A371,INDIRECT("'"&amp;'Template Setup'!$C$5&amp;"'!A:A")),0))</f>
        <v/>
      </c>
      <c r="I371" s="12" t="str">
        <f ca="1">IF($A371="","",IFERROR(SUMIF(INDIRECT("'"&amp;'Template Setup'!$C$6&amp;"'!C:C"),$A371,INDIRECT("'"&amp;'Template Setup'!$C$6&amp;"'!A:A")),0))</f>
        <v/>
      </c>
      <c r="J371" s="12" t="str">
        <f ca="1">IF($A371="","",IFERROR(SUMIF(INDIRECT("'"&amp;'Template Setup'!$C$7&amp;"'!C:C"),$A371,INDIRECT("'"&amp;'Template Setup'!$C$7&amp;"'!A:A")),0))</f>
        <v/>
      </c>
      <c r="K371" s="12" t="str">
        <f ca="1">IF($A371="","",IFERROR(SUMIF(INDIRECT("'"&amp;'Template Setup'!$C$8&amp;"'!C:C"),$A371,INDIRECT("'"&amp;'Template Setup'!$C$8&amp;"'!A:A")),0))</f>
        <v/>
      </c>
      <c r="L371" s="11" t="str">
        <f>IF($A371="","",IFERROR(VALUE(MID(TRIM('Template Setup'!$C$4),FIND("-",TRIM('Template Setup'!$C$4))+1,10)),0))</f>
        <v/>
      </c>
      <c r="M371" s="11" t="str">
        <f>IF($A371="","",IFERROR(VALUE(MID(TRIM('Template Setup'!$C$5),FIND("-",TRIM('Template Setup'!$C$5))+1,10)),0))</f>
        <v/>
      </c>
      <c r="N371" s="11" t="str">
        <f>IF($A371="","",IFERROR(VALUE(MID(TRIM('Template Setup'!$C$6),FIND("-",TRIM('Template Setup'!$C$6))+1,10)),0))</f>
        <v/>
      </c>
      <c r="O371" s="11" t="str">
        <f>IF($A371="","",IFERROR(VALUE(MID(TRIM('Template Setup'!$C$7),FIND("-",TRIM('Template Setup'!$C$7))+1,10)),0))</f>
        <v/>
      </c>
      <c r="P371" s="11" t="str">
        <f>IF($A371="","",IFERROR(VALUE(MID(TRIM('Template Setup'!$C$8),FIND("-",TRIM('Template Setup'!$C$8))+1,10)),0))</f>
        <v/>
      </c>
      <c r="Q371" s="9" t="str">
        <f>IF($A371="","",$A371&amp;"-"&amp;'Template Setup'!$C$16)</f>
        <v/>
      </c>
      <c r="R371" s="24" t="str">
        <f t="shared" si="21"/>
        <v/>
      </c>
      <c r="S371" s="24"/>
      <c r="T371" s="24" t="str">
        <f t="shared" si="22"/>
        <v/>
      </c>
      <c r="U371" s="6" t="str">
        <f t="shared" si="24"/>
        <v/>
      </c>
    </row>
    <row r="372" spans="1:21">
      <c r="A372" s="11"/>
      <c r="B372" s="11"/>
      <c r="C372" s="11"/>
      <c r="D372" s="11" t="str">
        <f>IF($A372="","",_xlfn.TEXTJOIN(", ",TRUE,IF($G372&gt;0,'Template Setup'!$C$4,""),IF($H372&gt;0,'Template Setup'!$C$5,""),IF($I372&gt;0,'Template Setup'!$C$6,""),IF($J372&gt;0,'Template Setup'!$C$7,""),IF($K372&gt;0,'Template Setup'!$C$8,"")))</f>
        <v/>
      </c>
      <c r="E372" s="6" t="str" cm="1">
        <f t="array" ref="E372">IF($A372="","",_xlfn.LET(_xlpm.sheets,CHOOSE({1,2,3,4,5},'Template Setup'!$C$4,'Template Setup'!$C$5,'Template Setup'!$C$6,'Template Setup'!$C$7,'Template Setup'!$C$8),_xlpm.nums,CHOOSE({1,2,3,4,5},$L372,$M372,$N372,$O372,$P372),_xlpm.qtys,CHOOSE({1,2,3,4,5},$G372,$H372,$I372,$J372,$K372),_xlpm.validNums,_xlfn._xlws.FILTER(_xlpm.nums,_xlpm.qtys&gt;0),_xlpm.validSheets,_xlfn._xlws.FILTER(_xlpm.sheets,_xlpm.qtys&gt;0),_xlpm.mx,IFERROR(MAX(_xlpm.validNums),0),IF(_xlpm.mx=0,"",INDEX(_xlpm.validSheets,MATCH(_xlpm.mx,_xlpm.validNums,0))&amp;" (+"&amp;$R372&amp;")")))</f>
        <v/>
      </c>
      <c r="F372" s="11" t="str">
        <f t="shared" si="23"/>
        <v/>
      </c>
      <c r="G372" s="12" t="str">
        <f ca="1">IF($A372="","",IFERROR(SUMIF(INDIRECT("'"&amp;'Template Setup'!$C$4&amp;"'!C:C"),$A372,INDIRECT("'"&amp;'Template Setup'!$C$4&amp;"'!A:A")),0))</f>
        <v/>
      </c>
      <c r="H372" s="12" t="str">
        <f ca="1">IF($A372="","",IFERROR(SUMIF(INDIRECT("'"&amp;'Template Setup'!$C$5&amp;"'!C:C"),$A372,INDIRECT("'"&amp;'Template Setup'!$C$5&amp;"'!A:A")),0))</f>
        <v/>
      </c>
      <c r="I372" s="12" t="str">
        <f ca="1">IF($A372="","",IFERROR(SUMIF(INDIRECT("'"&amp;'Template Setup'!$C$6&amp;"'!C:C"),$A372,INDIRECT("'"&amp;'Template Setup'!$C$6&amp;"'!A:A")),0))</f>
        <v/>
      </c>
      <c r="J372" s="12" t="str">
        <f ca="1">IF($A372="","",IFERROR(SUMIF(INDIRECT("'"&amp;'Template Setup'!$C$7&amp;"'!C:C"),$A372,INDIRECT("'"&amp;'Template Setup'!$C$7&amp;"'!A:A")),0))</f>
        <v/>
      </c>
      <c r="K372" s="12" t="str">
        <f ca="1">IF($A372="","",IFERROR(SUMIF(INDIRECT("'"&amp;'Template Setup'!$C$8&amp;"'!C:C"),$A372,INDIRECT("'"&amp;'Template Setup'!$C$8&amp;"'!A:A")),0))</f>
        <v/>
      </c>
      <c r="L372" s="11" t="str">
        <f>IF($A372="","",IFERROR(VALUE(MID(TRIM('Template Setup'!$C$4),FIND("-",TRIM('Template Setup'!$C$4))+1,10)),0))</f>
        <v/>
      </c>
      <c r="M372" s="11" t="str">
        <f>IF($A372="","",IFERROR(VALUE(MID(TRIM('Template Setup'!$C$5),FIND("-",TRIM('Template Setup'!$C$5))+1,10)),0))</f>
        <v/>
      </c>
      <c r="N372" s="11" t="str">
        <f>IF($A372="","",IFERROR(VALUE(MID(TRIM('Template Setup'!$C$6),FIND("-",TRIM('Template Setup'!$C$6))+1,10)),0))</f>
        <v/>
      </c>
      <c r="O372" s="11" t="str">
        <f>IF($A372="","",IFERROR(VALUE(MID(TRIM('Template Setup'!$C$7),FIND("-",TRIM('Template Setup'!$C$7))+1,10)),0))</f>
        <v/>
      </c>
      <c r="P372" s="11" t="str">
        <f>IF($A372="","",IFERROR(VALUE(MID(TRIM('Template Setup'!$C$8),FIND("-",TRIM('Template Setup'!$C$8))+1,10)),0))</f>
        <v/>
      </c>
      <c r="Q372" s="9" t="str">
        <f>IF($A372="","",$A372&amp;"-"&amp;'Template Setup'!$C$16)</f>
        <v/>
      </c>
      <c r="R372" s="24" t="str">
        <f t="shared" si="21"/>
        <v/>
      </c>
      <c r="S372" s="24"/>
      <c r="T372" s="24" t="str">
        <f t="shared" si="22"/>
        <v/>
      </c>
      <c r="U372" s="6" t="str">
        <f t="shared" si="24"/>
        <v/>
      </c>
    </row>
    <row r="373" spans="1:21">
      <c r="A373" s="11"/>
      <c r="B373" s="11"/>
      <c r="C373" s="11"/>
      <c r="D373" s="11" t="str">
        <f>IF($A373="","",_xlfn.TEXTJOIN(", ",TRUE,IF($G373&gt;0,'Template Setup'!$C$4,""),IF($H373&gt;0,'Template Setup'!$C$5,""),IF($I373&gt;0,'Template Setup'!$C$6,""),IF($J373&gt;0,'Template Setup'!$C$7,""),IF($K373&gt;0,'Template Setup'!$C$8,"")))</f>
        <v/>
      </c>
      <c r="E373" s="6" t="str" cm="1">
        <f t="array" ref="E373">IF($A373="","",_xlfn.LET(_xlpm.sheets,CHOOSE({1,2,3,4,5},'Template Setup'!$C$4,'Template Setup'!$C$5,'Template Setup'!$C$6,'Template Setup'!$C$7,'Template Setup'!$C$8),_xlpm.nums,CHOOSE({1,2,3,4,5},$L373,$M373,$N373,$O373,$P373),_xlpm.qtys,CHOOSE({1,2,3,4,5},$G373,$H373,$I373,$J373,$K373),_xlpm.validNums,_xlfn._xlws.FILTER(_xlpm.nums,_xlpm.qtys&gt;0),_xlpm.validSheets,_xlfn._xlws.FILTER(_xlpm.sheets,_xlpm.qtys&gt;0),_xlpm.mx,IFERROR(MAX(_xlpm.validNums),0),IF(_xlpm.mx=0,"",INDEX(_xlpm.validSheets,MATCH(_xlpm.mx,_xlpm.validNums,0))&amp;" (+"&amp;$R373&amp;")")))</f>
        <v/>
      </c>
      <c r="F373" s="11" t="str">
        <f t="shared" si="23"/>
        <v/>
      </c>
      <c r="G373" s="12" t="str">
        <f ca="1">IF($A373="","",IFERROR(SUMIF(INDIRECT("'"&amp;'Template Setup'!$C$4&amp;"'!C:C"),$A373,INDIRECT("'"&amp;'Template Setup'!$C$4&amp;"'!A:A")),0))</f>
        <v/>
      </c>
      <c r="H373" s="12" t="str">
        <f ca="1">IF($A373="","",IFERROR(SUMIF(INDIRECT("'"&amp;'Template Setup'!$C$5&amp;"'!C:C"),$A373,INDIRECT("'"&amp;'Template Setup'!$C$5&amp;"'!A:A")),0))</f>
        <v/>
      </c>
      <c r="I373" s="12" t="str">
        <f ca="1">IF($A373="","",IFERROR(SUMIF(INDIRECT("'"&amp;'Template Setup'!$C$6&amp;"'!C:C"),$A373,INDIRECT("'"&amp;'Template Setup'!$C$6&amp;"'!A:A")),0))</f>
        <v/>
      </c>
      <c r="J373" s="12" t="str">
        <f ca="1">IF($A373="","",IFERROR(SUMIF(INDIRECT("'"&amp;'Template Setup'!$C$7&amp;"'!C:C"),$A373,INDIRECT("'"&amp;'Template Setup'!$C$7&amp;"'!A:A")),0))</f>
        <v/>
      </c>
      <c r="K373" s="12" t="str">
        <f ca="1">IF($A373="","",IFERROR(SUMIF(INDIRECT("'"&amp;'Template Setup'!$C$8&amp;"'!C:C"),$A373,INDIRECT("'"&amp;'Template Setup'!$C$8&amp;"'!A:A")),0))</f>
        <v/>
      </c>
      <c r="L373" s="11" t="str">
        <f>IF($A373="","",IFERROR(VALUE(MID(TRIM('Template Setup'!$C$4),FIND("-",TRIM('Template Setup'!$C$4))+1,10)),0))</f>
        <v/>
      </c>
      <c r="M373" s="11" t="str">
        <f>IF($A373="","",IFERROR(VALUE(MID(TRIM('Template Setup'!$C$5),FIND("-",TRIM('Template Setup'!$C$5))+1,10)),0))</f>
        <v/>
      </c>
      <c r="N373" s="11" t="str">
        <f>IF($A373="","",IFERROR(VALUE(MID(TRIM('Template Setup'!$C$6),FIND("-",TRIM('Template Setup'!$C$6))+1,10)),0))</f>
        <v/>
      </c>
      <c r="O373" s="11" t="str">
        <f>IF($A373="","",IFERROR(VALUE(MID(TRIM('Template Setup'!$C$7),FIND("-",TRIM('Template Setup'!$C$7))+1,10)),0))</f>
        <v/>
      </c>
      <c r="P373" s="11" t="str">
        <f>IF($A373="","",IFERROR(VALUE(MID(TRIM('Template Setup'!$C$8),FIND("-",TRIM('Template Setup'!$C$8))+1,10)),0))</f>
        <v/>
      </c>
      <c r="Q373" s="9" t="str">
        <f>IF($A373="","",$A373&amp;"-"&amp;'Template Setup'!$C$16)</f>
        <v/>
      </c>
      <c r="R373" s="24" t="str">
        <f t="shared" si="21"/>
        <v/>
      </c>
      <c r="S373" s="24"/>
      <c r="T373" s="24" t="str">
        <f t="shared" si="22"/>
        <v/>
      </c>
      <c r="U373" s="6" t="str">
        <f t="shared" si="24"/>
        <v/>
      </c>
    </row>
    <row r="374" spans="1:21">
      <c r="A374" s="11"/>
      <c r="B374" s="11"/>
      <c r="C374" s="11"/>
      <c r="D374" s="11" t="str">
        <f>IF($A374="","",_xlfn.TEXTJOIN(", ",TRUE,IF($G374&gt;0,'Template Setup'!$C$4,""),IF($H374&gt;0,'Template Setup'!$C$5,""),IF($I374&gt;0,'Template Setup'!$C$6,""),IF($J374&gt;0,'Template Setup'!$C$7,""),IF($K374&gt;0,'Template Setup'!$C$8,"")))</f>
        <v/>
      </c>
      <c r="E374" s="6" t="str" cm="1">
        <f t="array" ref="E374">IF($A374="","",_xlfn.LET(_xlpm.sheets,CHOOSE({1,2,3,4,5},'Template Setup'!$C$4,'Template Setup'!$C$5,'Template Setup'!$C$6,'Template Setup'!$C$7,'Template Setup'!$C$8),_xlpm.nums,CHOOSE({1,2,3,4,5},$L374,$M374,$N374,$O374,$P374),_xlpm.qtys,CHOOSE({1,2,3,4,5},$G374,$H374,$I374,$J374,$K374),_xlpm.validNums,_xlfn._xlws.FILTER(_xlpm.nums,_xlpm.qtys&gt;0),_xlpm.validSheets,_xlfn._xlws.FILTER(_xlpm.sheets,_xlpm.qtys&gt;0),_xlpm.mx,IFERROR(MAX(_xlpm.validNums),0),IF(_xlpm.mx=0,"",INDEX(_xlpm.validSheets,MATCH(_xlpm.mx,_xlpm.validNums,0))&amp;" (+"&amp;$R374&amp;")")))</f>
        <v/>
      </c>
      <c r="F374" s="11" t="str">
        <f t="shared" si="23"/>
        <v/>
      </c>
      <c r="G374" s="12" t="str">
        <f ca="1">IF($A374="","",IFERROR(SUMIF(INDIRECT("'"&amp;'Template Setup'!$C$4&amp;"'!C:C"),$A374,INDIRECT("'"&amp;'Template Setup'!$C$4&amp;"'!A:A")),0))</f>
        <v/>
      </c>
      <c r="H374" s="12" t="str">
        <f ca="1">IF($A374="","",IFERROR(SUMIF(INDIRECT("'"&amp;'Template Setup'!$C$5&amp;"'!C:C"),$A374,INDIRECT("'"&amp;'Template Setup'!$C$5&amp;"'!A:A")),0))</f>
        <v/>
      </c>
      <c r="I374" s="12" t="str">
        <f ca="1">IF($A374="","",IFERROR(SUMIF(INDIRECT("'"&amp;'Template Setup'!$C$6&amp;"'!C:C"),$A374,INDIRECT("'"&amp;'Template Setup'!$C$6&amp;"'!A:A")),0))</f>
        <v/>
      </c>
      <c r="J374" s="12" t="str">
        <f ca="1">IF($A374="","",IFERROR(SUMIF(INDIRECT("'"&amp;'Template Setup'!$C$7&amp;"'!C:C"),$A374,INDIRECT("'"&amp;'Template Setup'!$C$7&amp;"'!A:A")),0))</f>
        <v/>
      </c>
      <c r="K374" s="12" t="str">
        <f ca="1">IF($A374="","",IFERROR(SUMIF(INDIRECT("'"&amp;'Template Setup'!$C$8&amp;"'!C:C"),$A374,INDIRECT("'"&amp;'Template Setup'!$C$8&amp;"'!A:A")),0))</f>
        <v/>
      </c>
      <c r="L374" s="11" t="str">
        <f>IF($A374="","",IFERROR(VALUE(MID(TRIM('Template Setup'!$C$4),FIND("-",TRIM('Template Setup'!$C$4))+1,10)),0))</f>
        <v/>
      </c>
      <c r="M374" s="11" t="str">
        <f>IF($A374="","",IFERROR(VALUE(MID(TRIM('Template Setup'!$C$5),FIND("-",TRIM('Template Setup'!$C$5))+1,10)),0))</f>
        <v/>
      </c>
      <c r="N374" s="11" t="str">
        <f>IF($A374="","",IFERROR(VALUE(MID(TRIM('Template Setup'!$C$6),FIND("-",TRIM('Template Setup'!$C$6))+1,10)),0))</f>
        <v/>
      </c>
      <c r="O374" s="11" t="str">
        <f>IF($A374="","",IFERROR(VALUE(MID(TRIM('Template Setup'!$C$7),FIND("-",TRIM('Template Setup'!$C$7))+1,10)),0))</f>
        <v/>
      </c>
      <c r="P374" s="11" t="str">
        <f>IF($A374="","",IFERROR(VALUE(MID(TRIM('Template Setup'!$C$8),FIND("-",TRIM('Template Setup'!$C$8))+1,10)),0))</f>
        <v/>
      </c>
      <c r="Q374" s="9" t="str">
        <f>IF($A374="","",$A374&amp;"-"&amp;'Template Setup'!$C$16)</f>
        <v/>
      </c>
      <c r="R374" s="24" t="str">
        <f t="shared" si="21"/>
        <v/>
      </c>
      <c r="S374" s="24"/>
      <c r="T374" s="24" t="str">
        <f t="shared" si="22"/>
        <v/>
      </c>
      <c r="U374" s="6" t="str">
        <f t="shared" si="24"/>
        <v/>
      </c>
    </row>
    <row r="375" spans="1:21">
      <c r="A375" s="11"/>
      <c r="B375" s="11"/>
      <c r="C375" s="11"/>
      <c r="D375" s="11" t="str">
        <f>IF($A375="","",_xlfn.TEXTJOIN(", ",TRUE,IF($G375&gt;0,'Template Setup'!$C$4,""),IF($H375&gt;0,'Template Setup'!$C$5,""),IF($I375&gt;0,'Template Setup'!$C$6,""),IF($J375&gt;0,'Template Setup'!$C$7,""),IF($K375&gt;0,'Template Setup'!$C$8,"")))</f>
        <v/>
      </c>
      <c r="E375" s="6" t="str" cm="1">
        <f t="array" ref="E375">IF($A375="","",_xlfn.LET(_xlpm.sheets,CHOOSE({1,2,3,4,5},'Template Setup'!$C$4,'Template Setup'!$C$5,'Template Setup'!$C$6,'Template Setup'!$C$7,'Template Setup'!$C$8),_xlpm.nums,CHOOSE({1,2,3,4,5},$L375,$M375,$N375,$O375,$P375),_xlpm.qtys,CHOOSE({1,2,3,4,5},$G375,$H375,$I375,$J375,$K375),_xlpm.validNums,_xlfn._xlws.FILTER(_xlpm.nums,_xlpm.qtys&gt;0),_xlpm.validSheets,_xlfn._xlws.FILTER(_xlpm.sheets,_xlpm.qtys&gt;0),_xlpm.mx,IFERROR(MAX(_xlpm.validNums),0),IF(_xlpm.mx=0,"",INDEX(_xlpm.validSheets,MATCH(_xlpm.mx,_xlpm.validNums,0))&amp;" (+"&amp;$R375&amp;")")))</f>
        <v/>
      </c>
      <c r="F375" s="11" t="str">
        <f t="shared" si="23"/>
        <v/>
      </c>
      <c r="G375" s="12" t="str">
        <f ca="1">IF($A375="","",IFERROR(SUMIF(INDIRECT("'"&amp;'Template Setup'!$C$4&amp;"'!C:C"),$A375,INDIRECT("'"&amp;'Template Setup'!$C$4&amp;"'!A:A")),0))</f>
        <v/>
      </c>
      <c r="H375" s="12" t="str">
        <f ca="1">IF($A375="","",IFERROR(SUMIF(INDIRECT("'"&amp;'Template Setup'!$C$5&amp;"'!C:C"),$A375,INDIRECT("'"&amp;'Template Setup'!$C$5&amp;"'!A:A")),0))</f>
        <v/>
      </c>
      <c r="I375" s="12" t="str">
        <f ca="1">IF($A375="","",IFERROR(SUMIF(INDIRECT("'"&amp;'Template Setup'!$C$6&amp;"'!C:C"),$A375,INDIRECT("'"&amp;'Template Setup'!$C$6&amp;"'!A:A")),0))</f>
        <v/>
      </c>
      <c r="J375" s="12" t="str">
        <f ca="1">IF($A375="","",IFERROR(SUMIF(INDIRECT("'"&amp;'Template Setup'!$C$7&amp;"'!C:C"),$A375,INDIRECT("'"&amp;'Template Setup'!$C$7&amp;"'!A:A")),0))</f>
        <v/>
      </c>
      <c r="K375" s="12" t="str">
        <f ca="1">IF($A375="","",IFERROR(SUMIF(INDIRECT("'"&amp;'Template Setup'!$C$8&amp;"'!C:C"),$A375,INDIRECT("'"&amp;'Template Setup'!$C$8&amp;"'!A:A")),0))</f>
        <v/>
      </c>
      <c r="L375" s="11" t="str">
        <f>IF($A375="","",IFERROR(VALUE(MID(TRIM('Template Setup'!$C$4),FIND("-",TRIM('Template Setup'!$C$4))+1,10)),0))</f>
        <v/>
      </c>
      <c r="M375" s="11" t="str">
        <f>IF($A375="","",IFERROR(VALUE(MID(TRIM('Template Setup'!$C$5),FIND("-",TRIM('Template Setup'!$C$5))+1,10)),0))</f>
        <v/>
      </c>
      <c r="N375" s="11" t="str">
        <f>IF($A375="","",IFERROR(VALUE(MID(TRIM('Template Setup'!$C$6),FIND("-",TRIM('Template Setup'!$C$6))+1,10)),0))</f>
        <v/>
      </c>
      <c r="O375" s="11" t="str">
        <f>IF($A375="","",IFERROR(VALUE(MID(TRIM('Template Setup'!$C$7),FIND("-",TRIM('Template Setup'!$C$7))+1,10)),0))</f>
        <v/>
      </c>
      <c r="P375" s="11" t="str">
        <f>IF($A375="","",IFERROR(VALUE(MID(TRIM('Template Setup'!$C$8),FIND("-",TRIM('Template Setup'!$C$8))+1,10)),0))</f>
        <v/>
      </c>
      <c r="Q375" s="9" t="str">
        <f>IF($A375="","",$A375&amp;"-"&amp;'Template Setup'!$C$16)</f>
        <v/>
      </c>
      <c r="R375" s="24" t="str">
        <f t="shared" si="21"/>
        <v/>
      </c>
      <c r="S375" s="24"/>
      <c r="T375" s="24" t="str">
        <f t="shared" si="22"/>
        <v/>
      </c>
      <c r="U375" s="6" t="str">
        <f t="shared" si="24"/>
        <v/>
      </c>
    </row>
    <row r="376" spans="1:21">
      <c r="A376" s="11"/>
      <c r="B376" s="11"/>
      <c r="C376" s="11"/>
      <c r="D376" s="11" t="str">
        <f>IF($A376="","",_xlfn.TEXTJOIN(", ",TRUE,IF($G376&gt;0,'Template Setup'!$C$4,""),IF($H376&gt;0,'Template Setup'!$C$5,""),IF($I376&gt;0,'Template Setup'!$C$6,""),IF($J376&gt;0,'Template Setup'!$C$7,""),IF($K376&gt;0,'Template Setup'!$C$8,"")))</f>
        <v/>
      </c>
      <c r="E376" s="6" t="str" cm="1">
        <f t="array" ref="E376">IF($A376="","",_xlfn.LET(_xlpm.sheets,CHOOSE({1,2,3,4,5},'Template Setup'!$C$4,'Template Setup'!$C$5,'Template Setup'!$C$6,'Template Setup'!$C$7,'Template Setup'!$C$8),_xlpm.nums,CHOOSE({1,2,3,4,5},$L376,$M376,$N376,$O376,$P376),_xlpm.qtys,CHOOSE({1,2,3,4,5},$G376,$H376,$I376,$J376,$K376),_xlpm.validNums,_xlfn._xlws.FILTER(_xlpm.nums,_xlpm.qtys&gt;0),_xlpm.validSheets,_xlfn._xlws.FILTER(_xlpm.sheets,_xlpm.qtys&gt;0),_xlpm.mx,IFERROR(MAX(_xlpm.validNums),0),IF(_xlpm.mx=0,"",INDEX(_xlpm.validSheets,MATCH(_xlpm.mx,_xlpm.validNums,0))&amp;" (+"&amp;$R376&amp;")")))</f>
        <v/>
      </c>
      <c r="F376" s="11" t="str">
        <f t="shared" si="23"/>
        <v/>
      </c>
      <c r="G376" s="12" t="str">
        <f ca="1">IF($A376="","",IFERROR(SUMIF(INDIRECT("'"&amp;'Template Setup'!$C$4&amp;"'!C:C"),$A376,INDIRECT("'"&amp;'Template Setup'!$C$4&amp;"'!A:A")),0))</f>
        <v/>
      </c>
      <c r="H376" s="12" t="str">
        <f ca="1">IF($A376="","",IFERROR(SUMIF(INDIRECT("'"&amp;'Template Setup'!$C$5&amp;"'!C:C"),$A376,INDIRECT("'"&amp;'Template Setup'!$C$5&amp;"'!A:A")),0))</f>
        <v/>
      </c>
      <c r="I376" s="12" t="str">
        <f ca="1">IF($A376="","",IFERROR(SUMIF(INDIRECT("'"&amp;'Template Setup'!$C$6&amp;"'!C:C"),$A376,INDIRECT("'"&amp;'Template Setup'!$C$6&amp;"'!A:A")),0))</f>
        <v/>
      </c>
      <c r="J376" s="12" t="str">
        <f ca="1">IF($A376="","",IFERROR(SUMIF(INDIRECT("'"&amp;'Template Setup'!$C$7&amp;"'!C:C"),$A376,INDIRECT("'"&amp;'Template Setup'!$C$7&amp;"'!A:A")),0))</f>
        <v/>
      </c>
      <c r="K376" s="12" t="str">
        <f ca="1">IF($A376="","",IFERROR(SUMIF(INDIRECT("'"&amp;'Template Setup'!$C$8&amp;"'!C:C"),$A376,INDIRECT("'"&amp;'Template Setup'!$C$8&amp;"'!A:A")),0))</f>
        <v/>
      </c>
      <c r="L376" s="11" t="str">
        <f>IF($A376="","",IFERROR(VALUE(MID(TRIM('Template Setup'!$C$4),FIND("-",TRIM('Template Setup'!$C$4))+1,10)),0))</f>
        <v/>
      </c>
      <c r="M376" s="11" t="str">
        <f>IF($A376="","",IFERROR(VALUE(MID(TRIM('Template Setup'!$C$5),FIND("-",TRIM('Template Setup'!$C$5))+1,10)),0))</f>
        <v/>
      </c>
      <c r="N376" s="11" t="str">
        <f>IF($A376="","",IFERROR(VALUE(MID(TRIM('Template Setup'!$C$6),FIND("-",TRIM('Template Setup'!$C$6))+1,10)),0))</f>
        <v/>
      </c>
      <c r="O376" s="11" t="str">
        <f>IF($A376="","",IFERROR(VALUE(MID(TRIM('Template Setup'!$C$7),FIND("-",TRIM('Template Setup'!$C$7))+1,10)),0))</f>
        <v/>
      </c>
      <c r="P376" s="11" t="str">
        <f>IF($A376="","",IFERROR(VALUE(MID(TRIM('Template Setup'!$C$8),FIND("-",TRIM('Template Setup'!$C$8))+1,10)),0))</f>
        <v/>
      </c>
      <c r="Q376" s="9" t="str">
        <f>IF($A376="","",$A376&amp;"-"&amp;'Template Setup'!$C$16)</f>
        <v/>
      </c>
      <c r="R376" s="24" t="str">
        <f t="shared" si="21"/>
        <v/>
      </c>
      <c r="S376" s="24"/>
      <c r="T376" s="24" t="str">
        <f t="shared" si="22"/>
        <v/>
      </c>
      <c r="U376" s="6" t="str">
        <f t="shared" si="24"/>
        <v/>
      </c>
    </row>
    <row r="377" spans="1:21">
      <c r="A377" s="11"/>
      <c r="B377" s="11"/>
      <c r="C377" s="11"/>
      <c r="D377" s="11" t="str">
        <f>IF($A377="","",_xlfn.TEXTJOIN(", ",TRUE,IF($G377&gt;0,'Template Setup'!$C$4,""),IF($H377&gt;0,'Template Setup'!$C$5,""),IF($I377&gt;0,'Template Setup'!$C$6,""),IF($J377&gt;0,'Template Setup'!$C$7,""),IF($K377&gt;0,'Template Setup'!$C$8,"")))</f>
        <v/>
      </c>
      <c r="E377" s="6" t="str" cm="1">
        <f t="array" ref="E377">IF($A377="","",_xlfn.LET(_xlpm.sheets,CHOOSE({1,2,3,4,5},'Template Setup'!$C$4,'Template Setup'!$C$5,'Template Setup'!$C$6,'Template Setup'!$C$7,'Template Setup'!$C$8),_xlpm.nums,CHOOSE({1,2,3,4,5},$L377,$M377,$N377,$O377,$P377),_xlpm.qtys,CHOOSE({1,2,3,4,5},$G377,$H377,$I377,$J377,$K377),_xlpm.validNums,_xlfn._xlws.FILTER(_xlpm.nums,_xlpm.qtys&gt;0),_xlpm.validSheets,_xlfn._xlws.FILTER(_xlpm.sheets,_xlpm.qtys&gt;0),_xlpm.mx,IFERROR(MAX(_xlpm.validNums),0),IF(_xlpm.mx=0,"",INDEX(_xlpm.validSheets,MATCH(_xlpm.mx,_xlpm.validNums,0))&amp;" (+"&amp;$R377&amp;")")))</f>
        <v/>
      </c>
      <c r="F377" s="11" t="str">
        <f t="shared" si="23"/>
        <v/>
      </c>
      <c r="G377" s="12" t="str">
        <f ca="1">IF($A377="","",IFERROR(SUMIF(INDIRECT("'"&amp;'Template Setup'!$C$4&amp;"'!C:C"),$A377,INDIRECT("'"&amp;'Template Setup'!$C$4&amp;"'!A:A")),0))</f>
        <v/>
      </c>
      <c r="H377" s="12" t="str">
        <f ca="1">IF($A377="","",IFERROR(SUMIF(INDIRECT("'"&amp;'Template Setup'!$C$5&amp;"'!C:C"),$A377,INDIRECT("'"&amp;'Template Setup'!$C$5&amp;"'!A:A")),0))</f>
        <v/>
      </c>
      <c r="I377" s="12" t="str">
        <f ca="1">IF($A377="","",IFERROR(SUMIF(INDIRECT("'"&amp;'Template Setup'!$C$6&amp;"'!C:C"),$A377,INDIRECT("'"&amp;'Template Setup'!$C$6&amp;"'!A:A")),0))</f>
        <v/>
      </c>
      <c r="J377" s="12" t="str">
        <f ca="1">IF($A377="","",IFERROR(SUMIF(INDIRECT("'"&amp;'Template Setup'!$C$7&amp;"'!C:C"),$A377,INDIRECT("'"&amp;'Template Setup'!$C$7&amp;"'!A:A")),0))</f>
        <v/>
      </c>
      <c r="K377" s="12" t="str">
        <f ca="1">IF($A377="","",IFERROR(SUMIF(INDIRECT("'"&amp;'Template Setup'!$C$8&amp;"'!C:C"),$A377,INDIRECT("'"&amp;'Template Setup'!$C$8&amp;"'!A:A")),0))</f>
        <v/>
      </c>
      <c r="L377" s="11" t="str">
        <f>IF($A377="","",IFERROR(VALUE(MID(TRIM('Template Setup'!$C$4),FIND("-",TRIM('Template Setup'!$C$4))+1,10)),0))</f>
        <v/>
      </c>
      <c r="M377" s="11" t="str">
        <f>IF($A377="","",IFERROR(VALUE(MID(TRIM('Template Setup'!$C$5),FIND("-",TRIM('Template Setup'!$C$5))+1,10)),0))</f>
        <v/>
      </c>
      <c r="N377" s="11" t="str">
        <f>IF($A377="","",IFERROR(VALUE(MID(TRIM('Template Setup'!$C$6),FIND("-",TRIM('Template Setup'!$C$6))+1,10)),0))</f>
        <v/>
      </c>
      <c r="O377" s="11" t="str">
        <f>IF($A377="","",IFERROR(VALUE(MID(TRIM('Template Setup'!$C$7),FIND("-",TRIM('Template Setup'!$C$7))+1,10)),0))</f>
        <v/>
      </c>
      <c r="P377" s="11" t="str">
        <f>IF($A377="","",IFERROR(VALUE(MID(TRIM('Template Setup'!$C$8),FIND("-",TRIM('Template Setup'!$C$8))+1,10)),0))</f>
        <v/>
      </c>
      <c r="Q377" s="9" t="str">
        <f>IF($A377="","",$A377&amp;"-"&amp;'Template Setup'!$C$16)</f>
        <v/>
      </c>
      <c r="R377" s="24" t="str">
        <f t="shared" si="21"/>
        <v/>
      </c>
      <c r="S377" s="24"/>
      <c r="T377" s="24" t="str">
        <f t="shared" si="22"/>
        <v/>
      </c>
      <c r="U377" s="6" t="str">
        <f t="shared" si="24"/>
        <v/>
      </c>
    </row>
    <row r="378" spans="1:21">
      <c r="A378" s="11"/>
      <c r="B378" s="11"/>
      <c r="C378" s="11"/>
      <c r="D378" s="11" t="str">
        <f>IF($A378="","",_xlfn.TEXTJOIN(", ",TRUE,IF($G378&gt;0,'Template Setup'!$C$4,""),IF($H378&gt;0,'Template Setup'!$C$5,""),IF($I378&gt;0,'Template Setup'!$C$6,""),IF($J378&gt;0,'Template Setup'!$C$7,""),IF($K378&gt;0,'Template Setup'!$C$8,"")))</f>
        <v/>
      </c>
      <c r="E378" s="6" t="str" cm="1">
        <f t="array" ref="E378">IF($A378="","",_xlfn.LET(_xlpm.sheets,CHOOSE({1,2,3,4,5},'Template Setup'!$C$4,'Template Setup'!$C$5,'Template Setup'!$C$6,'Template Setup'!$C$7,'Template Setup'!$C$8),_xlpm.nums,CHOOSE({1,2,3,4,5},$L378,$M378,$N378,$O378,$P378),_xlpm.qtys,CHOOSE({1,2,3,4,5},$G378,$H378,$I378,$J378,$K378),_xlpm.validNums,_xlfn._xlws.FILTER(_xlpm.nums,_xlpm.qtys&gt;0),_xlpm.validSheets,_xlfn._xlws.FILTER(_xlpm.sheets,_xlpm.qtys&gt;0),_xlpm.mx,IFERROR(MAX(_xlpm.validNums),0),IF(_xlpm.mx=0,"",INDEX(_xlpm.validSheets,MATCH(_xlpm.mx,_xlpm.validNums,0))&amp;" (+"&amp;$R378&amp;")")))</f>
        <v/>
      </c>
      <c r="F378" s="11" t="str">
        <f t="shared" si="23"/>
        <v/>
      </c>
      <c r="G378" s="12" t="str">
        <f ca="1">IF($A378="","",IFERROR(SUMIF(INDIRECT("'"&amp;'Template Setup'!$C$4&amp;"'!C:C"),$A378,INDIRECT("'"&amp;'Template Setup'!$C$4&amp;"'!A:A")),0))</f>
        <v/>
      </c>
      <c r="H378" s="12" t="str">
        <f ca="1">IF($A378="","",IFERROR(SUMIF(INDIRECT("'"&amp;'Template Setup'!$C$5&amp;"'!C:C"),$A378,INDIRECT("'"&amp;'Template Setup'!$C$5&amp;"'!A:A")),0))</f>
        <v/>
      </c>
      <c r="I378" s="12" t="str">
        <f ca="1">IF($A378="","",IFERROR(SUMIF(INDIRECT("'"&amp;'Template Setup'!$C$6&amp;"'!C:C"),$A378,INDIRECT("'"&amp;'Template Setup'!$C$6&amp;"'!A:A")),0))</f>
        <v/>
      </c>
      <c r="J378" s="12" t="str">
        <f ca="1">IF($A378="","",IFERROR(SUMIF(INDIRECT("'"&amp;'Template Setup'!$C$7&amp;"'!C:C"),$A378,INDIRECT("'"&amp;'Template Setup'!$C$7&amp;"'!A:A")),0))</f>
        <v/>
      </c>
      <c r="K378" s="12" t="str">
        <f ca="1">IF($A378="","",IFERROR(SUMIF(INDIRECT("'"&amp;'Template Setup'!$C$8&amp;"'!C:C"),$A378,INDIRECT("'"&amp;'Template Setup'!$C$8&amp;"'!A:A")),0))</f>
        <v/>
      </c>
      <c r="L378" s="11" t="str">
        <f>IF($A378="","",IFERROR(VALUE(MID(TRIM('Template Setup'!$C$4),FIND("-",TRIM('Template Setup'!$C$4))+1,10)),0))</f>
        <v/>
      </c>
      <c r="M378" s="11" t="str">
        <f>IF($A378="","",IFERROR(VALUE(MID(TRIM('Template Setup'!$C$5),FIND("-",TRIM('Template Setup'!$C$5))+1,10)),0))</f>
        <v/>
      </c>
      <c r="N378" s="11" t="str">
        <f>IF($A378="","",IFERROR(VALUE(MID(TRIM('Template Setup'!$C$6),FIND("-",TRIM('Template Setup'!$C$6))+1,10)),0))</f>
        <v/>
      </c>
      <c r="O378" s="11" t="str">
        <f>IF($A378="","",IFERROR(VALUE(MID(TRIM('Template Setup'!$C$7),FIND("-",TRIM('Template Setup'!$C$7))+1,10)),0))</f>
        <v/>
      </c>
      <c r="P378" s="11" t="str">
        <f>IF($A378="","",IFERROR(VALUE(MID(TRIM('Template Setup'!$C$8),FIND("-",TRIM('Template Setup'!$C$8))+1,10)),0))</f>
        <v/>
      </c>
      <c r="Q378" s="9" t="str">
        <f>IF($A378="","",$A378&amp;"-"&amp;'Template Setup'!$C$16)</f>
        <v/>
      </c>
      <c r="R378" s="24" t="str">
        <f t="shared" si="21"/>
        <v/>
      </c>
      <c r="S378" s="24"/>
      <c r="T378" s="24" t="str">
        <f t="shared" si="22"/>
        <v/>
      </c>
      <c r="U378" s="6" t="str">
        <f t="shared" si="24"/>
        <v/>
      </c>
    </row>
    <row r="379" spans="1:21">
      <c r="A379" s="11"/>
      <c r="B379" s="11"/>
      <c r="C379" s="11"/>
      <c r="D379" s="11" t="str">
        <f>IF($A379="","",_xlfn.TEXTJOIN(", ",TRUE,IF($G379&gt;0,'Template Setup'!$C$4,""),IF($H379&gt;0,'Template Setup'!$C$5,""),IF($I379&gt;0,'Template Setup'!$C$6,""),IF($J379&gt;0,'Template Setup'!$C$7,""),IF($K379&gt;0,'Template Setup'!$C$8,"")))</f>
        <v/>
      </c>
      <c r="E379" s="6" t="str" cm="1">
        <f t="array" ref="E379">IF($A379="","",_xlfn.LET(_xlpm.sheets,CHOOSE({1,2,3,4,5},'Template Setup'!$C$4,'Template Setup'!$C$5,'Template Setup'!$C$6,'Template Setup'!$C$7,'Template Setup'!$C$8),_xlpm.nums,CHOOSE({1,2,3,4,5},$L379,$M379,$N379,$O379,$P379),_xlpm.qtys,CHOOSE({1,2,3,4,5},$G379,$H379,$I379,$J379,$K379),_xlpm.validNums,_xlfn._xlws.FILTER(_xlpm.nums,_xlpm.qtys&gt;0),_xlpm.validSheets,_xlfn._xlws.FILTER(_xlpm.sheets,_xlpm.qtys&gt;0),_xlpm.mx,IFERROR(MAX(_xlpm.validNums),0),IF(_xlpm.mx=0,"",INDEX(_xlpm.validSheets,MATCH(_xlpm.mx,_xlpm.validNums,0))&amp;" (+"&amp;$R379&amp;")")))</f>
        <v/>
      </c>
      <c r="F379" s="11" t="str">
        <f t="shared" si="23"/>
        <v/>
      </c>
      <c r="G379" s="12" t="str">
        <f ca="1">IF($A379="","",IFERROR(SUMIF(INDIRECT("'"&amp;'Template Setup'!$C$4&amp;"'!C:C"),$A379,INDIRECT("'"&amp;'Template Setup'!$C$4&amp;"'!A:A")),0))</f>
        <v/>
      </c>
      <c r="H379" s="12" t="str">
        <f ca="1">IF($A379="","",IFERROR(SUMIF(INDIRECT("'"&amp;'Template Setup'!$C$5&amp;"'!C:C"),$A379,INDIRECT("'"&amp;'Template Setup'!$C$5&amp;"'!A:A")),0))</f>
        <v/>
      </c>
      <c r="I379" s="12" t="str">
        <f ca="1">IF($A379="","",IFERROR(SUMIF(INDIRECT("'"&amp;'Template Setup'!$C$6&amp;"'!C:C"),$A379,INDIRECT("'"&amp;'Template Setup'!$C$6&amp;"'!A:A")),0))</f>
        <v/>
      </c>
      <c r="J379" s="12" t="str">
        <f ca="1">IF($A379="","",IFERROR(SUMIF(INDIRECT("'"&amp;'Template Setup'!$C$7&amp;"'!C:C"),$A379,INDIRECT("'"&amp;'Template Setup'!$C$7&amp;"'!A:A")),0))</f>
        <v/>
      </c>
      <c r="K379" s="12" t="str">
        <f ca="1">IF($A379="","",IFERROR(SUMIF(INDIRECT("'"&amp;'Template Setup'!$C$8&amp;"'!C:C"),$A379,INDIRECT("'"&amp;'Template Setup'!$C$8&amp;"'!A:A")),0))</f>
        <v/>
      </c>
      <c r="L379" s="11" t="str">
        <f>IF($A379="","",IFERROR(VALUE(MID(TRIM('Template Setup'!$C$4),FIND("-",TRIM('Template Setup'!$C$4))+1,10)),0))</f>
        <v/>
      </c>
      <c r="M379" s="11" t="str">
        <f>IF($A379="","",IFERROR(VALUE(MID(TRIM('Template Setup'!$C$5),FIND("-",TRIM('Template Setup'!$C$5))+1,10)),0))</f>
        <v/>
      </c>
      <c r="N379" s="11" t="str">
        <f>IF($A379="","",IFERROR(VALUE(MID(TRIM('Template Setup'!$C$6),FIND("-",TRIM('Template Setup'!$C$6))+1,10)),0))</f>
        <v/>
      </c>
      <c r="O379" s="11" t="str">
        <f>IF($A379="","",IFERROR(VALUE(MID(TRIM('Template Setup'!$C$7),FIND("-",TRIM('Template Setup'!$C$7))+1,10)),0))</f>
        <v/>
      </c>
      <c r="P379" s="11" t="str">
        <f>IF($A379="","",IFERROR(VALUE(MID(TRIM('Template Setup'!$C$8),FIND("-",TRIM('Template Setup'!$C$8))+1,10)),0))</f>
        <v/>
      </c>
      <c r="Q379" s="9" t="str">
        <f>IF($A379="","",$A379&amp;"-"&amp;'Template Setup'!$C$16)</f>
        <v/>
      </c>
      <c r="R379" s="24" t="str">
        <f t="shared" si="21"/>
        <v/>
      </c>
      <c r="S379" s="24"/>
      <c r="T379" s="24" t="str">
        <f t="shared" si="22"/>
        <v/>
      </c>
      <c r="U379" s="6" t="str">
        <f t="shared" si="24"/>
        <v/>
      </c>
    </row>
    <row r="380" spans="1:21">
      <c r="A380" s="11"/>
      <c r="B380" s="11"/>
      <c r="C380" s="11"/>
      <c r="D380" s="11" t="str">
        <f>IF($A380="","",_xlfn.TEXTJOIN(", ",TRUE,IF($G380&gt;0,'Template Setup'!$C$4,""),IF($H380&gt;0,'Template Setup'!$C$5,""),IF($I380&gt;0,'Template Setup'!$C$6,""),IF($J380&gt;0,'Template Setup'!$C$7,""),IF($K380&gt;0,'Template Setup'!$C$8,"")))</f>
        <v/>
      </c>
      <c r="E380" s="6" t="str" cm="1">
        <f t="array" ref="E380">IF($A380="","",_xlfn.LET(_xlpm.sheets,CHOOSE({1,2,3,4,5},'Template Setup'!$C$4,'Template Setup'!$C$5,'Template Setup'!$C$6,'Template Setup'!$C$7,'Template Setup'!$C$8),_xlpm.nums,CHOOSE({1,2,3,4,5},$L380,$M380,$N380,$O380,$P380),_xlpm.qtys,CHOOSE({1,2,3,4,5},$G380,$H380,$I380,$J380,$K380),_xlpm.validNums,_xlfn._xlws.FILTER(_xlpm.nums,_xlpm.qtys&gt;0),_xlpm.validSheets,_xlfn._xlws.FILTER(_xlpm.sheets,_xlpm.qtys&gt;0),_xlpm.mx,IFERROR(MAX(_xlpm.validNums),0),IF(_xlpm.mx=0,"",INDEX(_xlpm.validSheets,MATCH(_xlpm.mx,_xlpm.validNums,0))&amp;" (+"&amp;$R380&amp;")")))</f>
        <v/>
      </c>
      <c r="F380" s="11" t="str">
        <f t="shared" si="23"/>
        <v/>
      </c>
      <c r="G380" s="12" t="str">
        <f ca="1">IF($A380="","",IFERROR(SUMIF(INDIRECT("'"&amp;'Template Setup'!$C$4&amp;"'!C:C"),$A380,INDIRECT("'"&amp;'Template Setup'!$C$4&amp;"'!A:A")),0))</f>
        <v/>
      </c>
      <c r="H380" s="12" t="str">
        <f ca="1">IF($A380="","",IFERROR(SUMIF(INDIRECT("'"&amp;'Template Setup'!$C$5&amp;"'!C:C"),$A380,INDIRECT("'"&amp;'Template Setup'!$C$5&amp;"'!A:A")),0))</f>
        <v/>
      </c>
      <c r="I380" s="12" t="str">
        <f ca="1">IF($A380="","",IFERROR(SUMIF(INDIRECT("'"&amp;'Template Setup'!$C$6&amp;"'!C:C"),$A380,INDIRECT("'"&amp;'Template Setup'!$C$6&amp;"'!A:A")),0))</f>
        <v/>
      </c>
      <c r="J380" s="12" t="str">
        <f ca="1">IF($A380="","",IFERROR(SUMIF(INDIRECT("'"&amp;'Template Setup'!$C$7&amp;"'!C:C"),$A380,INDIRECT("'"&amp;'Template Setup'!$C$7&amp;"'!A:A")),0))</f>
        <v/>
      </c>
      <c r="K380" s="12" t="str">
        <f ca="1">IF($A380="","",IFERROR(SUMIF(INDIRECT("'"&amp;'Template Setup'!$C$8&amp;"'!C:C"),$A380,INDIRECT("'"&amp;'Template Setup'!$C$8&amp;"'!A:A")),0))</f>
        <v/>
      </c>
      <c r="L380" s="11" t="str">
        <f>IF($A380="","",IFERROR(VALUE(MID(TRIM('Template Setup'!$C$4),FIND("-",TRIM('Template Setup'!$C$4))+1,10)),0))</f>
        <v/>
      </c>
      <c r="M380" s="11" t="str">
        <f>IF($A380="","",IFERROR(VALUE(MID(TRIM('Template Setup'!$C$5),FIND("-",TRIM('Template Setup'!$C$5))+1,10)),0))</f>
        <v/>
      </c>
      <c r="N380" s="11" t="str">
        <f>IF($A380="","",IFERROR(VALUE(MID(TRIM('Template Setup'!$C$6),FIND("-",TRIM('Template Setup'!$C$6))+1,10)),0))</f>
        <v/>
      </c>
      <c r="O380" s="11" t="str">
        <f>IF($A380="","",IFERROR(VALUE(MID(TRIM('Template Setup'!$C$7),FIND("-",TRIM('Template Setup'!$C$7))+1,10)),0))</f>
        <v/>
      </c>
      <c r="P380" s="11" t="str">
        <f>IF($A380="","",IFERROR(VALUE(MID(TRIM('Template Setup'!$C$8),FIND("-",TRIM('Template Setup'!$C$8))+1,10)),0))</f>
        <v/>
      </c>
      <c r="Q380" s="9" t="str">
        <f>IF($A380="","",$A380&amp;"-"&amp;'Template Setup'!$C$16)</f>
        <v/>
      </c>
      <c r="R380" s="24" t="str">
        <f t="shared" si="21"/>
        <v/>
      </c>
      <c r="S380" s="24"/>
      <c r="T380" s="24" t="str">
        <f t="shared" si="22"/>
        <v/>
      </c>
      <c r="U380" s="6" t="str">
        <f t="shared" si="24"/>
        <v/>
      </c>
    </row>
    <row r="381" spans="1:21">
      <c r="A381" s="11"/>
      <c r="B381" s="11"/>
      <c r="C381" s="11"/>
      <c r="D381" s="11" t="str">
        <f>IF($A381="","",_xlfn.TEXTJOIN(", ",TRUE,IF($G381&gt;0,'Template Setup'!$C$4,""),IF($H381&gt;0,'Template Setup'!$C$5,""),IF($I381&gt;0,'Template Setup'!$C$6,""),IF($J381&gt;0,'Template Setup'!$C$7,""),IF($K381&gt;0,'Template Setup'!$C$8,"")))</f>
        <v/>
      </c>
      <c r="E381" s="6" t="str" cm="1">
        <f t="array" ref="E381">IF($A381="","",_xlfn.LET(_xlpm.sheets,CHOOSE({1,2,3,4,5},'Template Setup'!$C$4,'Template Setup'!$C$5,'Template Setup'!$C$6,'Template Setup'!$C$7,'Template Setup'!$C$8),_xlpm.nums,CHOOSE({1,2,3,4,5},$L381,$M381,$N381,$O381,$P381),_xlpm.qtys,CHOOSE({1,2,3,4,5},$G381,$H381,$I381,$J381,$K381),_xlpm.validNums,_xlfn._xlws.FILTER(_xlpm.nums,_xlpm.qtys&gt;0),_xlpm.validSheets,_xlfn._xlws.FILTER(_xlpm.sheets,_xlpm.qtys&gt;0),_xlpm.mx,IFERROR(MAX(_xlpm.validNums),0),IF(_xlpm.mx=0,"",INDEX(_xlpm.validSheets,MATCH(_xlpm.mx,_xlpm.validNums,0))&amp;" (+"&amp;$R381&amp;")")))</f>
        <v/>
      </c>
      <c r="F381" s="11" t="str">
        <f t="shared" si="23"/>
        <v/>
      </c>
      <c r="G381" s="12" t="str">
        <f ca="1">IF($A381="","",IFERROR(SUMIF(INDIRECT("'"&amp;'Template Setup'!$C$4&amp;"'!C:C"),$A381,INDIRECT("'"&amp;'Template Setup'!$C$4&amp;"'!A:A")),0))</f>
        <v/>
      </c>
      <c r="H381" s="12" t="str">
        <f ca="1">IF($A381="","",IFERROR(SUMIF(INDIRECT("'"&amp;'Template Setup'!$C$5&amp;"'!C:C"),$A381,INDIRECT("'"&amp;'Template Setup'!$C$5&amp;"'!A:A")),0))</f>
        <v/>
      </c>
      <c r="I381" s="12" t="str">
        <f ca="1">IF($A381="","",IFERROR(SUMIF(INDIRECT("'"&amp;'Template Setup'!$C$6&amp;"'!C:C"),$A381,INDIRECT("'"&amp;'Template Setup'!$C$6&amp;"'!A:A")),0))</f>
        <v/>
      </c>
      <c r="J381" s="12" t="str">
        <f ca="1">IF($A381="","",IFERROR(SUMIF(INDIRECT("'"&amp;'Template Setup'!$C$7&amp;"'!C:C"),$A381,INDIRECT("'"&amp;'Template Setup'!$C$7&amp;"'!A:A")),0))</f>
        <v/>
      </c>
      <c r="K381" s="12" t="str">
        <f ca="1">IF($A381="","",IFERROR(SUMIF(INDIRECT("'"&amp;'Template Setup'!$C$8&amp;"'!C:C"),$A381,INDIRECT("'"&amp;'Template Setup'!$C$8&amp;"'!A:A")),0))</f>
        <v/>
      </c>
      <c r="L381" s="11" t="str">
        <f>IF($A381="","",IFERROR(VALUE(MID(TRIM('Template Setup'!$C$4),FIND("-",TRIM('Template Setup'!$C$4))+1,10)),0))</f>
        <v/>
      </c>
      <c r="M381" s="11" t="str">
        <f>IF($A381="","",IFERROR(VALUE(MID(TRIM('Template Setup'!$C$5),FIND("-",TRIM('Template Setup'!$C$5))+1,10)),0))</f>
        <v/>
      </c>
      <c r="N381" s="11" t="str">
        <f>IF($A381="","",IFERROR(VALUE(MID(TRIM('Template Setup'!$C$6),FIND("-",TRIM('Template Setup'!$C$6))+1,10)),0))</f>
        <v/>
      </c>
      <c r="O381" s="11" t="str">
        <f>IF($A381="","",IFERROR(VALUE(MID(TRIM('Template Setup'!$C$7),FIND("-",TRIM('Template Setup'!$C$7))+1,10)),0))</f>
        <v/>
      </c>
      <c r="P381" s="11" t="str">
        <f>IF($A381="","",IFERROR(VALUE(MID(TRIM('Template Setup'!$C$8),FIND("-",TRIM('Template Setup'!$C$8))+1,10)),0))</f>
        <v/>
      </c>
      <c r="Q381" s="9" t="str">
        <f>IF($A381="","",$A381&amp;"-"&amp;'Template Setup'!$C$16)</f>
        <v/>
      </c>
      <c r="R381" s="24" t="str">
        <f t="shared" si="21"/>
        <v/>
      </c>
      <c r="S381" s="24"/>
      <c r="T381" s="24" t="str">
        <f t="shared" si="22"/>
        <v/>
      </c>
      <c r="U381" s="6" t="str">
        <f t="shared" si="24"/>
        <v/>
      </c>
    </row>
    <row r="382" spans="1:21">
      <c r="A382" s="11"/>
      <c r="B382" s="11"/>
      <c r="C382" s="11"/>
      <c r="D382" s="11" t="str">
        <f>IF($A382="","",_xlfn.TEXTJOIN(", ",TRUE,IF($G382&gt;0,'Template Setup'!$C$4,""),IF($H382&gt;0,'Template Setup'!$C$5,""),IF($I382&gt;0,'Template Setup'!$C$6,""),IF($J382&gt;0,'Template Setup'!$C$7,""),IF($K382&gt;0,'Template Setup'!$C$8,"")))</f>
        <v/>
      </c>
      <c r="E382" s="6" t="str" cm="1">
        <f t="array" ref="E382">IF($A382="","",_xlfn.LET(_xlpm.sheets,CHOOSE({1,2,3,4,5},'Template Setup'!$C$4,'Template Setup'!$C$5,'Template Setup'!$C$6,'Template Setup'!$C$7,'Template Setup'!$C$8),_xlpm.nums,CHOOSE({1,2,3,4,5},$L382,$M382,$N382,$O382,$P382),_xlpm.qtys,CHOOSE({1,2,3,4,5},$G382,$H382,$I382,$J382,$K382),_xlpm.validNums,_xlfn._xlws.FILTER(_xlpm.nums,_xlpm.qtys&gt;0),_xlpm.validSheets,_xlfn._xlws.FILTER(_xlpm.sheets,_xlpm.qtys&gt;0),_xlpm.mx,IFERROR(MAX(_xlpm.validNums),0),IF(_xlpm.mx=0,"",INDEX(_xlpm.validSheets,MATCH(_xlpm.mx,_xlpm.validNums,0))&amp;" (+"&amp;$R382&amp;")")))</f>
        <v/>
      </c>
      <c r="F382" s="11" t="str">
        <f t="shared" si="23"/>
        <v/>
      </c>
      <c r="G382" s="12" t="str">
        <f ca="1">IF($A382="","",IFERROR(SUMIF(INDIRECT("'"&amp;'Template Setup'!$C$4&amp;"'!C:C"),$A382,INDIRECT("'"&amp;'Template Setup'!$C$4&amp;"'!A:A")),0))</f>
        <v/>
      </c>
      <c r="H382" s="12" t="str">
        <f ca="1">IF($A382="","",IFERROR(SUMIF(INDIRECT("'"&amp;'Template Setup'!$C$5&amp;"'!C:C"),$A382,INDIRECT("'"&amp;'Template Setup'!$C$5&amp;"'!A:A")),0))</f>
        <v/>
      </c>
      <c r="I382" s="12" t="str">
        <f ca="1">IF($A382="","",IFERROR(SUMIF(INDIRECT("'"&amp;'Template Setup'!$C$6&amp;"'!C:C"),$A382,INDIRECT("'"&amp;'Template Setup'!$C$6&amp;"'!A:A")),0))</f>
        <v/>
      </c>
      <c r="J382" s="12" t="str">
        <f ca="1">IF($A382="","",IFERROR(SUMIF(INDIRECT("'"&amp;'Template Setup'!$C$7&amp;"'!C:C"),$A382,INDIRECT("'"&amp;'Template Setup'!$C$7&amp;"'!A:A")),0))</f>
        <v/>
      </c>
      <c r="K382" s="12" t="str">
        <f ca="1">IF($A382="","",IFERROR(SUMIF(INDIRECT("'"&amp;'Template Setup'!$C$8&amp;"'!C:C"),$A382,INDIRECT("'"&amp;'Template Setup'!$C$8&amp;"'!A:A")),0))</f>
        <v/>
      </c>
      <c r="L382" s="11" t="str">
        <f>IF($A382="","",IFERROR(VALUE(MID(TRIM('Template Setup'!$C$4),FIND("-",TRIM('Template Setup'!$C$4))+1,10)),0))</f>
        <v/>
      </c>
      <c r="M382" s="11" t="str">
        <f>IF($A382="","",IFERROR(VALUE(MID(TRIM('Template Setup'!$C$5),FIND("-",TRIM('Template Setup'!$C$5))+1,10)),0))</f>
        <v/>
      </c>
      <c r="N382" s="11" t="str">
        <f>IF($A382="","",IFERROR(VALUE(MID(TRIM('Template Setup'!$C$6),FIND("-",TRIM('Template Setup'!$C$6))+1,10)),0))</f>
        <v/>
      </c>
      <c r="O382" s="11" t="str">
        <f>IF($A382="","",IFERROR(VALUE(MID(TRIM('Template Setup'!$C$7),FIND("-",TRIM('Template Setup'!$C$7))+1,10)),0))</f>
        <v/>
      </c>
      <c r="P382" s="11" t="str">
        <f>IF($A382="","",IFERROR(VALUE(MID(TRIM('Template Setup'!$C$8),FIND("-",TRIM('Template Setup'!$C$8))+1,10)),0))</f>
        <v/>
      </c>
      <c r="Q382" s="9" t="str">
        <f>IF($A382="","",$A382&amp;"-"&amp;'Template Setup'!$C$16)</f>
        <v/>
      </c>
      <c r="R382" s="24" t="str">
        <f t="shared" si="21"/>
        <v/>
      </c>
      <c r="S382" s="24"/>
      <c r="T382" s="24" t="str">
        <f t="shared" si="22"/>
        <v/>
      </c>
      <c r="U382" s="6" t="str">
        <f t="shared" si="24"/>
        <v/>
      </c>
    </row>
    <row r="383" spans="1:21">
      <c r="A383" s="11"/>
      <c r="B383" s="11"/>
      <c r="C383" s="11"/>
      <c r="D383" s="11" t="str">
        <f>IF($A383="","",_xlfn.TEXTJOIN(", ",TRUE,IF($G383&gt;0,'Template Setup'!$C$4,""),IF($H383&gt;0,'Template Setup'!$C$5,""),IF($I383&gt;0,'Template Setup'!$C$6,""),IF($J383&gt;0,'Template Setup'!$C$7,""),IF($K383&gt;0,'Template Setup'!$C$8,"")))</f>
        <v/>
      </c>
      <c r="E383" s="6" t="str" cm="1">
        <f t="array" ref="E383">IF($A383="","",_xlfn.LET(_xlpm.sheets,CHOOSE({1,2,3,4,5},'Template Setup'!$C$4,'Template Setup'!$C$5,'Template Setup'!$C$6,'Template Setup'!$C$7,'Template Setup'!$C$8),_xlpm.nums,CHOOSE({1,2,3,4,5},$L383,$M383,$N383,$O383,$P383),_xlpm.qtys,CHOOSE({1,2,3,4,5},$G383,$H383,$I383,$J383,$K383),_xlpm.validNums,_xlfn._xlws.FILTER(_xlpm.nums,_xlpm.qtys&gt;0),_xlpm.validSheets,_xlfn._xlws.FILTER(_xlpm.sheets,_xlpm.qtys&gt;0),_xlpm.mx,IFERROR(MAX(_xlpm.validNums),0),IF(_xlpm.mx=0,"",INDEX(_xlpm.validSheets,MATCH(_xlpm.mx,_xlpm.validNums,0))&amp;" (+"&amp;$R383&amp;")")))</f>
        <v/>
      </c>
      <c r="F383" s="11" t="str">
        <f t="shared" si="23"/>
        <v/>
      </c>
      <c r="G383" s="12" t="str">
        <f ca="1">IF($A383="","",IFERROR(SUMIF(INDIRECT("'"&amp;'Template Setup'!$C$4&amp;"'!C:C"),$A383,INDIRECT("'"&amp;'Template Setup'!$C$4&amp;"'!A:A")),0))</f>
        <v/>
      </c>
      <c r="H383" s="12" t="str">
        <f ca="1">IF($A383="","",IFERROR(SUMIF(INDIRECT("'"&amp;'Template Setup'!$C$5&amp;"'!C:C"),$A383,INDIRECT("'"&amp;'Template Setup'!$C$5&amp;"'!A:A")),0))</f>
        <v/>
      </c>
      <c r="I383" s="12" t="str">
        <f ca="1">IF($A383="","",IFERROR(SUMIF(INDIRECT("'"&amp;'Template Setup'!$C$6&amp;"'!C:C"),$A383,INDIRECT("'"&amp;'Template Setup'!$C$6&amp;"'!A:A")),0))</f>
        <v/>
      </c>
      <c r="J383" s="12" t="str">
        <f ca="1">IF($A383="","",IFERROR(SUMIF(INDIRECT("'"&amp;'Template Setup'!$C$7&amp;"'!C:C"),$A383,INDIRECT("'"&amp;'Template Setup'!$C$7&amp;"'!A:A")),0))</f>
        <v/>
      </c>
      <c r="K383" s="12" t="str">
        <f ca="1">IF($A383="","",IFERROR(SUMIF(INDIRECT("'"&amp;'Template Setup'!$C$8&amp;"'!C:C"),$A383,INDIRECT("'"&amp;'Template Setup'!$C$8&amp;"'!A:A")),0))</f>
        <v/>
      </c>
      <c r="L383" s="11" t="str">
        <f>IF($A383="","",IFERROR(VALUE(MID(TRIM('Template Setup'!$C$4),FIND("-",TRIM('Template Setup'!$C$4))+1,10)),0))</f>
        <v/>
      </c>
      <c r="M383" s="11" t="str">
        <f>IF($A383="","",IFERROR(VALUE(MID(TRIM('Template Setup'!$C$5),FIND("-",TRIM('Template Setup'!$C$5))+1,10)),0))</f>
        <v/>
      </c>
      <c r="N383" s="11" t="str">
        <f>IF($A383="","",IFERROR(VALUE(MID(TRIM('Template Setup'!$C$6),FIND("-",TRIM('Template Setup'!$C$6))+1,10)),0))</f>
        <v/>
      </c>
      <c r="O383" s="11" t="str">
        <f>IF($A383="","",IFERROR(VALUE(MID(TRIM('Template Setup'!$C$7),FIND("-",TRIM('Template Setup'!$C$7))+1,10)),0))</f>
        <v/>
      </c>
      <c r="P383" s="11" t="str">
        <f>IF($A383="","",IFERROR(VALUE(MID(TRIM('Template Setup'!$C$8),FIND("-",TRIM('Template Setup'!$C$8))+1,10)),0))</f>
        <v/>
      </c>
      <c r="Q383" s="9" t="str">
        <f>IF($A383="","",$A383&amp;"-"&amp;'Template Setup'!$C$16)</f>
        <v/>
      </c>
      <c r="R383" s="24" t="str">
        <f t="shared" si="21"/>
        <v/>
      </c>
      <c r="S383" s="24"/>
      <c r="T383" s="24" t="str">
        <f t="shared" si="22"/>
        <v/>
      </c>
      <c r="U383" s="6" t="str">
        <f t="shared" si="24"/>
        <v/>
      </c>
    </row>
    <row r="384" spans="1:21">
      <c r="A384" s="11"/>
      <c r="B384" s="11"/>
      <c r="C384" s="11"/>
      <c r="D384" s="11" t="str">
        <f>IF($A384="","",_xlfn.TEXTJOIN(", ",TRUE,IF($G384&gt;0,'Template Setup'!$C$4,""),IF($H384&gt;0,'Template Setup'!$C$5,""),IF($I384&gt;0,'Template Setup'!$C$6,""),IF($J384&gt;0,'Template Setup'!$C$7,""),IF($K384&gt;0,'Template Setup'!$C$8,"")))</f>
        <v/>
      </c>
      <c r="E384" s="6" t="str" cm="1">
        <f t="array" ref="E384">IF($A384="","",_xlfn.LET(_xlpm.sheets,CHOOSE({1,2,3,4,5},'Template Setup'!$C$4,'Template Setup'!$C$5,'Template Setup'!$C$6,'Template Setup'!$C$7,'Template Setup'!$C$8),_xlpm.nums,CHOOSE({1,2,3,4,5},$L384,$M384,$N384,$O384,$P384),_xlpm.qtys,CHOOSE({1,2,3,4,5},$G384,$H384,$I384,$J384,$K384),_xlpm.validNums,_xlfn._xlws.FILTER(_xlpm.nums,_xlpm.qtys&gt;0),_xlpm.validSheets,_xlfn._xlws.FILTER(_xlpm.sheets,_xlpm.qtys&gt;0),_xlpm.mx,IFERROR(MAX(_xlpm.validNums),0),IF(_xlpm.mx=0,"",INDEX(_xlpm.validSheets,MATCH(_xlpm.mx,_xlpm.validNums,0))&amp;" (+"&amp;$R384&amp;")")))</f>
        <v/>
      </c>
      <c r="F384" s="11" t="str">
        <f t="shared" si="23"/>
        <v/>
      </c>
      <c r="G384" s="12" t="str">
        <f ca="1">IF($A384="","",IFERROR(SUMIF(INDIRECT("'"&amp;'Template Setup'!$C$4&amp;"'!C:C"),$A384,INDIRECT("'"&amp;'Template Setup'!$C$4&amp;"'!A:A")),0))</f>
        <v/>
      </c>
      <c r="H384" s="12" t="str">
        <f ca="1">IF($A384="","",IFERROR(SUMIF(INDIRECT("'"&amp;'Template Setup'!$C$5&amp;"'!C:C"),$A384,INDIRECT("'"&amp;'Template Setup'!$C$5&amp;"'!A:A")),0))</f>
        <v/>
      </c>
      <c r="I384" s="12" t="str">
        <f ca="1">IF($A384="","",IFERROR(SUMIF(INDIRECT("'"&amp;'Template Setup'!$C$6&amp;"'!C:C"),$A384,INDIRECT("'"&amp;'Template Setup'!$C$6&amp;"'!A:A")),0))</f>
        <v/>
      </c>
      <c r="J384" s="12" t="str">
        <f ca="1">IF($A384="","",IFERROR(SUMIF(INDIRECT("'"&amp;'Template Setup'!$C$7&amp;"'!C:C"),$A384,INDIRECT("'"&amp;'Template Setup'!$C$7&amp;"'!A:A")),0))</f>
        <v/>
      </c>
      <c r="K384" s="12" t="str">
        <f ca="1">IF($A384="","",IFERROR(SUMIF(INDIRECT("'"&amp;'Template Setup'!$C$8&amp;"'!C:C"),$A384,INDIRECT("'"&amp;'Template Setup'!$C$8&amp;"'!A:A")),0))</f>
        <v/>
      </c>
      <c r="L384" s="11" t="str">
        <f>IF($A384="","",IFERROR(VALUE(MID(TRIM('Template Setup'!$C$4),FIND("-",TRIM('Template Setup'!$C$4))+1,10)),0))</f>
        <v/>
      </c>
      <c r="M384" s="11" t="str">
        <f>IF($A384="","",IFERROR(VALUE(MID(TRIM('Template Setup'!$C$5),FIND("-",TRIM('Template Setup'!$C$5))+1,10)),0))</f>
        <v/>
      </c>
      <c r="N384" s="11" t="str">
        <f>IF($A384="","",IFERROR(VALUE(MID(TRIM('Template Setup'!$C$6),FIND("-",TRIM('Template Setup'!$C$6))+1,10)),0))</f>
        <v/>
      </c>
      <c r="O384" s="11" t="str">
        <f>IF($A384="","",IFERROR(VALUE(MID(TRIM('Template Setup'!$C$7),FIND("-",TRIM('Template Setup'!$C$7))+1,10)),0))</f>
        <v/>
      </c>
      <c r="P384" s="11" t="str">
        <f>IF($A384="","",IFERROR(VALUE(MID(TRIM('Template Setup'!$C$8),FIND("-",TRIM('Template Setup'!$C$8))+1,10)),0))</f>
        <v/>
      </c>
      <c r="Q384" s="9" t="str">
        <f>IF($A384="","",$A384&amp;"-"&amp;'Template Setup'!$C$16)</f>
        <v/>
      </c>
      <c r="R384" s="24" t="str">
        <f t="shared" si="21"/>
        <v/>
      </c>
      <c r="S384" s="24"/>
      <c r="T384" s="24" t="str">
        <f t="shared" si="22"/>
        <v/>
      </c>
      <c r="U384" s="6" t="str">
        <f t="shared" si="24"/>
        <v/>
      </c>
    </row>
    <row r="385" spans="1:21">
      <c r="A385" s="11"/>
      <c r="B385" s="11"/>
      <c r="C385" s="11"/>
      <c r="D385" s="11" t="str">
        <f>IF($A385="","",_xlfn.TEXTJOIN(", ",TRUE,IF($G385&gt;0,'Template Setup'!$C$4,""),IF($H385&gt;0,'Template Setup'!$C$5,""),IF($I385&gt;0,'Template Setup'!$C$6,""),IF($J385&gt;0,'Template Setup'!$C$7,""),IF($K385&gt;0,'Template Setup'!$C$8,"")))</f>
        <v/>
      </c>
      <c r="E385" s="6" t="str" cm="1">
        <f t="array" ref="E385">IF($A385="","",_xlfn.LET(_xlpm.sheets,CHOOSE({1,2,3,4,5},'Template Setup'!$C$4,'Template Setup'!$C$5,'Template Setup'!$C$6,'Template Setup'!$C$7,'Template Setup'!$C$8),_xlpm.nums,CHOOSE({1,2,3,4,5},$L385,$M385,$N385,$O385,$P385),_xlpm.qtys,CHOOSE({1,2,3,4,5},$G385,$H385,$I385,$J385,$K385),_xlpm.validNums,_xlfn._xlws.FILTER(_xlpm.nums,_xlpm.qtys&gt;0),_xlpm.validSheets,_xlfn._xlws.FILTER(_xlpm.sheets,_xlpm.qtys&gt;0),_xlpm.mx,IFERROR(MAX(_xlpm.validNums),0),IF(_xlpm.mx=0,"",INDEX(_xlpm.validSheets,MATCH(_xlpm.mx,_xlpm.validNums,0))&amp;" (+"&amp;$R385&amp;")")))</f>
        <v/>
      </c>
      <c r="F385" s="11" t="str">
        <f t="shared" si="23"/>
        <v/>
      </c>
      <c r="G385" s="12" t="str">
        <f ca="1">IF($A385="","",IFERROR(SUMIF(INDIRECT("'"&amp;'Template Setup'!$C$4&amp;"'!C:C"),$A385,INDIRECT("'"&amp;'Template Setup'!$C$4&amp;"'!A:A")),0))</f>
        <v/>
      </c>
      <c r="H385" s="12" t="str">
        <f ca="1">IF($A385="","",IFERROR(SUMIF(INDIRECT("'"&amp;'Template Setup'!$C$5&amp;"'!C:C"),$A385,INDIRECT("'"&amp;'Template Setup'!$C$5&amp;"'!A:A")),0))</f>
        <v/>
      </c>
      <c r="I385" s="12" t="str">
        <f ca="1">IF($A385="","",IFERROR(SUMIF(INDIRECT("'"&amp;'Template Setup'!$C$6&amp;"'!C:C"),$A385,INDIRECT("'"&amp;'Template Setup'!$C$6&amp;"'!A:A")),0))</f>
        <v/>
      </c>
      <c r="J385" s="12" t="str">
        <f ca="1">IF($A385="","",IFERROR(SUMIF(INDIRECT("'"&amp;'Template Setup'!$C$7&amp;"'!C:C"),$A385,INDIRECT("'"&amp;'Template Setup'!$C$7&amp;"'!A:A")),0))</f>
        <v/>
      </c>
      <c r="K385" s="12" t="str">
        <f ca="1">IF($A385="","",IFERROR(SUMIF(INDIRECT("'"&amp;'Template Setup'!$C$8&amp;"'!C:C"),$A385,INDIRECT("'"&amp;'Template Setup'!$C$8&amp;"'!A:A")),0))</f>
        <v/>
      </c>
      <c r="L385" s="11" t="str">
        <f>IF($A385="","",IFERROR(VALUE(MID(TRIM('Template Setup'!$C$4),FIND("-",TRIM('Template Setup'!$C$4))+1,10)),0))</f>
        <v/>
      </c>
      <c r="M385" s="11" t="str">
        <f>IF($A385="","",IFERROR(VALUE(MID(TRIM('Template Setup'!$C$5),FIND("-",TRIM('Template Setup'!$C$5))+1,10)),0))</f>
        <v/>
      </c>
      <c r="N385" s="11" t="str">
        <f>IF($A385="","",IFERROR(VALUE(MID(TRIM('Template Setup'!$C$6),FIND("-",TRIM('Template Setup'!$C$6))+1,10)),0))</f>
        <v/>
      </c>
      <c r="O385" s="11" t="str">
        <f>IF($A385="","",IFERROR(VALUE(MID(TRIM('Template Setup'!$C$7),FIND("-",TRIM('Template Setup'!$C$7))+1,10)),0))</f>
        <v/>
      </c>
      <c r="P385" s="11" t="str">
        <f>IF($A385="","",IFERROR(VALUE(MID(TRIM('Template Setup'!$C$8),FIND("-",TRIM('Template Setup'!$C$8))+1,10)),0))</f>
        <v/>
      </c>
      <c r="Q385" s="9" t="str">
        <f>IF($A385="","",$A385&amp;"-"&amp;'Template Setup'!$C$16)</f>
        <v/>
      </c>
      <c r="R385" s="24" t="str">
        <f t="shared" si="21"/>
        <v/>
      </c>
      <c r="S385" s="24"/>
      <c r="T385" s="24" t="str">
        <f t="shared" si="22"/>
        <v/>
      </c>
      <c r="U385" s="6" t="str">
        <f t="shared" si="24"/>
        <v/>
      </c>
    </row>
    <row r="386" spans="1:21">
      <c r="A386" s="11"/>
      <c r="B386" s="11"/>
      <c r="C386" s="11"/>
      <c r="D386" s="11" t="str">
        <f>IF($A386="","",_xlfn.TEXTJOIN(", ",TRUE,IF($G386&gt;0,'Template Setup'!$C$4,""),IF($H386&gt;0,'Template Setup'!$C$5,""),IF($I386&gt;0,'Template Setup'!$C$6,""),IF($J386&gt;0,'Template Setup'!$C$7,""),IF($K386&gt;0,'Template Setup'!$C$8,"")))</f>
        <v/>
      </c>
      <c r="E386" s="6" t="str" cm="1">
        <f t="array" ref="E386">IF($A386="","",_xlfn.LET(_xlpm.sheets,CHOOSE({1,2,3,4,5},'Template Setup'!$C$4,'Template Setup'!$C$5,'Template Setup'!$C$6,'Template Setup'!$C$7,'Template Setup'!$C$8),_xlpm.nums,CHOOSE({1,2,3,4,5},$L386,$M386,$N386,$O386,$P386),_xlpm.qtys,CHOOSE({1,2,3,4,5},$G386,$H386,$I386,$J386,$K386),_xlpm.validNums,_xlfn._xlws.FILTER(_xlpm.nums,_xlpm.qtys&gt;0),_xlpm.validSheets,_xlfn._xlws.FILTER(_xlpm.sheets,_xlpm.qtys&gt;0),_xlpm.mx,IFERROR(MAX(_xlpm.validNums),0),IF(_xlpm.mx=0,"",INDEX(_xlpm.validSheets,MATCH(_xlpm.mx,_xlpm.validNums,0))&amp;" (+"&amp;$R386&amp;")")))</f>
        <v/>
      </c>
      <c r="F386" s="11" t="str">
        <f t="shared" si="23"/>
        <v/>
      </c>
      <c r="G386" s="12" t="str">
        <f ca="1">IF($A386="","",IFERROR(SUMIF(INDIRECT("'"&amp;'Template Setup'!$C$4&amp;"'!C:C"),$A386,INDIRECT("'"&amp;'Template Setup'!$C$4&amp;"'!A:A")),0))</f>
        <v/>
      </c>
      <c r="H386" s="12" t="str">
        <f ca="1">IF($A386="","",IFERROR(SUMIF(INDIRECT("'"&amp;'Template Setup'!$C$5&amp;"'!C:C"),$A386,INDIRECT("'"&amp;'Template Setup'!$C$5&amp;"'!A:A")),0))</f>
        <v/>
      </c>
      <c r="I386" s="12" t="str">
        <f ca="1">IF($A386="","",IFERROR(SUMIF(INDIRECT("'"&amp;'Template Setup'!$C$6&amp;"'!C:C"),$A386,INDIRECT("'"&amp;'Template Setup'!$C$6&amp;"'!A:A")),0))</f>
        <v/>
      </c>
      <c r="J386" s="12" t="str">
        <f ca="1">IF($A386="","",IFERROR(SUMIF(INDIRECT("'"&amp;'Template Setup'!$C$7&amp;"'!C:C"),$A386,INDIRECT("'"&amp;'Template Setup'!$C$7&amp;"'!A:A")),0))</f>
        <v/>
      </c>
      <c r="K386" s="12" t="str">
        <f ca="1">IF($A386="","",IFERROR(SUMIF(INDIRECT("'"&amp;'Template Setup'!$C$8&amp;"'!C:C"),$A386,INDIRECT("'"&amp;'Template Setup'!$C$8&amp;"'!A:A")),0))</f>
        <v/>
      </c>
      <c r="L386" s="11" t="str">
        <f>IF($A386="","",IFERROR(VALUE(MID(TRIM('Template Setup'!$C$4),FIND("-",TRIM('Template Setup'!$C$4))+1,10)),0))</f>
        <v/>
      </c>
      <c r="M386" s="11" t="str">
        <f>IF($A386="","",IFERROR(VALUE(MID(TRIM('Template Setup'!$C$5),FIND("-",TRIM('Template Setup'!$C$5))+1,10)),0))</f>
        <v/>
      </c>
      <c r="N386" s="11" t="str">
        <f>IF($A386="","",IFERROR(VALUE(MID(TRIM('Template Setup'!$C$6),FIND("-",TRIM('Template Setup'!$C$6))+1,10)),0))</f>
        <v/>
      </c>
      <c r="O386" s="11" t="str">
        <f>IF($A386="","",IFERROR(VALUE(MID(TRIM('Template Setup'!$C$7),FIND("-",TRIM('Template Setup'!$C$7))+1,10)),0))</f>
        <v/>
      </c>
      <c r="P386" s="11" t="str">
        <f>IF($A386="","",IFERROR(VALUE(MID(TRIM('Template Setup'!$C$8),FIND("-",TRIM('Template Setup'!$C$8))+1,10)),0))</f>
        <v/>
      </c>
      <c r="Q386" s="9" t="str">
        <f>IF($A386="","",$A386&amp;"-"&amp;'Template Setup'!$C$16)</f>
        <v/>
      </c>
      <c r="R386" s="24" t="str">
        <f t="shared" ref="R386:R449" si="25">IF($A386="","",SUM($G386:$K386))</f>
        <v/>
      </c>
      <c r="S386" s="24"/>
      <c r="T386" s="24" t="str">
        <f t="shared" ref="T386:T449" si="26">IF($A386="","",IF(ISBLANK(S386),"",N(R386)+S386))</f>
        <v/>
      </c>
      <c r="U386" s="6" t="str">
        <f t="shared" si="24"/>
        <v/>
      </c>
    </row>
    <row r="387" spans="1:21">
      <c r="A387" s="11"/>
      <c r="B387" s="11"/>
      <c r="C387" s="11"/>
      <c r="D387" s="11" t="str">
        <f>IF($A387="","",_xlfn.TEXTJOIN(", ",TRUE,IF($G387&gt;0,'Template Setup'!$C$4,""),IF($H387&gt;0,'Template Setup'!$C$5,""),IF($I387&gt;0,'Template Setup'!$C$6,""),IF($J387&gt;0,'Template Setup'!$C$7,""),IF($K387&gt;0,'Template Setup'!$C$8,"")))</f>
        <v/>
      </c>
      <c r="E387" s="6" t="str" cm="1">
        <f t="array" ref="E387">IF($A387="","",_xlfn.LET(_xlpm.sheets,CHOOSE({1,2,3,4,5},'Template Setup'!$C$4,'Template Setup'!$C$5,'Template Setup'!$C$6,'Template Setup'!$C$7,'Template Setup'!$C$8),_xlpm.nums,CHOOSE({1,2,3,4,5},$L387,$M387,$N387,$O387,$P387),_xlpm.qtys,CHOOSE({1,2,3,4,5},$G387,$H387,$I387,$J387,$K387),_xlpm.validNums,_xlfn._xlws.FILTER(_xlpm.nums,_xlpm.qtys&gt;0),_xlpm.validSheets,_xlfn._xlws.FILTER(_xlpm.sheets,_xlpm.qtys&gt;0),_xlpm.mx,IFERROR(MAX(_xlpm.validNums),0),IF(_xlpm.mx=0,"",INDEX(_xlpm.validSheets,MATCH(_xlpm.mx,_xlpm.validNums,0))&amp;" (+"&amp;$R387&amp;")")))</f>
        <v/>
      </c>
      <c r="F387" s="11" t="str">
        <f t="shared" ref="F387:F450" si="27">IF($E387="","","PACP-"&amp;LEFT($E387,FIND("-",$E387)-1)&amp;"-000"&amp;MID($E387,FIND("-",$E387)+1,3))</f>
        <v/>
      </c>
      <c r="G387" s="12" t="str">
        <f ca="1">IF($A387="","",IFERROR(SUMIF(INDIRECT("'"&amp;'Template Setup'!$C$4&amp;"'!C:C"),$A387,INDIRECT("'"&amp;'Template Setup'!$C$4&amp;"'!A:A")),0))</f>
        <v/>
      </c>
      <c r="H387" s="12" t="str">
        <f ca="1">IF($A387="","",IFERROR(SUMIF(INDIRECT("'"&amp;'Template Setup'!$C$5&amp;"'!C:C"),$A387,INDIRECT("'"&amp;'Template Setup'!$C$5&amp;"'!A:A")),0))</f>
        <v/>
      </c>
      <c r="I387" s="12" t="str">
        <f ca="1">IF($A387="","",IFERROR(SUMIF(INDIRECT("'"&amp;'Template Setup'!$C$6&amp;"'!C:C"),$A387,INDIRECT("'"&amp;'Template Setup'!$C$6&amp;"'!A:A")),0))</f>
        <v/>
      </c>
      <c r="J387" s="12" t="str">
        <f ca="1">IF($A387="","",IFERROR(SUMIF(INDIRECT("'"&amp;'Template Setup'!$C$7&amp;"'!C:C"),$A387,INDIRECT("'"&amp;'Template Setup'!$C$7&amp;"'!A:A")),0))</f>
        <v/>
      </c>
      <c r="K387" s="12" t="str">
        <f ca="1">IF($A387="","",IFERROR(SUMIF(INDIRECT("'"&amp;'Template Setup'!$C$8&amp;"'!C:C"),$A387,INDIRECT("'"&amp;'Template Setup'!$C$8&amp;"'!A:A")),0))</f>
        <v/>
      </c>
      <c r="L387" s="11" t="str">
        <f>IF($A387="","",IFERROR(VALUE(MID(TRIM('Template Setup'!$C$4),FIND("-",TRIM('Template Setup'!$C$4))+1,10)),0))</f>
        <v/>
      </c>
      <c r="M387" s="11" t="str">
        <f>IF($A387="","",IFERROR(VALUE(MID(TRIM('Template Setup'!$C$5),FIND("-",TRIM('Template Setup'!$C$5))+1,10)),0))</f>
        <v/>
      </c>
      <c r="N387" s="11" t="str">
        <f>IF($A387="","",IFERROR(VALUE(MID(TRIM('Template Setup'!$C$6),FIND("-",TRIM('Template Setup'!$C$6))+1,10)),0))</f>
        <v/>
      </c>
      <c r="O387" s="11" t="str">
        <f>IF($A387="","",IFERROR(VALUE(MID(TRIM('Template Setup'!$C$7),FIND("-",TRIM('Template Setup'!$C$7))+1,10)),0))</f>
        <v/>
      </c>
      <c r="P387" s="11" t="str">
        <f>IF($A387="","",IFERROR(VALUE(MID(TRIM('Template Setup'!$C$8),FIND("-",TRIM('Template Setup'!$C$8))+1,10)),0))</f>
        <v/>
      </c>
      <c r="Q387" s="9" t="str">
        <f>IF($A387="","",$A387&amp;"-"&amp;'Template Setup'!$C$16)</f>
        <v/>
      </c>
      <c r="R387" s="24" t="str">
        <f t="shared" si="25"/>
        <v/>
      </c>
      <c r="S387" s="24"/>
      <c r="T387" s="24" t="str">
        <f t="shared" si="26"/>
        <v/>
      </c>
      <c r="U387" s="6" t="str">
        <f t="shared" si="24"/>
        <v/>
      </c>
    </row>
    <row r="388" spans="1:21">
      <c r="A388" s="11"/>
      <c r="B388" s="11"/>
      <c r="C388" s="11"/>
      <c r="D388" s="11" t="str">
        <f>IF($A388="","",_xlfn.TEXTJOIN(", ",TRUE,IF($G388&gt;0,'Template Setup'!$C$4,""),IF($H388&gt;0,'Template Setup'!$C$5,""),IF($I388&gt;0,'Template Setup'!$C$6,""),IF($J388&gt;0,'Template Setup'!$C$7,""),IF($K388&gt;0,'Template Setup'!$C$8,"")))</f>
        <v/>
      </c>
      <c r="E388" s="6" t="str" cm="1">
        <f t="array" ref="E388">IF($A388="","",_xlfn.LET(_xlpm.sheets,CHOOSE({1,2,3,4,5},'Template Setup'!$C$4,'Template Setup'!$C$5,'Template Setup'!$C$6,'Template Setup'!$C$7,'Template Setup'!$C$8),_xlpm.nums,CHOOSE({1,2,3,4,5},$L388,$M388,$N388,$O388,$P388),_xlpm.qtys,CHOOSE({1,2,3,4,5},$G388,$H388,$I388,$J388,$K388),_xlpm.validNums,_xlfn._xlws.FILTER(_xlpm.nums,_xlpm.qtys&gt;0),_xlpm.validSheets,_xlfn._xlws.FILTER(_xlpm.sheets,_xlpm.qtys&gt;0),_xlpm.mx,IFERROR(MAX(_xlpm.validNums),0),IF(_xlpm.mx=0,"",INDEX(_xlpm.validSheets,MATCH(_xlpm.mx,_xlpm.validNums,0))&amp;" (+"&amp;$R388&amp;")")))</f>
        <v/>
      </c>
      <c r="F388" s="11" t="str">
        <f t="shared" si="27"/>
        <v/>
      </c>
      <c r="G388" s="12" t="str">
        <f ca="1">IF($A388="","",IFERROR(SUMIF(INDIRECT("'"&amp;'Template Setup'!$C$4&amp;"'!C:C"),$A388,INDIRECT("'"&amp;'Template Setup'!$C$4&amp;"'!A:A")),0))</f>
        <v/>
      </c>
      <c r="H388" s="12" t="str">
        <f ca="1">IF($A388="","",IFERROR(SUMIF(INDIRECT("'"&amp;'Template Setup'!$C$5&amp;"'!C:C"),$A388,INDIRECT("'"&amp;'Template Setup'!$C$5&amp;"'!A:A")),0))</f>
        <v/>
      </c>
      <c r="I388" s="12" t="str">
        <f ca="1">IF($A388="","",IFERROR(SUMIF(INDIRECT("'"&amp;'Template Setup'!$C$6&amp;"'!C:C"),$A388,INDIRECT("'"&amp;'Template Setup'!$C$6&amp;"'!A:A")),0))</f>
        <v/>
      </c>
      <c r="J388" s="12" t="str">
        <f ca="1">IF($A388="","",IFERROR(SUMIF(INDIRECT("'"&amp;'Template Setup'!$C$7&amp;"'!C:C"),$A388,INDIRECT("'"&amp;'Template Setup'!$C$7&amp;"'!A:A")),0))</f>
        <v/>
      </c>
      <c r="K388" s="12" t="str">
        <f ca="1">IF($A388="","",IFERROR(SUMIF(INDIRECT("'"&amp;'Template Setup'!$C$8&amp;"'!C:C"),$A388,INDIRECT("'"&amp;'Template Setup'!$C$8&amp;"'!A:A")),0))</f>
        <v/>
      </c>
      <c r="L388" s="11" t="str">
        <f>IF($A388="","",IFERROR(VALUE(MID(TRIM('Template Setup'!$C$4),FIND("-",TRIM('Template Setup'!$C$4))+1,10)),0))</f>
        <v/>
      </c>
      <c r="M388" s="11" t="str">
        <f>IF($A388="","",IFERROR(VALUE(MID(TRIM('Template Setup'!$C$5),FIND("-",TRIM('Template Setup'!$C$5))+1,10)),0))</f>
        <v/>
      </c>
      <c r="N388" s="11" t="str">
        <f>IF($A388="","",IFERROR(VALUE(MID(TRIM('Template Setup'!$C$6),FIND("-",TRIM('Template Setup'!$C$6))+1,10)),0))</f>
        <v/>
      </c>
      <c r="O388" s="11" t="str">
        <f>IF($A388="","",IFERROR(VALUE(MID(TRIM('Template Setup'!$C$7),FIND("-",TRIM('Template Setup'!$C$7))+1,10)),0))</f>
        <v/>
      </c>
      <c r="P388" s="11" t="str">
        <f>IF($A388="","",IFERROR(VALUE(MID(TRIM('Template Setup'!$C$8),FIND("-",TRIM('Template Setup'!$C$8))+1,10)),0))</f>
        <v/>
      </c>
      <c r="Q388" s="9" t="str">
        <f>IF($A388="","",$A388&amp;"-"&amp;'Template Setup'!$C$16)</f>
        <v/>
      </c>
      <c r="R388" s="24" t="str">
        <f t="shared" si="25"/>
        <v/>
      </c>
      <c r="S388" s="24"/>
      <c r="T388" s="24" t="str">
        <f t="shared" si="26"/>
        <v/>
      </c>
      <c r="U388" s="6" t="str">
        <f t="shared" si="24"/>
        <v/>
      </c>
    </row>
    <row r="389" spans="1:21">
      <c r="A389" s="11"/>
      <c r="B389" s="11"/>
      <c r="C389" s="11"/>
      <c r="D389" s="11" t="str">
        <f>IF($A389="","",_xlfn.TEXTJOIN(", ",TRUE,IF($G389&gt;0,'Template Setup'!$C$4,""),IF($H389&gt;0,'Template Setup'!$C$5,""),IF($I389&gt;0,'Template Setup'!$C$6,""),IF($J389&gt;0,'Template Setup'!$C$7,""),IF($K389&gt;0,'Template Setup'!$C$8,"")))</f>
        <v/>
      </c>
      <c r="E389" s="6" t="str" cm="1">
        <f t="array" ref="E389">IF($A389="","",_xlfn.LET(_xlpm.sheets,CHOOSE({1,2,3,4,5},'Template Setup'!$C$4,'Template Setup'!$C$5,'Template Setup'!$C$6,'Template Setup'!$C$7,'Template Setup'!$C$8),_xlpm.nums,CHOOSE({1,2,3,4,5},$L389,$M389,$N389,$O389,$P389),_xlpm.qtys,CHOOSE({1,2,3,4,5},$G389,$H389,$I389,$J389,$K389),_xlpm.validNums,_xlfn._xlws.FILTER(_xlpm.nums,_xlpm.qtys&gt;0),_xlpm.validSheets,_xlfn._xlws.FILTER(_xlpm.sheets,_xlpm.qtys&gt;0),_xlpm.mx,IFERROR(MAX(_xlpm.validNums),0),IF(_xlpm.mx=0,"",INDEX(_xlpm.validSheets,MATCH(_xlpm.mx,_xlpm.validNums,0))&amp;" (+"&amp;$R389&amp;")")))</f>
        <v/>
      </c>
      <c r="F389" s="11" t="str">
        <f t="shared" si="27"/>
        <v/>
      </c>
      <c r="G389" s="12" t="str">
        <f ca="1">IF($A389="","",IFERROR(SUMIF(INDIRECT("'"&amp;'Template Setup'!$C$4&amp;"'!C:C"),$A389,INDIRECT("'"&amp;'Template Setup'!$C$4&amp;"'!A:A")),0))</f>
        <v/>
      </c>
      <c r="H389" s="12" t="str">
        <f ca="1">IF($A389="","",IFERROR(SUMIF(INDIRECT("'"&amp;'Template Setup'!$C$5&amp;"'!C:C"),$A389,INDIRECT("'"&amp;'Template Setup'!$C$5&amp;"'!A:A")),0))</f>
        <v/>
      </c>
      <c r="I389" s="12" t="str">
        <f ca="1">IF($A389="","",IFERROR(SUMIF(INDIRECT("'"&amp;'Template Setup'!$C$6&amp;"'!C:C"),$A389,INDIRECT("'"&amp;'Template Setup'!$C$6&amp;"'!A:A")),0))</f>
        <v/>
      </c>
      <c r="J389" s="12" t="str">
        <f ca="1">IF($A389="","",IFERROR(SUMIF(INDIRECT("'"&amp;'Template Setup'!$C$7&amp;"'!C:C"),$A389,INDIRECT("'"&amp;'Template Setup'!$C$7&amp;"'!A:A")),0))</f>
        <v/>
      </c>
      <c r="K389" s="12" t="str">
        <f ca="1">IF($A389="","",IFERROR(SUMIF(INDIRECT("'"&amp;'Template Setup'!$C$8&amp;"'!C:C"),$A389,INDIRECT("'"&amp;'Template Setup'!$C$8&amp;"'!A:A")),0))</f>
        <v/>
      </c>
      <c r="L389" s="11" t="str">
        <f>IF($A389="","",IFERROR(VALUE(MID(TRIM('Template Setup'!$C$4),FIND("-",TRIM('Template Setup'!$C$4))+1,10)),0))</f>
        <v/>
      </c>
      <c r="M389" s="11" t="str">
        <f>IF($A389="","",IFERROR(VALUE(MID(TRIM('Template Setup'!$C$5),FIND("-",TRIM('Template Setup'!$C$5))+1,10)),0))</f>
        <v/>
      </c>
      <c r="N389" s="11" t="str">
        <f>IF($A389="","",IFERROR(VALUE(MID(TRIM('Template Setup'!$C$6),FIND("-",TRIM('Template Setup'!$C$6))+1,10)),0))</f>
        <v/>
      </c>
      <c r="O389" s="11" t="str">
        <f>IF($A389="","",IFERROR(VALUE(MID(TRIM('Template Setup'!$C$7),FIND("-",TRIM('Template Setup'!$C$7))+1,10)),0))</f>
        <v/>
      </c>
      <c r="P389" s="11" t="str">
        <f>IF($A389="","",IFERROR(VALUE(MID(TRIM('Template Setup'!$C$8),FIND("-",TRIM('Template Setup'!$C$8))+1,10)),0))</f>
        <v/>
      </c>
      <c r="Q389" s="9" t="str">
        <f>IF($A389="","",$A389&amp;"-"&amp;'Template Setup'!$C$16)</f>
        <v/>
      </c>
      <c r="R389" s="24" t="str">
        <f t="shared" si="25"/>
        <v/>
      </c>
      <c r="S389" s="24"/>
      <c r="T389" s="24" t="str">
        <f t="shared" si="26"/>
        <v/>
      </c>
      <c r="U389" s="6" t="str">
        <f t="shared" si="24"/>
        <v/>
      </c>
    </row>
    <row r="390" spans="1:21">
      <c r="A390" s="11"/>
      <c r="B390" s="11"/>
      <c r="C390" s="11"/>
      <c r="D390" s="11" t="str">
        <f>IF($A390="","",_xlfn.TEXTJOIN(", ",TRUE,IF($G390&gt;0,'Template Setup'!$C$4,""),IF($H390&gt;0,'Template Setup'!$C$5,""),IF($I390&gt;0,'Template Setup'!$C$6,""),IF($J390&gt;0,'Template Setup'!$C$7,""),IF($K390&gt;0,'Template Setup'!$C$8,"")))</f>
        <v/>
      </c>
      <c r="E390" s="6" t="str" cm="1">
        <f t="array" ref="E390">IF($A390="","",_xlfn.LET(_xlpm.sheets,CHOOSE({1,2,3,4,5},'Template Setup'!$C$4,'Template Setup'!$C$5,'Template Setup'!$C$6,'Template Setup'!$C$7,'Template Setup'!$C$8),_xlpm.nums,CHOOSE({1,2,3,4,5},$L390,$M390,$N390,$O390,$P390),_xlpm.qtys,CHOOSE({1,2,3,4,5},$G390,$H390,$I390,$J390,$K390),_xlpm.validNums,_xlfn._xlws.FILTER(_xlpm.nums,_xlpm.qtys&gt;0),_xlpm.validSheets,_xlfn._xlws.FILTER(_xlpm.sheets,_xlpm.qtys&gt;0),_xlpm.mx,IFERROR(MAX(_xlpm.validNums),0),IF(_xlpm.mx=0,"",INDEX(_xlpm.validSheets,MATCH(_xlpm.mx,_xlpm.validNums,0))&amp;" (+"&amp;$R390&amp;")")))</f>
        <v/>
      </c>
      <c r="F390" s="11" t="str">
        <f t="shared" si="27"/>
        <v/>
      </c>
      <c r="G390" s="12" t="str">
        <f ca="1">IF($A390="","",IFERROR(SUMIF(INDIRECT("'"&amp;'Template Setup'!$C$4&amp;"'!C:C"),$A390,INDIRECT("'"&amp;'Template Setup'!$C$4&amp;"'!A:A")),0))</f>
        <v/>
      </c>
      <c r="H390" s="12" t="str">
        <f ca="1">IF($A390="","",IFERROR(SUMIF(INDIRECT("'"&amp;'Template Setup'!$C$5&amp;"'!C:C"),$A390,INDIRECT("'"&amp;'Template Setup'!$C$5&amp;"'!A:A")),0))</f>
        <v/>
      </c>
      <c r="I390" s="12" t="str">
        <f ca="1">IF($A390="","",IFERROR(SUMIF(INDIRECT("'"&amp;'Template Setup'!$C$6&amp;"'!C:C"),$A390,INDIRECT("'"&amp;'Template Setup'!$C$6&amp;"'!A:A")),0))</f>
        <v/>
      </c>
      <c r="J390" s="12" t="str">
        <f ca="1">IF($A390="","",IFERROR(SUMIF(INDIRECT("'"&amp;'Template Setup'!$C$7&amp;"'!C:C"),$A390,INDIRECT("'"&amp;'Template Setup'!$C$7&amp;"'!A:A")),0))</f>
        <v/>
      </c>
      <c r="K390" s="12" t="str">
        <f ca="1">IF($A390="","",IFERROR(SUMIF(INDIRECT("'"&amp;'Template Setup'!$C$8&amp;"'!C:C"),$A390,INDIRECT("'"&amp;'Template Setup'!$C$8&amp;"'!A:A")),0))</f>
        <v/>
      </c>
      <c r="L390" s="11" t="str">
        <f>IF($A390="","",IFERROR(VALUE(MID(TRIM('Template Setup'!$C$4),FIND("-",TRIM('Template Setup'!$C$4))+1,10)),0))</f>
        <v/>
      </c>
      <c r="M390" s="11" t="str">
        <f>IF($A390="","",IFERROR(VALUE(MID(TRIM('Template Setup'!$C$5),FIND("-",TRIM('Template Setup'!$C$5))+1,10)),0))</f>
        <v/>
      </c>
      <c r="N390" s="11" t="str">
        <f>IF($A390="","",IFERROR(VALUE(MID(TRIM('Template Setup'!$C$6),FIND("-",TRIM('Template Setup'!$C$6))+1,10)),0))</f>
        <v/>
      </c>
      <c r="O390" s="11" t="str">
        <f>IF($A390="","",IFERROR(VALUE(MID(TRIM('Template Setup'!$C$7),FIND("-",TRIM('Template Setup'!$C$7))+1,10)),0))</f>
        <v/>
      </c>
      <c r="P390" s="11" t="str">
        <f>IF($A390="","",IFERROR(VALUE(MID(TRIM('Template Setup'!$C$8),FIND("-",TRIM('Template Setup'!$C$8))+1,10)),0))</f>
        <v/>
      </c>
      <c r="Q390" s="9" t="str">
        <f>IF($A390="","",$A390&amp;"-"&amp;'Template Setup'!$C$16)</f>
        <v/>
      </c>
      <c r="R390" s="24" t="str">
        <f t="shared" si="25"/>
        <v/>
      </c>
      <c r="S390" s="24"/>
      <c r="T390" s="24" t="str">
        <f t="shared" si="26"/>
        <v/>
      </c>
      <c r="U390" s="6" t="str">
        <f t="shared" si="24"/>
        <v/>
      </c>
    </row>
    <row r="391" spans="1:21">
      <c r="A391" s="11"/>
      <c r="B391" s="11"/>
      <c r="C391" s="11"/>
      <c r="D391" s="11" t="str">
        <f>IF($A391="","",_xlfn.TEXTJOIN(", ",TRUE,IF($G391&gt;0,'Template Setup'!$C$4,""),IF($H391&gt;0,'Template Setup'!$C$5,""),IF($I391&gt;0,'Template Setup'!$C$6,""),IF($J391&gt;0,'Template Setup'!$C$7,""),IF($K391&gt;0,'Template Setup'!$C$8,"")))</f>
        <v/>
      </c>
      <c r="E391" s="6" t="str" cm="1">
        <f t="array" ref="E391">IF($A391="","",_xlfn.LET(_xlpm.sheets,CHOOSE({1,2,3,4,5},'Template Setup'!$C$4,'Template Setup'!$C$5,'Template Setup'!$C$6,'Template Setup'!$C$7,'Template Setup'!$C$8),_xlpm.nums,CHOOSE({1,2,3,4,5},$L391,$M391,$N391,$O391,$P391),_xlpm.qtys,CHOOSE({1,2,3,4,5},$G391,$H391,$I391,$J391,$K391),_xlpm.validNums,_xlfn._xlws.FILTER(_xlpm.nums,_xlpm.qtys&gt;0),_xlpm.validSheets,_xlfn._xlws.FILTER(_xlpm.sheets,_xlpm.qtys&gt;0),_xlpm.mx,IFERROR(MAX(_xlpm.validNums),0),IF(_xlpm.mx=0,"",INDEX(_xlpm.validSheets,MATCH(_xlpm.mx,_xlpm.validNums,0))&amp;" (+"&amp;$R391&amp;")")))</f>
        <v/>
      </c>
      <c r="F391" s="11" t="str">
        <f t="shared" si="27"/>
        <v/>
      </c>
      <c r="G391" s="12" t="str">
        <f ca="1">IF($A391="","",IFERROR(SUMIF(INDIRECT("'"&amp;'Template Setup'!$C$4&amp;"'!C:C"),$A391,INDIRECT("'"&amp;'Template Setup'!$C$4&amp;"'!A:A")),0))</f>
        <v/>
      </c>
      <c r="H391" s="12" t="str">
        <f ca="1">IF($A391="","",IFERROR(SUMIF(INDIRECT("'"&amp;'Template Setup'!$C$5&amp;"'!C:C"),$A391,INDIRECT("'"&amp;'Template Setup'!$C$5&amp;"'!A:A")),0))</f>
        <v/>
      </c>
      <c r="I391" s="12" t="str">
        <f ca="1">IF($A391="","",IFERROR(SUMIF(INDIRECT("'"&amp;'Template Setup'!$C$6&amp;"'!C:C"),$A391,INDIRECT("'"&amp;'Template Setup'!$C$6&amp;"'!A:A")),0))</f>
        <v/>
      </c>
      <c r="J391" s="12" t="str">
        <f ca="1">IF($A391="","",IFERROR(SUMIF(INDIRECT("'"&amp;'Template Setup'!$C$7&amp;"'!C:C"),$A391,INDIRECT("'"&amp;'Template Setup'!$C$7&amp;"'!A:A")),0))</f>
        <v/>
      </c>
      <c r="K391" s="12" t="str">
        <f ca="1">IF($A391="","",IFERROR(SUMIF(INDIRECT("'"&amp;'Template Setup'!$C$8&amp;"'!C:C"),$A391,INDIRECT("'"&amp;'Template Setup'!$C$8&amp;"'!A:A")),0))</f>
        <v/>
      </c>
      <c r="L391" s="11" t="str">
        <f>IF($A391="","",IFERROR(VALUE(MID(TRIM('Template Setup'!$C$4),FIND("-",TRIM('Template Setup'!$C$4))+1,10)),0))</f>
        <v/>
      </c>
      <c r="M391" s="11" t="str">
        <f>IF($A391="","",IFERROR(VALUE(MID(TRIM('Template Setup'!$C$5),FIND("-",TRIM('Template Setup'!$C$5))+1,10)),0))</f>
        <v/>
      </c>
      <c r="N391" s="11" t="str">
        <f>IF($A391="","",IFERROR(VALUE(MID(TRIM('Template Setup'!$C$6),FIND("-",TRIM('Template Setup'!$C$6))+1,10)),0))</f>
        <v/>
      </c>
      <c r="O391" s="11" t="str">
        <f>IF($A391="","",IFERROR(VALUE(MID(TRIM('Template Setup'!$C$7),FIND("-",TRIM('Template Setup'!$C$7))+1,10)),0))</f>
        <v/>
      </c>
      <c r="P391" s="11" t="str">
        <f>IF($A391="","",IFERROR(VALUE(MID(TRIM('Template Setup'!$C$8),FIND("-",TRIM('Template Setup'!$C$8))+1,10)),0))</f>
        <v/>
      </c>
      <c r="Q391" s="9" t="str">
        <f>IF($A391="","",$A391&amp;"-"&amp;'Template Setup'!$C$16)</f>
        <v/>
      </c>
      <c r="R391" s="24" t="str">
        <f t="shared" si="25"/>
        <v/>
      </c>
      <c r="S391" s="24"/>
      <c r="T391" s="24" t="str">
        <f t="shared" si="26"/>
        <v/>
      </c>
      <c r="U391" s="6" t="str">
        <f t="shared" si="24"/>
        <v/>
      </c>
    </row>
    <row r="392" spans="1:21">
      <c r="A392" s="11"/>
      <c r="B392" s="11"/>
      <c r="C392" s="11"/>
      <c r="D392" s="11" t="str">
        <f>IF($A392="","",_xlfn.TEXTJOIN(", ",TRUE,IF($G392&gt;0,'Template Setup'!$C$4,""),IF($H392&gt;0,'Template Setup'!$C$5,""),IF($I392&gt;0,'Template Setup'!$C$6,""),IF($J392&gt;0,'Template Setup'!$C$7,""),IF($K392&gt;0,'Template Setup'!$C$8,"")))</f>
        <v/>
      </c>
      <c r="E392" s="6" t="str" cm="1">
        <f t="array" ref="E392">IF($A392="","",_xlfn.LET(_xlpm.sheets,CHOOSE({1,2,3,4,5},'Template Setup'!$C$4,'Template Setup'!$C$5,'Template Setup'!$C$6,'Template Setup'!$C$7,'Template Setup'!$C$8),_xlpm.nums,CHOOSE({1,2,3,4,5},$L392,$M392,$N392,$O392,$P392),_xlpm.qtys,CHOOSE({1,2,3,4,5},$G392,$H392,$I392,$J392,$K392),_xlpm.validNums,_xlfn._xlws.FILTER(_xlpm.nums,_xlpm.qtys&gt;0),_xlpm.validSheets,_xlfn._xlws.FILTER(_xlpm.sheets,_xlpm.qtys&gt;0),_xlpm.mx,IFERROR(MAX(_xlpm.validNums),0),IF(_xlpm.mx=0,"",INDEX(_xlpm.validSheets,MATCH(_xlpm.mx,_xlpm.validNums,0))&amp;" (+"&amp;$R392&amp;")")))</f>
        <v/>
      </c>
      <c r="F392" s="11" t="str">
        <f t="shared" si="27"/>
        <v/>
      </c>
      <c r="G392" s="12" t="str">
        <f ca="1">IF($A392="","",IFERROR(SUMIF(INDIRECT("'"&amp;'Template Setup'!$C$4&amp;"'!C:C"),$A392,INDIRECT("'"&amp;'Template Setup'!$C$4&amp;"'!A:A")),0))</f>
        <v/>
      </c>
      <c r="H392" s="12" t="str">
        <f ca="1">IF($A392="","",IFERROR(SUMIF(INDIRECT("'"&amp;'Template Setup'!$C$5&amp;"'!C:C"),$A392,INDIRECT("'"&amp;'Template Setup'!$C$5&amp;"'!A:A")),0))</f>
        <v/>
      </c>
      <c r="I392" s="12" t="str">
        <f ca="1">IF($A392="","",IFERROR(SUMIF(INDIRECT("'"&amp;'Template Setup'!$C$6&amp;"'!C:C"),$A392,INDIRECT("'"&amp;'Template Setup'!$C$6&amp;"'!A:A")),0))</f>
        <v/>
      </c>
      <c r="J392" s="12" t="str">
        <f ca="1">IF($A392="","",IFERROR(SUMIF(INDIRECT("'"&amp;'Template Setup'!$C$7&amp;"'!C:C"),$A392,INDIRECT("'"&amp;'Template Setup'!$C$7&amp;"'!A:A")),0))</f>
        <v/>
      </c>
      <c r="K392" s="12" t="str">
        <f ca="1">IF($A392="","",IFERROR(SUMIF(INDIRECT("'"&amp;'Template Setup'!$C$8&amp;"'!C:C"),$A392,INDIRECT("'"&amp;'Template Setup'!$C$8&amp;"'!A:A")),0))</f>
        <v/>
      </c>
      <c r="L392" s="11" t="str">
        <f>IF($A392="","",IFERROR(VALUE(MID(TRIM('Template Setup'!$C$4),FIND("-",TRIM('Template Setup'!$C$4))+1,10)),0))</f>
        <v/>
      </c>
      <c r="M392" s="11" t="str">
        <f>IF($A392="","",IFERROR(VALUE(MID(TRIM('Template Setup'!$C$5),FIND("-",TRIM('Template Setup'!$C$5))+1,10)),0))</f>
        <v/>
      </c>
      <c r="N392" s="11" t="str">
        <f>IF($A392="","",IFERROR(VALUE(MID(TRIM('Template Setup'!$C$6),FIND("-",TRIM('Template Setup'!$C$6))+1,10)),0))</f>
        <v/>
      </c>
      <c r="O392" s="11" t="str">
        <f>IF($A392="","",IFERROR(VALUE(MID(TRIM('Template Setup'!$C$7),FIND("-",TRIM('Template Setup'!$C$7))+1,10)),0))</f>
        <v/>
      </c>
      <c r="P392" s="11" t="str">
        <f>IF($A392="","",IFERROR(VALUE(MID(TRIM('Template Setup'!$C$8),FIND("-",TRIM('Template Setup'!$C$8))+1,10)),0))</f>
        <v/>
      </c>
      <c r="Q392" s="9" t="str">
        <f>IF($A392="","",$A392&amp;"-"&amp;'Template Setup'!$C$16)</f>
        <v/>
      </c>
      <c r="R392" s="24" t="str">
        <f t="shared" si="25"/>
        <v/>
      </c>
      <c r="S392" s="24"/>
      <c r="T392" s="24" t="str">
        <f t="shared" si="26"/>
        <v/>
      </c>
      <c r="U392" s="6" t="str">
        <f t="shared" si="24"/>
        <v/>
      </c>
    </row>
    <row r="393" spans="1:21">
      <c r="A393" s="11"/>
      <c r="B393" s="11"/>
      <c r="C393" s="11"/>
      <c r="D393" s="11" t="str">
        <f>IF($A393="","",_xlfn.TEXTJOIN(", ",TRUE,IF($G393&gt;0,'Template Setup'!$C$4,""),IF($H393&gt;0,'Template Setup'!$C$5,""),IF($I393&gt;0,'Template Setup'!$C$6,""),IF($J393&gt;0,'Template Setup'!$C$7,""),IF($K393&gt;0,'Template Setup'!$C$8,"")))</f>
        <v/>
      </c>
      <c r="E393" s="6" t="str" cm="1">
        <f t="array" ref="E393">IF($A393="","",_xlfn.LET(_xlpm.sheets,CHOOSE({1,2,3,4,5},'Template Setup'!$C$4,'Template Setup'!$C$5,'Template Setup'!$C$6,'Template Setup'!$C$7,'Template Setup'!$C$8),_xlpm.nums,CHOOSE({1,2,3,4,5},$L393,$M393,$N393,$O393,$P393),_xlpm.qtys,CHOOSE({1,2,3,4,5},$G393,$H393,$I393,$J393,$K393),_xlpm.validNums,_xlfn._xlws.FILTER(_xlpm.nums,_xlpm.qtys&gt;0),_xlpm.validSheets,_xlfn._xlws.FILTER(_xlpm.sheets,_xlpm.qtys&gt;0),_xlpm.mx,IFERROR(MAX(_xlpm.validNums),0),IF(_xlpm.mx=0,"",INDEX(_xlpm.validSheets,MATCH(_xlpm.mx,_xlpm.validNums,0))&amp;" (+"&amp;$R393&amp;")")))</f>
        <v/>
      </c>
      <c r="F393" s="11" t="str">
        <f t="shared" si="27"/>
        <v/>
      </c>
      <c r="G393" s="12" t="str">
        <f ca="1">IF($A393="","",IFERROR(SUMIF(INDIRECT("'"&amp;'Template Setup'!$C$4&amp;"'!C:C"),$A393,INDIRECT("'"&amp;'Template Setup'!$C$4&amp;"'!A:A")),0))</f>
        <v/>
      </c>
      <c r="H393" s="12" t="str">
        <f ca="1">IF($A393="","",IFERROR(SUMIF(INDIRECT("'"&amp;'Template Setup'!$C$5&amp;"'!C:C"),$A393,INDIRECT("'"&amp;'Template Setup'!$C$5&amp;"'!A:A")),0))</f>
        <v/>
      </c>
      <c r="I393" s="12" t="str">
        <f ca="1">IF($A393="","",IFERROR(SUMIF(INDIRECT("'"&amp;'Template Setup'!$C$6&amp;"'!C:C"),$A393,INDIRECT("'"&amp;'Template Setup'!$C$6&amp;"'!A:A")),0))</f>
        <v/>
      </c>
      <c r="J393" s="12" t="str">
        <f ca="1">IF($A393="","",IFERROR(SUMIF(INDIRECT("'"&amp;'Template Setup'!$C$7&amp;"'!C:C"),$A393,INDIRECT("'"&amp;'Template Setup'!$C$7&amp;"'!A:A")),0))</f>
        <v/>
      </c>
      <c r="K393" s="12" t="str">
        <f ca="1">IF($A393="","",IFERROR(SUMIF(INDIRECT("'"&amp;'Template Setup'!$C$8&amp;"'!C:C"),$A393,INDIRECT("'"&amp;'Template Setup'!$C$8&amp;"'!A:A")),0))</f>
        <v/>
      </c>
      <c r="L393" s="11" t="str">
        <f>IF($A393="","",IFERROR(VALUE(MID(TRIM('Template Setup'!$C$4),FIND("-",TRIM('Template Setup'!$C$4))+1,10)),0))</f>
        <v/>
      </c>
      <c r="M393" s="11" t="str">
        <f>IF($A393="","",IFERROR(VALUE(MID(TRIM('Template Setup'!$C$5),FIND("-",TRIM('Template Setup'!$C$5))+1,10)),0))</f>
        <v/>
      </c>
      <c r="N393" s="11" t="str">
        <f>IF($A393="","",IFERROR(VALUE(MID(TRIM('Template Setup'!$C$6),FIND("-",TRIM('Template Setup'!$C$6))+1,10)),0))</f>
        <v/>
      </c>
      <c r="O393" s="11" t="str">
        <f>IF($A393="","",IFERROR(VALUE(MID(TRIM('Template Setup'!$C$7),FIND("-",TRIM('Template Setup'!$C$7))+1,10)),0))</f>
        <v/>
      </c>
      <c r="P393" s="11" t="str">
        <f>IF($A393="","",IFERROR(VALUE(MID(TRIM('Template Setup'!$C$8),FIND("-",TRIM('Template Setup'!$C$8))+1,10)),0))</f>
        <v/>
      </c>
      <c r="Q393" s="9" t="str">
        <f>IF($A393="","",$A393&amp;"-"&amp;'Template Setup'!$C$16)</f>
        <v/>
      </c>
      <c r="R393" s="24" t="str">
        <f t="shared" si="25"/>
        <v/>
      </c>
      <c r="S393" s="24"/>
      <c r="T393" s="24" t="str">
        <f t="shared" si="26"/>
        <v/>
      </c>
      <c r="U393" s="6" t="str">
        <f t="shared" si="24"/>
        <v/>
      </c>
    </row>
    <row r="394" spans="1:21">
      <c r="A394" s="11"/>
      <c r="B394" s="11"/>
      <c r="C394" s="11"/>
      <c r="D394" s="11" t="str">
        <f>IF($A394="","",_xlfn.TEXTJOIN(", ",TRUE,IF($G394&gt;0,'Template Setup'!$C$4,""),IF($H394&gt;0,'Template Setup'!$C$5,""),IF($I394&gt;0,'Template Setup'!$C$6,""),IF($J394&gt;0,'Template Setup'!$C$7,""),IF($K394&gt;0,'Template Setup'!$C$8,"")))</f>
        <v/>
      </c>
      <c r="E394" s="6" t="str" cm="1">
        <f t="array" ref="E394">IF($A394="","",_xlfn.LET(_xlpm.sheets,CHOOSE({1,2,3,4,5},'Template Setup'!$C$4,'Template Setup'!$C$5,'Template Setup'!$C$6,'Template Setup'!$C$7,'Template Setup'!$C$8),_xlpm.nums,CHOOSE({1,2,3,4,5},$L394,$M394,$N394,$O394,$P394),_xlpm.qtys,CHOOSE({1,2,3,4,5},$G394,$H394,$I394,$J394,$K394),_xlpm.validNums,_xlfn._xlws.FILTER(_xlpm.nums,_xlpm.qtys&gt;0),_xlpm.validSheets,_xlfn._xlws.FILTER(_xlpm.sheets,_xlpm.qtys&gt;0),_xlpm.mx,IFERROR(MAX(_xlpm.validNums),0),IF(_xlpm.mx=0,"",INDEX(_xlpm.validSheets,MATCH(_xlpm.mx,_xlpm.validNums,0))&amp;" (+"&amp;$R394&amp;")")))</f>
        <v/>
      </c>
      <c r="F394" s="11" t="str">
        <f t="shared" si="27"/>
        <v/>
      </c>
      <c r="G394" s="12" t="str">
        <f ca="1">IF($A394="","",IFERROR(SUMIF(INDIRECT("'"&amp;'Template Setup'!$C$4&amp;"'!C:C"),$A394,INDIRECT("'"&amp;'Template Setup'!$C$4&amp;"'!A:A")),0))</f>
        <v/>
      </c>
      <c r="H394" s="12" t="str">
        <f ca="1">IF($A394="","",IFERROR(SUMIF(INDIRECT("'"&amp;'Template Setup'!$C$5&amp;"'!C:C"),$A394,INDIRECT("'"&amp;'Template Setup'!$C$5&amp;"'!A:A")),0))</f>
        <v/>
      </c>
      <c r="I394" s="12" t="str">
        <f ca="1">IF($A394="","",IFERROR(SUMIF(INDIRECT("'"&amp;'Template Setup'!$C$6&amp;"'!C:C"),$A394,INDIRECT("'"&amp;'Template Setup'!$C$6&amp;"'!A:A")),0))</f>
        <v/>
      </c>
      <c r="J394" s="12" t="str">
        <f ca="1">IF($A394="","",IFERROR(SUMIF(INDIRECT("'"&amp;'Template Setup'!$C$7&amp;"'!C:C"),$A394,INDIRECT("'"&amp;'Template Setup'!$C$7&amp;"'!A:A")),0))</f>
        <v/>
      </c>
      <c r="K394" s="12" t="str">
        <f ca="1">IF($A394="","",IFERROR(SUMIF(INDIRECT("'"&amp;'Template Setup'!$C$8&amp;"'!C:C"),$A394,INDIRECT("'"&amp;'Template Setup'!$C$8&amp;"'!A:A")),0))</f>
        <v/>
      </c>
      <c r="L394" s="11" t="str">
        <f>IF($A394="","",IFERROR(VALUE(MID(TRIM('Template Setup'!$C$4),FIND("-",TRIM('Template Setup'!$C$4))+1,10)),0))</f>
        <v/>
      </c>
      <c r="M394" s="11" t="str">
        <f>IF($A394="","",IFERROR(VALUE(MID(TRIM('Template Setup'!$C$5),FIND("-",TRIM('Template Setup'!$C$5))+1,10)),0))</f>
        <v/>
      </c>
      <c r="N394" s="11" t="str">
        <f>IF($A394="","",IFERROR(VALUE(MID(TRIM('Template Setup'!$C$6),FIND("-",TRIM('Template Setup'!$C$6))+1,10)),0))</f>
        <v/>
      </c>
      <c r="O394" s="11" t="str">
        <f>IF($A394="","",IFERROR(VALUE(MID(TRIM('Template Setup'!$C$7),FIND("-",TRIM('Template Setup'!$C$7))+1,10)),0))</f>
        <v/>
      </c>
      <c r="P394" s="11" t="str">
        <f>IF($A394="","",IFERROR(VALUE(MID(TRIM('Template Setup'!$C$8),FIND("-",TRIM('Template Setup'!$C$8))+1,10)),0))</f>
        <v/>
      </c>
      <c r="Q394" s="9" t="str">
        <f>IF($A394="","",$A394&amp;"-"&amp;'Template Setup'!$C$16)</f>
        <v/>
      </c>
      <c r="R394" s="24" t="str">
        <f t="shared" si="25"/>
        <v/>
      </c>
      <c r="S394" s="24"/>
      <c r="T394" s="24" t="str">
        <f t="shared" si="26"/>
        <v/>
      </c>
      <c r="U394" s="6" t="str">
        <f t="shared" si="24"/>
        <v/>
      </c>
    </row>
    <row r="395" spans="1:21">
      <c r="A395" s="11"/>
      <c r="B395" s="11"/>
      <c r="C395" s="11"/>
      <c r="D395" s="11" t="str">
        <f>IF($A395="","",_xlfn.TEXTJOIN(", ",TRUE,IF($G395&gt;0,'Template Setup'!$C$4,""),IF($H395&gt;0,'Template Setup'!$C$5,""),IF($I395&gt;0,'Template Setup'!$C$6,""),IF($J395&gt;0,'Template Setup'!$C$7,""),IF($K395&gt;0,'Template Setup'!$C$8,"")))</f>
        <v/>
      </c>
      <c r="E395" s="6" t="str" cm="1">
        <f t="array" ref="E395">IF($A395="","",_xlfn.LET(_xlpm.sheets,CHOOSE({1,2,3,4,5},'Template Setup'!$C$4,'Template Setup'!$C$5,'Template Setup'!$C$6,'Template Setup'!$C$7,'Template Setup'!$C$8),_xlpm.nums,CHOOSE({1,2,3,4,5},$L395,$M395,$N395,$O395,$P395),_xlpm.qtys,CHOOSE({1,2,3,4,5},$G395,$H395,$I395,$J395,$K395),_xlpm.validNums,_xlfn._xlws.FILTER(_xlpm.nums,_xlpm.qtys&gt;0),_xlpm.validSheets,_xlfn._xlws.FILTER(_xlpm.sheets,_xlpm.qtys&gt;0),_xlpm.mx,IFERROR(MAX(_xlpm.validNums),0),IF(_xlpm.mx=0,"",INDEX(_xlpm.validSheets,MATCH(_xlpm.mx,_xlpm.validNums,0))&amp;" (+"&amp;$R395&amp;")")))</f>
        <v/>
      </c>
      <c r="F395" s="11" t="str">
        <f t="shared" si="27"/>
        <v/>
      </c>
      <c r="G395" s="12" t="str">
        <f ca="1">IF($A395="","",IFERROR(SUMIF(INDIRECT("'"&amp;'Template Setup'!$C$4&amp;"'!C:C"),$A395,INDIRECT("'"&amp;'Template Setup'!$C$4&amp;"'!A:A")),0))</f>
        <v/>
      </c>
      <c r="H395" s="12" t="str">
        <f ca="1">IF($A395="","",IFERROR(SUMIF(INDIRECT("'"&amp;'Template Setup'!$C$5&amp;"'!C:C"),$A395,INDIRECT("'"&amp;'Template Setup'!$C$5&amp;"'!A:A")),0))</f>
        <v/>
      </c>
      <c r="I395" s="12" t="str">
        <f ca="1">IF($A395="","",IFERROR(SUMIF(INDIRECT("'"&amp;'Template Setup'!$C$6&amp;"'!C:C"),$A395,INDIRECT("'"&amp;'Template Setup'!$C$6&amp;"'!A:A")),0))</f>
        <v/>
      </c>
      <c r="J395" s="12" t="str">
        <f ca="1">IF($A395="","",IFERROR(SUMIF(INDIRECT("'"&amp;'Template Setup'!$C$7&amp;"'!C:C"),$A395,INDIRECT("'"&amp;'Template Setup'!$C$7&amp;"'!A:A")),0))</f>
        <v/>
      </c>
      <c r="K395" s="12" t="str">
        <f ca="1">IF($A395="","",IFERROR(SUMIF(INDIRECT("'"&amp;'Template Setup'!$C$8&amp;"'!C:C"),$A395,INDIRECT("'"&amp;'Template Setup'!$C$8&amp;"'!A:A")),0))</f>
        <v/>
      </c>
      <c r="L395" s="11" t="str">
        <f>IF($A395="","",IFERROR(VALUE(MID(TRIM('Template Setup'!$C$4),FIND("-",TRIM('Template Setup'!$C$4))+1,10)),0))</f>
        <v/>
      </c>
      <c r="M395" s="11" t="str">
        <f>IF($A395="","",IFERROR(VALUE(MID(TRIM('Template Setup'!$C$5),FIND("-",TRIM('Template Setup'!$C$5))+1,10)),0))</f>
        <v/>
      </c>
      <c r="N395" s="11" t="str">
        <f>IF($A395="","",IFERROR(VALUE(MID(TRIM('Template Setup'!$C$6),FIND("-",TRIM('Template Setup'!$C$6))+1,10)),0))</f>
        <v/>
      </c>
      <c r="O395" s="11" t="str">
        <f>IF($A395="","",IFERROR(VALUE(MID(TRIM('Template Setup'!$C$7),FIND("-",TRIM('Template Setup'!$C$7))+1,10)),0))</f>
        <v/>
      </c>
      <c r="P395" s="11" t="str">
        <f>IF($A395="","",IFERROR(VALUE(MID(TRIM('Template Setup'!$C$8),FIND("-",TRIM('Template Setup'!$C$8))+1,10)),0))</f>
        <v/>
      </c>
      <c r="Q395" s="9" t="str">
        <f>IF($A395="","",$A395&amp;"-"&amp;'Template Setup'!$C$16)</f>
        <v/>
      </c>
      <c r="R395" s="24" t="str">
        <f t="shared" si="25"/>
        <v/>
      </c>
      <c r="S395" s="24"/>
      <c r="T395" s="24" t="str">
        <f t="shared" si="26"/>
        <v/>
      </c>
      <c r="U395" s="6" t="str">
        <f t="shared" si="24"/>
        <v/>
      </c>
    </row>
    <row r="396" spans="1:21">
      <c r="A396" s="11"/>
      <c r="B396" s="11"/>
      <c r="C396" s="11"/>
      <c r="D396" s="11" t="str">
        <f>IF($A396="","",_xlfn.TEXTJOIN(", ",TRUE,IF($G396&gt;0,'Template Setup'!$C$4,""),IF($H396&gt;0,'Template Setup'!$C$5,""),IF($I396&gt;0,'Template Setup'!$C$6,""),IF($J396&gt;0,'Template Setup'!$C$7,""),IF($K396&gt;0,'Template Setup'!$C$8,"")))</f>
        <v/>
      </c>
      <c r="E396" s="6" t="str" cm="1">
        <f t="array" ref="E396">IF($A396="","",_xlfn.LET(_xlpm.sheets,CHOOSE({1,2,3,4,5},'Template Setup'!$C$4,'Template Setup'!$C$5,'Template Setup'!$C$6,'Template Setup'!$C$7,'Template Setup'!$C$8),_xlpm.nums,CHOOSE({1,2,3,4,5},$L396,$M396,$N396,$O396,$P396),_xlpm.qtys,CHOOSE({1,2,3,4,5},$G396,$H396,$I396,$J396,$K396),_xlpm.validNums,_xlfn._xlws.FILTER(_xlpm.nums,_xlpm.qtys&gt;0),_xlpm.validSheets,_xlfn._xlws.FILTER(_xlpm.sheets,_xlpm.qtys&gt;0),_xlpm.mx,IFERROR(MAX(_xlpm.validNums),0),IF(_xlpm.mx=0,"",INDEX(_xlpm.validSheets,MATCH(_xlpm.mx,_xlpm.validNums,0))&amp;" (+"&amp;$R396&amp;")")))</f>
        <v/>
      </c>
      <c r="F396" s="11" t="str">
        <f t="shared" si="27"/>
        <v/>
      </c>
      <c r="G396" s="12" t="str">
        <f ca="1">IF($A396="","",IFERROR(SUMIF(INDIRECT("'"&amp;'Template Setup'!$C$4&amp;"'!C:C"),$A396,INDIRECT("'"&amp;'Template Setup'!$C$4&amp;"'!A:A")),0))</f>
        <v/>
      </c>
      <c r="H396" s="12" t="str">
        <f ca="1">IF($A396="","",IFERROR(SUMIF(INDIRECT("'"&amp;'Template Setup'!$C$5&amp;"'!C:C"),$A396,INDIRECT("'"&amp;'Template Setup'!$C$5&amp;"'!A:A")),0))</f>
        <v/>
      </c>
      <c r="I396" s="12" t="str">
        <f ca="1">IF($A396="","",IFERROR(SUMIF(INDIRECT("'"&amp;'Template Setup'!$C$6&amp;"'!C:C"),$A396,INDIRECT("'"&amp;'Template Setup'!$C$6&amp;"'!A:A")),0))</f>
        <v/>
      </c>
      <c r="J396" s="12" t="str">
        <f ca="1">IF($A396="","",IFERROR(SUMIF(INDIRECT("'"&amp;'Template Setup'!$C$7&amp;"'!C:C"),$A396,INDIRECT("'"&amp;'Template Setup'!$C$7&amp;"'!A:A")),0))</f>
        <v/>
      </c>
      <c r="K396" s="12" t="str">
        <f ca="1">IF($A396="","",IFERROR(SUMIF(INDIRECT("'"&amp;'Template Setup'!$C$8&amp;"'!C:C"),$A396,INDIRECT("'"&amp;'Template Setup'!$C$8&amp;"'!A:A")),0))</f>
        <v/>
      </c>
      <c r="L396" s="11" t="str">
        <f>IF($A396="","",IFERROR(VALUE(MID(TRIM('Template Setup'!$C$4),FIND("-",TRIM('Template Setup'!$C$4))+1,10)),0))</f>
        <v/>
      </c>
      <c r="M396" s="11" t="str">
        <f>IF($A396="","",IFERROR(VALUE(MID(TRIM('Template Setup'!$C$5),FIND("-",TRIM('Template Setup'!$C$5))+1,10)),0))</f>
        <v/>
      </c>
      <c r="N396" s="11" t="str">
        <f>IF($A396="","",IFERROR(VALUE(MID(TRIM('Template Setup'!$C$6),FIND("-",TRIM('Template Setup'!$C$6))+1,10)),0))</f>
        <v/>
      </c>
      <c r="O396" s="11" t="str">
        <f>IF($A396="","",IFERROR(VALUE(MID(TRIM('Template Setup'!$C$7),FIND("-",TRIM('Template Setup'!$C$7))+1,10)),0))</f>
        <v/>
      </c>
      <c r="P396" s="11" t="str">
        <f>IF($A396="","",IFERROR(VALUE(MID(TRIM('Template Setup'!$C$8),FIND("-",TRIM('Template Setup'!$C$8))+1,10)),0))</f>
        <v/>
      </c>
      <c r="Q396" s="9" t="str">
        <f>IF($A396="","",$A396&amp;"-"&amp;'Template Setup'!$C$16)</f>
        <v/>
      </c>
      <c r="R396" s="24" t="str">
        <f t="shared" si="25"/>
        <v/>
      </c>
      <c r="S396" s="24"/>
      <c r="T396" s="24" t="str">
        <f t="shared" si="26"/>
        <v/>
      </c>
      <c r="U396" s="6" t="str">
        <f t="shared" si="24"/>
        <v/>
      </c>
    </row>
    <row r="397" spans="1:21">
      <c r="A397" s="11"/>
      <c r="B397" s="11"/>
      <c r="C397" s="11"/>
      <c r="D397" s="11" t="str">
        <f>IF($A397="","",_xlfn.TEXTJOIN(", ",TRUE,IF($G397&gt;0,'Template Setup'!$C$4,""),IF($H397&gt;0,'Template Setup'!$C$5,""),IF($I397&gt;0,'Template Setup'!$C$6,""),IF($J397&gt;0,'Template Setup'!$C$7,""),IF($K397&gt;0,'Template Setup'!$C$8,"")))</f>
        <v/>
      </c>
      <c r="E397" s="6" t="str" cm="1">
        <f t="array" ref="E397">IF($A397="","",_xlfn.LET(_xlpm.sheets,CHOOSE({1,2,3,4,5},'Template Setup'!$C$4,'Template Setup'!$C$5,'Template Setup'!$C$6,'Template Setup'!$C$7,'Template Setup'!$C$8),_xlpm.nums,CHOOSE({1,2,3,4,5},$L397,$M397,$N397,$O397,$P397),_xlpm.qtys,CHOOSE({1,2,3,4,5},$G397,$H397,$I397,$J397,$K397),_xlpm.validNums,_xlfn._xlws.FILTER(_xlpm.nums,_xlpm.qtys&gt;0),_xlpm.validSheets,_xlfn._xlws.FILTER(_xlpm.sheets,_xlpm.qtys&gt;0),_xlpm.mx,IFERROR(MAX(_xlpm.validNums),0),IF(_xlpm.mx=0,"",INDEX(_xlpm.validSheets,MATCH(_xlpm.mx,_xlpm.validNums,0))&amp;" (+"&amp;$R397&amp;")")))</f>
        <v/>
      </c>
      <c r="F397" s="11" t="str">
        <f t="shared" si="27"/>
        <v/>
      </c>
      <c r="G397" s="12" t="str">
        <f ca="1">IF($A397="","",IFERROR(SUMIF(INDIRECT("'"&amp;'Template Setup'!$C$4&amp;"'!C:C"),$A397,INDIRECT("'"&amp;'Template Setup'!$C$4&amp;"'!A:A")),0))</f>
        <v/>
      </c>
      <c r="H397" s="12" t="str">
        <f ca="1">IF($A397="","",IFERROR(SUMIF(INDIRECT("'"&amp;'Template Setup'!$C$5&amp;"'!C:C"),$A397,INDIRECT("'"&amp;'Template Setup'!$C$5&amp;"'!A:A")),0))</f>
        <v/>
      </c>
      <c r="I397" s="12" t="str">
        <f ca="1">IF($A397="","",IFERROR(SUMIF(INDIRECT("'"&amp;'Template Setup'!$C$6&amp;"'!C:C"),$A397,INDIRECT("'"&amp;'Template Setup'!$C$6&amp;"'!A:A")),0))</f>
        <v/>
      </c>
      <c r="J397" s="12" t="str">
        <f ca="1">IF($A397="","",IFERROR(SUMIF(INDIRECT("'"&amp;'Template Setup'!$C$7&amp;"'!C:C"),$A397,INDIRECT("'"&amp;'Template Setup'!$C$7&amp;"'!A:A")),0))</f>
        <v/>
      </c>
      <c r="K397" s="12" t="str">
        <f ca="1">IF($A397="","",IFERROR(SUMIF(INDIRECT("'"&amp;'Template Setup'!$C$8&amp;"'!C:C"),$A397,INDIRECT("'"&amp;'Template Setup'!$C$8&amp;"'!A:A")),0))</f>
        <v/>
      </c>
      <c r="L397" s="11" t="str">
        <f>IF($A397="","",IFERROR(VALUE(MID(TRIM('Template Setup'!$C$4),FIND("-",TRIM('Template Setup'!$C$4))+1,10)),0))</f>
        <v/>
      </c>
      <c r="M397" s="11" t="str">
        <f>IF($A397="","",IFERROR(VALUE(MID(TRIM('Template Setup'!$C$5),FIND("-",TRIM('Template Setup'!$C$5))+1,10)),0))</f>
        <v/>
      </c>
      <c r="N397" s="11" t="str">
        <f>IF($A397="","",IFERROR(VALUE(MID(TRIM('Template Setup'!$C$6),FIND("-",TRIM('Template Setup'!$C$6))+1,10)),0))</f>
        <v/>
      </c>
      <c r="O397" s="11" t="str">
        <f>IF($A397="","",IFERROR(VALUE(MID(TRIM('Template Setup'!$C$7),FIND("-",TRIM('Template Setup'!$C$7))+1,10)),0))</f>
        <v/>
      </c>
      <c r="P397" s="11" t="str">
        <f>IF($A397="","",IFERROR(VALUE(MID(TRIM('Template Setup'!$C$8),FIND("-",TRIM('Template Setup'!$C$8))+1,10)),0))</f>
        <v/>
      </c>
      <c r="Q397" s="9" t="str">
        <f>IF($A397="","",$A397&amp;"-"&amp;'Template Setup'!$C$16)</f>
        <v/>
      </c>
      <c r="R397" s="24" t="str">
        <f t="shared" si="25"/>
        <v/>
      </c>
      <c r="S397" s="24"/>
      <c r="T397" s="24" t="str">
        <f t="shared" si="26"/>
        <v/>
      </c>
      <c r="U397" s="6" t="str">
        <f t="shared" si="24"/>
        <v/>
      </c>
    </row>
    <row r="398" spans="1:21">
      <c r="A398" s="11"/>
      <c r="B398" s="11"/>
      <c r="C398" s="11"/>
      <c r="D398" s="11" t="str">
        <f>IF($A398="","",_xlfn.TEXTJOIN(", ",TRUE,IF($G398&gt;0,'Template Setup'!$C$4,""),IF($H398&gt;0,'Template Setup'!$C$5,""),IF($I398&gt;0,'Template Setup'!$C$6,""),IF($J398&gt;0,'Template Setup'!$C$7,""),IF($K398&gt;0,'Template Setup'!$C$8,"")))</f>
        <v/>
      </c>
      <c r="E398" s="6" t="str" cm="1">
        <f t="array" ref="E398">IF($A398="","",_xlfn.LET(_xlpm.sheets,CHOOSE({1,2,3,4,5},'Template Setup'!$C$4,'Template Setup'!$C$5,'Template Setup'!$C$6,'Template Setup'!$C$7,'Template Setup'!$C$8),_xlpm.nums,CHOOSE({1,2,3,4,5},$L398,$M398,$N398,$O398,$P398),_xlpm.qtys,CHOOSE({1,2,3,4,5},$G398,$H398,$I398,$J398,$K398),_xlpm.validNums,_xlfn._xlws.FILTER(_xlpm.nums,_xlpm.qtys&gt;0),_xlpm.validSheets,_xlfn._xlws.FILTER(_xlpm.sheets,_xlpm.qtys&gt;0),_xlpm.mx,IFERROR(MAX(_xlpm.validNums),0),IF(_xlpm.mx=0,"",INDEX(_xlpm.validSheets,MATCH(_xlpm.mx,_xlpm.validNums,0))&amp;" (+"&amp;$R398&amp;")")))</f>
        <v/>
      </c>
      <c r="F398" s="11" t="str">
        <f t="shared" si="27"/>
        <v/>
      </c>
      <c r="G398" s="12" t="str">
        <f ca="1">IF($A398="","",IFERROR(SUMIF(INDIRECT("'"&amp;'Template Setup'!$C$4&amp;"'!C:C"),$A398,INDIRECT("'"&amp;'Template Setup'!$C$4&amp;"'!A:A")),0))</f>
        <v/>
      </c>
      <c r="H398" s="12" t="str">
        <f ca="1">IF($A398="","",IFERROR(SUMIF(INDIRECT("'"&amp;'Template Setup'!$C$5&amp;"'!C:C"),$A398,INDIRECT("'"&amp;'Template Setup'!$C$5&amp;"'!A:A")),0))</f>
        <v/>
      </c>
      <c r="I398" s="12" t="str">
        <f ca="1">IF($A398="","",IFERROR(SUMIF(INDIRECT("'"&amp;'Template Setup'!$C$6&amp;"'!C:C"),$A398,INDIRECT("'"&amp;'Template Setup'!$C$6&amp;"'!A:A")),0))</f>
        <v/>
      </c>
      <c r="J398" s="12" t="str">
        <f ca="1">IF($A398="","",IFERROR(SUMIF(INDIRECT("'"&amp;'Template Setup'!$C$7&amp;"'!C:C"),$A398,INDIRECT("'"&amp;'Template Setup'!$C$7&amp;"'!A:A")),0))</f>
        <v/>
      </c>
      <c r="K398" s="12" t="str">
        <f ca="1">IF($A398="","",IFERROR(SUMIF(INDIRECT("'"&amp;'Template Setup'!$C$8&amp;"'!C:C"),$A398,INDIRECT("'"&amp;'Template Setup'!$C$8&amp;"'!A:A")),0))</f>
        <v/>
      </c>
      <c r="L398" s="11" t="str">
        <f>IF($A398="","",IFERROR(VALUE(MID(TRIM('Template Setup'!$C$4),FIND("-",TRIM('Template Setup'!$C$4))+1,10)),0))</f>
        <v/>
      </c>
      <c r="M398" s="11" t="str">
        <f>IF($A398="","",IFERROR(VALUE(MID(TRIM('Template Setup'!$C$5),FIND("-",TRIM('Template Setup'!$C$5))+1,10)),0))</f>
        <v/>
      </c>
      <c r="N398" s="11" t="str">
        <f>IF($A398="","",IFERROR(VALUE(MID(TRIM('Template Setup'!$C$6),FIND("-",TRIM('Template Setup'!$C$6))+1,10)),0))</f>
        <v/>
      </c>
      <c r="O398" s="11" t="str">
        <f>IF($A398="","",IFERROR(VALUE(MID(TRIM('Template Setup'!$C$7),FIND("-",TRIM('Template Setup'!$C$7))+1,10)),0))</f>
        <v/>
      </c>
      <c r="P398" s="11" t="str">
        <f>IF($A398="","",IFERROR(VALUE(MID(TRIM('Template Setup'!$C$8),FIND("-",TRIM('Template Setup'!$C$8))+1,10)),0))</f>
        <v/>
      </c>
      <c r="Q398" s="9" t="str">
        <f>IF($A398="","",$A398&amp;"-"&amp;'Template Setup'!$C$16)</f>
        <v/>
      </c>
      <c r="R398" s="24" t="str">
        <f t="shared" si="25"/>
        <v/>
      </c>
      <c r="S398" s="24"/>
      <c r="T398" s="24" t="str">
        <f t="shared" si="26"/>
        <v/>
      </c>
      <c r="U398" s="6" t="str">
        <f t="shared" si="24"/>
        <v/>
      </c>
    </row>
    <row r="399" spans="1:21">
      <c r="A399" s="11"/>
      <c r="B399" s="11"/>
      <c r="C399" s="11"/>
      <c r="D399" s="11" t="str">
        <f>IF($A399="","",_xlfn.TEXTJOIN(", ",TRUE,IF($G399&gt;0,'Template Setup'!$C$4,""),IF($H399&gt;0,'Template Setup'!$C$5,""),IF($I399&gt;0,'Template Setup'!$C$6,""),IF($J399&gt;0,'Template Setup'!$C$7,""),IF($K399&gt;0,'Template Setup'!$C$8,"")))</f>
        <v/>
      </c>
      <c r="E399" s="6" t="str" cm="1">
        <f t="array" ref="E399">IF($A399="","",_xlfn.LET(_xlpm.sheets,CHOOSE({1,2,3,4,5},'Template Setup'!$C$4,'Template Setup'!$C$5,'Template Setup'!$C$6,'Template Setup'!$C$7,'Template Setup'!$C$8),_xlpm.nums,CHOOSE({1,2,3,4,5},$L399,$M399,$N399,$O399,$P399),_xlpm.qtys,CHOOSE({1,2,3,4,5},$G399,$H399,$I399,$J399,$K399),_xlpm.validNums,_xlfn._xlws.FILTER(_xlpm.nums,_xlpm.qtys&gt;0),_xlpm.validSheets,_xlfn._xlws.FILTER(_xlpm.sheets,_xlpm.qtys&gt;0),_xlpm.mx,IFERROR(MAX(_xlpm.validNums),0),IF(_xlpm.mx=0,"",INDEX(_xlpm.validSheets,MATCH(_xlpm.mx,_xlpm.validNums,0))&amp;" (+"&amp;$R399&amp;")")))</f>
        <v/>
      </c>
      <c r="F399" s="11" t="str">
        <f t="shared" si="27"/>
        <v/>
      </c>
      <c r="G399" s="12" t="str">
        <f ca="1">IF($A399="","",IFERROR(SUMIF(INDIRECT("'"&amp;'Template Setup'!$C$4&amp;"'!C:C"),$A399,INDIRECT("'"&amp;'Template Setup'!$C$4&amp;"'!A:A")),0))</f>
        <v/>
      </c>
      <c r="H399" s="12" t="str">
        <f ca="1">IF($A399="","",IFERROR(SUMIF(INDIRECT("'"&amp;'Template Setup'!$C$5&amp;"'!C:C"),$A399,INDIRECT("'"&amp;'Template Setup'!$C$5&amp;"'!A:A")),0))</f>
        <v/>
      </c>
      <c r="I399" s="12" t="str">
        <f ca="1">IF($A399="","",IFERROR(SUMIF(INDIRECT("'"&amp;'Template Setup'!$C$6&amp;"'!C:C"),$A399,INDIRECT("'"&amp;'Template Setup'!$C$6&amp;"'!A:A")),0))</f>
        <v/>
      </c>
      <c r="J399" s="12" t="str">
        <f ca="1">IF($A399="","",IFERROR(SUMIF(INDIRECT("'"&amp;'Template Setup'!$C$7&amp;"'!C:C"),$A399,INDIRECT("'"&amp;'Template Setup'!$C$7&amp;"'!A:A")),0))</f>
        <v/>
      </c>
      <c r="K399" s="12" t="str">
        <f ca="1">IF($A399="","",IFERROR(SUMIF(INDIRECT("'"&amp;'Template Setup'!$C$8&amp;"'!C:C"),$A399,INDIRECT("'"&amp;'Template Setup'!$C$8&amp;"'!A:A")),0))</f>
        <v/>
      </c>
      <c r="L399" s="11" t="str">
        <f>IF($A399="","",IFERROR(VALUE(MID(TRIM('Template Setup'!$C$4),FIND("-",TRIM('Template Setup'!$C$4))+1,10)),0))</f>
        <v/>
      </c>
      <c r="M399" s="11" t="str">
        <f>IF($A399="","",IFERROR(VALUE(MID(TRIM('Template Setup'!$C$5),FIND("-",TRIM('Template Setup'!$C$5))+1,10)),0))</f>
        <v/>
      </c>
      <c r="N399" s="11" t="str">
        <f>IF($A399="","",IFERROR(VALUE(MID(TRIM('Template Setup'!$C$6),FIND("-",TRIM('Template Setup'!$C$6))+1,10)),0))</f>
        <v/>
      </c>
      <c r="O399" s="11" t="str">
        <f>IF($A399="","",IFERROR(VALUE(MID(TRIM('Template Setup'!$C$7),FIND("-",TRIM('Template Setup'!$C$7))+1,10)),0))</f>
        <v/>
      </c>
      <c r="P399" s="11" t="str">
        <f>IF($A399="","",IFERROR(VALUE(MID(TRIM('Template Setup'!$C$8),FIND("-",TRIM('Template Setup'!$C$8))+1,10)),0))</f>
        <v/>
      </c>
      <c r="Q399" s="9" t="str">
        <f>IF($A399="","",$A399&amp;"-"&amp;'Template Setup'!$C$16)</f>
        <v/>
      </c>
      <c r="R399" s="24" t="str">
        <f t="shared" si="25"/>
        <v/>
      </c>
      <c r="S399" s="24"/>
      <c r="T399" s="24" t="str">
        <f t="shared" si="26"/>
        <v/>
      </c>
      <c r="U399" s="6" t="str">
        <f t="shared" si="24"/>
        <v/>
      </c>
    </row>
    <row r="400" spans="1:21">
      <c r="A400" s="11"/>
      <c r="B400" s="11"/>
      <c r="C400" s="11"/>
      <c r="D400" s="11" t="str">
        <f>IF($A400="","",_xlfn.TEXTJOIN(", ",TRUE,IF($G400&gt;0,'Template Setup'!$C$4,""),IF($H400&gt;0,'Template Setup'!$C$5,""),IF($I400&gt;0,'Template Setup'!$C$6,""),IF($J400&gt;0,'Template Setup'!$C$7,""),IF($K400&gt;0,'Template Setup'!$C$8,"")))</f>
        <v/>
      </c>
      <c r="E400" s="6" t="str" cm="1">
        <f t="array" ref="E400">IF($A400="","",_xlfn.LET(_xlpm.sheets,CHOOSE({1,2,3,4,5},'Template Setup'!$C$4,'Template Setup'!$C$5,'Template Setup'!$C$6,'Template Setup'!$C$7,'Template Setup'!$C$8),_xlpm.nums,CHOOSE({1,2,3,4,5},$L400,$M400,$N400,$O400,$P400),_xlpm.qtys,CHOOSE({1,2,3,4,5},$G400,$H400,$I400,$J400,$K400),_xlpm.validNums,_xlfn._xlws.FILTER(_xlpm.nums,_xlpm.qtys&gt;0),_xlpm.validSheets,_xlfn._xlws.FILTER(_xlpm.sheets,_xlpm.qtys&gt;0),_xlpm.mx,IFERROR(MAX(_xlpm.validNums),0),IF(_xlpm.mx=0,"",INDEX(_xlpm.validSheets,MATCH(_xlpm.mx,_xlpm.validNums,0))&amp;" (+"&amp;$R400&amp;")")))</f>
        <v/>
      </c>
      <c r="F400" s="11" t="str">
        <f t="shared" si="27"/>
        <v/>
      </c>
      <c r="G400" s="12" t="str">
        <f ca="1">IF($A400="","",IFERROR(SUMIF(INDIRECT("'"&amp;'Template Setup'!$C$4&amp;"'!C:C"),$A400,INDIRECT("'"&amp;'Template Setup'!$C$4&amp;"'!A:A")),0))</f>
        <v/>
      </c>
      <c r="H400" s="12" t="str">
        <f ca="1">IF($A400="","",IFERROR(SUMIF(INDIRECT("'"&amp;'Template Setup'!$C$5&amp;"'!C:C"),$A400,INDIRECT("'"&amp;'Template Setup'!$C$5&amp;"'!A:A")),0))</f>
        <v/>
      </c>
      <c r="I400" s="12" t="str">
        <f ca="1">IF($A400="","",IFERROR(SUMIF(INDIRECT("'"&amp;'Template Setup'!$C$6&amp;"'!C:C"),$A400,INDIRECT("'"&amp;'Template Setup'!$C$6&amp;"'!A:A")),0))</f>
        <v/>
      </c>
      <c r="J400" s="12" t="str">
        <f ca="1">IF($A400="","",IFERROR(SUMIF(INDIRECT("'"&amp;'Template Setup'!$C$7&amp;"'!C:C"),$A400,INDIRECT("'"&amp;'Template Setup'!$C$7&amp;"'!A:A")),0))</f>
        <v/>
      </c>
      <c r="K400" s="12" t="str">
        <f ca="1">IF($A400="","",IFERROR(SUMIF(INDIRECT("'"&amp;'Template Setup'!$C$8&amp;"'!C:C"),$A400,INDIRECT("'"&amp;'Template Setup'!$C$8&amp;"'!A:A")),0))</f>
        <v/>
      </c>
      <c r="L400" s="11" t="str">
        <f>IF($A400="","",IFERROR(VALUE(MID(TRIM('Template Setup'!$C$4),FIND("-",TRIM('Template Setup'!$C$4))+1,10)),0))</f>
        <v/>
      </c>
      <c r="M400" s="11" t="str">
        <f>IF($A400="","",IFERROR(VALUE(MID(TRIM('Template Setup'!$C$5),FIND("-",TRIM('Template Setup'!$C$5))+1,10)),0))</f>
        <v/>
      </c>
      <c r="N400" s="11" t="str">
        <f>IF($A400="","",IFERROR(VALUE(MID(TRIM('Template Setup'!$C$6),FIND("-",TRIM('Template Setup'!$C$6))+1,10)),0))</f>
        <v/>
      </c>
      <c r="O400" s="11" t="str">
        <f>IF($A400="","",IFERROR(VALUE(MID(TRIM('Template Setup'!$C$7),FIND("-",TRIM('Template Setup'!$C$7))+1,10)),0))</f>
        <v/>
      </c>
      <c r="P400" s="11" t="str">
        <f>IF($A400="","",IFERROR(VALUE(MID(TRIM('Template Setup'!$C$8),FIND("-",TRIM('Template Setup'!$C$8))+1,10)),0))</f>
        <v/>
      </c>
      <c r="Q400" s="9" t="str">
        <f>IF($A400="","",$A400&amp;"-"&amp;'Template Setup'!$C$16)</f>
        <v/>
      </c>
      <c r="R400" s="24" t="str">
        <f t="shared" si="25"/>
        <v/>
      </c>
      <c r="S400" s="24"/>
      <c r="T400" s="24" t="str">
        <f t="shared" si="26"/>
        <v/>
      </c>
      <c r="U400" s="6" t="str">
        <f t="shared" si="24"/>
        <v/>
      </c>
    </row>
    <row r="401" spans="1:21">
      <c r="A401" s="11"/>
      <c r="B401" s="11"/>
      <c r="C401" s="11"/>
      <c r="D401" s="11" t="str">
        <f>IF($A401="","",_xlfn.TEXTJOIN(", ",TRUE,IF($G401&gt;0,'Template Setup'!$C$4,""),IF($H401&gt;0,'Template Setup'!$C$5,""),IF($I401&gt;0,'Template Setup'!$C$6,""),IF($J401&gt;0,'Template Setup'!$C$7,""),IF($K401&gt;0,'Template Setup'!$C$8,"")))</f>
        <v/>
      </c>
      <c r="E401" s="6" t="str" cm="1">
        <f t="array" ref="E401">IF($A401="","",_xlfn.LET(_xlpm.sheets,CHOOSE({1,2,3,4,5},'Template Setup'!$C$4,'Template Setup'!$C$5,'Template Setup'!$C$6,'Template Setup'!$C$7,'Template Setup'!$C$8),_xlpm.nums,CHOOSE({1,2,3,4,5},$L401,$M401,$N401,$O401,$P401),_xlpm.qtys,CHOOSE({1,2,3,4,5},$G401,$H401,$I401,$J401,$K401),_xlpm.validNums,_xlfn._xlws.FILTER(_xlpm.nums,_xlpm.qtys&gt;0),_xlpm.validSheets,_xlfn._xlws.FILTER(_xlpm.sheets,_xlpm.qtys&gt;0),_xlpm.mx,IFERROR(MAX(_xlpm.validNums),0),IF(_xlpm.mx=0,"",INDEX(_xlpm.validSheets,MATCH(_xlpm.mx,_xlpm.validNums,0))&amp;" (+"&amp;$R401&amp;")")))</f>
        <v/>
      </c>
      <c r="F401" s="11" t="str">
        <f t="shared" si="27"/>
        <v/>
      </c>
      <c r="G401" s="12" t="str">
        <f ca="1">IF($A401="","",IFERROR(SUMIF(INDIRECT("'"&amp;'Template Setup'!$C$4&amp;"'!C:C"),$A401,INDIRECT("'"&amp;'Template Setup'!$C$4&amp;"'!A:A")),0))</f>
        <v/>
      </c>
      <c r="H401" s="12" t="str">
        <f ca="1">IF($A401="","",IFERROR(SUMIF(INDIRECT("'"&amp;'Template Setup'!$C$5&amp;"'!C:C"),$A401,INDIRECT("'"&amp;'Template Setup'!$C$5&amp;"'!A:A")),0))</f>
        <v/>
      </c>
      <c r="I401" s="12" t="str">
        <f ca="1">IF($A401="","",IFERROR(SUMIF(INDIRECT("'"&amp;'Template Setup'!$C$6&amp;"'!C:C"),$A401,INDIRECT("'"&amp;'Template Setup'!$C$6&amp;"'!A:A")),0))</f>
        <v/>
      </c>
      <c r="J401" s="12" t="str">
        <f ca="1">IF($A401="","",IFERROR(SUMIF(INDIRECT("'"&amp;'Template Setup'!$C$7&amp;"'!C:C"),$A401,INDIRECT("'"&amp;'Template Setup'!$C$7&amp;"'!A:A")),0))</f>
        <v/>
      </c>
      <c r="K401" s="12" t="str">
        <f ca="1">IF($A401="","",IFERROR(SUMIF(INDIRECT("'"&amp;'Template Setup'!$C$8&amp;"'!C:C"),$A401,INDIRECT("'"&amp;'Template Setup'!$C$8&amp;"'!A:A")),0))</f>
        <v/>
      </c>
      <c r="L401" s="11" t="str">
        <f>IF($A401="","",IFERROR(VALUE(MID(TRIM('Template Setup'!$C$4),FIND("-",TRIM('Template Setup'!$C$4))+1,10)),0))</f>
        <v/>
      </c>
      <c r="M401" s="11" t="str">
        <f>IF($A401="","",IFERROR(VALUE(MID(TRIM('Template Setup'!$C$5),FIND("-",TRIM('Template Setup'!$C$5))+1,10)),0))</f>
        <v/>
      </c>
      <c r="N401" s="11" t="str">
        <f>IF($A401="","",IFERROR(VALUE(MID(TRIM('Template Setup'!$C$6),FIND("-",TRIM('Template Setup'!$C$6))+1,10)),0))</f>
        <v/>
      </c>
      <c r="O401" s="11" t="str">
        <f>IF($A401="","",IFERROR(VALUE(MID(TRIM('Template Setup'!$C$7),FIND("-",TRIM('Template Setup'!$C$7))+1,10)),0))</f>
        <v/>
      </c>
      <c r="P401" s="11" t="str">
        <f>IF($A401="","",IFERROR(VALUE(MID(TRIM('Template Setup'!$C$8),FIND("-",TRIM('Template Setup'!$C$8))+1,10)),0))</f>
        <v/>
      </c>
      <c r="Q401" s="9" t="str">
        <f>IF($A401="","",$A401&amp;"-"&amp;'Template Setup'!$C$16)</f>
        <v/>
      </c>
      <c r="R401" s="24" t="str">
        <f t="shared" si="25"/>
        <v/>
      </c>
      <c r="S401" s="24"/>
      <c r="T401" s="24" t="str">
        <f t="shared" si="26"/>
        <v/>
      </c>
      <c r="U401" s="6" t="str">
        <f t="shared" si="24"/>
        <v/>
      </c>
    </row>
    <row r="402" spans="1:21">
      <c r="A402" s="11"/>
      <c r="B402" s="11"/>
      <c r="C402" s="11"/>
      <c r="D402" s="11" t="str">
        <f>IF($A402="","",_xlfn.TEXTJOIN(", ",TRUE,IF($G402&gt;0,'Template Setup'!$C$4,""),IF($H402&gt;0,'Template Setup'!$C$5,""),IF($I402&gt;0,'Template Setup'!$C$6,""),IF($J402&gt;0,'Template Setup'!$C$7,""),IF($K402&gt;0,'Template Setup'!$C$8,"")))</f>
        <v/>
      </c>
      <c r="E402" s="6" t="str" cm="1">
        <f t="array" ref="E402">IF($A402="","",_xlfn.LET(_xlpm.sheets,CHOOSE({1,2,3,4,5},'Template Setup'!$C$4,'Template Setup'!$C$5,'Template Setup'!$C$6,'Template Setup'!$C$7,'Template Setup'!$C$8),_xlpm.nums,CHOOSE({1,2,3,4,5},$L402,$M402,$N402,$O402,$P402),_xlpm.qtys,CHOOSE({1,2,3,4,5},$G402,$H402,$I402,$J402,$K402),_xlpm.validNums,_xlfn._xlws.FILTER(_xlpm.nums,_xlpm.qtys&gt;0),_xlpm.validSheets,_xlfn._xlws.FILTER(_xlpm.sheets,_xlpm.qtys&gt;0),_xlpm.mx,IFERROR(MAX(_xlpm.validNums),0),IF(_xlpm.mx=0,"",INDEX(_xlpm.validSheets,MATCH(_xlpm.mx,_xlpm.validNums,0))&amp;" (+"&amp;$R402&amp;")")))</f>
        <v/>
      </c>
      <c r="F402" s="11" t="str">
        <f t="shared" si="27"/>
        <v/>
      </c>
      <c r="G402" s="12" t="str">
        <f ca="1">IF($A402="","",IFERROR(SUMIF(INDIRECT("'"&amp;'Template Setup'!$C$4&amp;"'!C:C"),$A402,INDIRECT("'"&amp;'Template Setup'!$C$4&amp;"'!A:A")),0))</f>
        <v/>
      </c>
      <c r="H402" s="12" t="str">
        <f ca="1">IF($A402="","",IFERROR(SUMIF(INDIRECT("'"&amp;'Template Setup'!$C$5&amp;"'!C:C"),$A402,INDIRECT("'"&amp;'Template Setup'!$C$5&amp;"'!A:A")),0))</f>
        <v/>
      </c>
      <c r="I402" s="12" t="str">
        <f ca="1">IF($A402="","",IFERROR(SUMIF(INDIRECT("'"&amp;'Template Setup'!$C$6&amp;"'!C:C"),$A402,INDIRECT("'"&amp;'Template Setup'!$C$6&amp;"'!A:A")),0))</f>
        <v/>
      </c>
      <c r="J402" s="12" t="str">
        <f ca="1">IF($A402="","",IFERROR(SUMIF(INDIRECT("'"&amp;'Template Setup'!$C$7&amp;"'!C:C"),$A402,INDIRECT("'"&amp;'Template Setup'!$C$7&amp;"'!A:A")),0))</f>
        <v/>
      </c>
      <c r="K402" s="12" t="str">
        <f ca="1">IF($A402="","",IFERROR(SUMIF(INDIRECT("'"&amp;'Template Setup'!$C$8&amp;"'!C:C"),$A402,INDIRECT("'"&amp;'Template Setup'!$C$8&amp;"'!A:A")),0))</f>
        <v/>
      </c>
      <c r="L402" s="11" t="str">
        <f>IF($A402="","",IFERROR(VALUE(MID(TRIM('Template Setup'!$C$4),FIND("-",TRIM('Template Setup'!$C$4))+1,10)),0))</f>
        <v/>
      </c>
      <c r="M402" s="11" t="str">
        <f>IF($A402="","",IFERROR(VALUE(MID(TRIM('Template Setup'!$C$5),FIND("-",TRIM('Template Setup'!$C$5))+1,10)),0))</f>
        <v/>
      </c>
      <c r="N402" s="11" t="str">
        <f>IF($A402="","",IFERROR(VALUE(MID(TRIM('Template Setup'!$C$6),FIND("-",TRIM('Template Setup'!$C$6))+1,10)),0))</f>
        <v/>
      </c>
      <c r="O402" s="11" t="str">
        <f>IF($A402="","",IFERROR(VALUE(MID(TRIM('Template Setup'!$C$7),FIND("-",TRIM('Template Setup'!$C$7))+1,10)),0))</f>
        <v/>
      </c>
      <c r="P402" s="11" t="str">
        <f>IF($A402="","",IFERROR(VALUE(MID(TRIM('Template Setup'!$C$8),FIND("-",TRIM('Template Setup'!$C$8))+1,10)),0))</f>
        <v/>
      </c>
      <c r="Q402" s="9" t="str">
        <f>IF($A402="","",$A402&amp;"-"&amp;'Template Setup'!$C$16)</f>
        <v/>
      </c>
      <c r="R402" s="24" t="str">
        <f t="shared" si="25"/>
        <v/>
      </c>
      <c r="S402" s="24"/>
      <c r="T402" s="24" t="str">
        <f t="shared" si="26"/>
        <v/>
      </c>
      <c r="U402" s="6" t="str">
        <f t="shared" ref="U402:U465" si="28">IF($A402="","","☐")</f>
        <v/>
      </c>
    </row>
    <row r="403" spans="1:21">
      <c r="A403" s="11"/>
      <c r="B403" s="11"/>
      <c r="C403" s="11"/>
      <c r="D403" s="11" t="str">
        <f>IF($A403="","",_xlfn.TEXTJOIN(", ",TRUE,IF($G403&gt;0,'Template Setup'!$C$4,""),IF($H403&gt;0,'Template Setup'!$C$5,""),IF($I403&gt;0,'Template Setup'!$C$6,""),IF($J403&gt;0,'Template Setup'!$C$7,""),IF($K403&gt;0,'Template Setup'!$C$8,"")))</f>
        <v/>
      </c>
      <c r="E403" s="6" t="str" cm="1">
        <f t="array" ref="E403">IF($A403="","",_xlfn.LET(_xlpm.sheets,CHOOSE({1,2,3,4,5},'Template Setup'!$C$4,'Template Setup'!$C$5,'Template Setup'!$C$6,'Template Setup'!$C$7,'Template Setup'!$C$8),_xlpm.nums,CHOOSE({1,2,3,4,5},$L403,$M403,$N403,$O403,$P403),_xlpm.qtys,CHOOSE({1,2,3,4,5},$G403,$H403,$I403,$J403,$K403),_xlpm.validNums,_xlfn._xlws.FILTER(_xlpm.nums,_xlpm.qtys&gt;0),_xlpm.validSheets,_xlfn._xlws.FILTER(_xlpm.sheets,_xlpm.qtys&gt;0),_xlpm.mx,IFERROR(MAX(_xlpm.validNums),0),IF(_xlpm.mx=0,"",INDEX(_xlpm.validSheets,MATCH(_xlpm.mx,_xlpm.validNums,0))&amp;" (+"&amp;$R403&amp;")")))</f>
        <v/>
      </c>
      <c r="F403" s="11" t="str">
        <f t="shared" si="27"/>
        <v/>
      </c>
      <c r="G403" s="12" t="str">
        <f ca="1">IF($A403="","",IFERROR(SUMIF(INDIRECT("'"&amp;'Template Setup'!$C$4&amp;"'!C:C"),$A403,INDIRECT("'"&amp;'Template Setup'!$C$4&amp;"'!A:A")),0))</f>
        <v/>
      </c>
      <c r="H403" s="12" t="str">
        <f ca="1">IF($A403="","",IFERROR(SUMIF(INDIRECT("'"&amp;'Template Setup'!$C$5&amp;"'!C:C"),$A403,INDIRECT("'"&amp;'Template Setup'!$C$5&amp;"'!A:A")),0))</f>
        <v/>
      </c>
      <c r="I403" s="12" t="str">
        <f ca="1">IF($A403="","",IFERROR(SUMIF(INDIRECT("'"&amp;'Template Setup'!$C$6&amp;"'!C:C"),$A403,INDIRECT("'"&amp;'Template Setup'!$C$6&amp;"'!A:A")),0))</f>
        <v/>
      </c>
      <c r="J403" s="12" t="str">
        <f ca="1">IF($A403="","",IFERROR(SUMIF(INDIRECT("'"&amp;'Template Setup'!$C$7&amp;"'!C:C"),$A403,INDIRECT("'"&amp;'Template Setup'!$C$7&amp;"'!A:A")),0))</f>
        <v/>
      </c>
      <c r="K403" s="12" t="str">
        <f ca="1">IF($A403="","",IFERROR(SUMIF(INDIRECT("'"&amp;'Template Setup'!$C$8&amp;"'!C:C"),$A403,INDIRECT("'"&amp;'Template Setup'!$C$8&amp;"'!A:A")),0))</f>
        <v/>
      </c>
      <c r="L403" s="11" t="str">
        <f>IF($A403="","",IFERROR(VALUE(MID(TRIM('Template Setup'!$C$4),FIND("-",TRIM('Template Setup'!$C$4))+1,10)),0))</f>
        <v/>
      </c>
      <c r="M403" s="11" t="str">
        <f>IF($A403="","",IFERROR(VALUE(MID(TRIM('Template Setup'!$C$5),FIND("-",TRIM('Template Setup'!$C$5))+1,10)),0))</f>
        <v/>
      </c>
      <c r="N403" s="11" t="str">
        <f>IF($A403="","",IFERROR(VALUE(MID(TRIM('Template Setup'!$C$6),FIND("-",TRIM('Template Setup'!$C$6))+1,10)),0))</f>
        <v/>
      </c>
      <c r="O403" s="11" t="str">
        <f>IF($A403="","",IFERROR(VALUE(MID(TRIM('Template Setup'!$C$7),FIND("-",TRIM('Template Setup'!$C$7))+1,10)),0))</f>
        <v/>
      </c>
      <c r="P403" s="11" t="str">
        <f>IF($A403="","",IFERROR(VALUE(MID(TRIM('Template Setup'!$C$8),FIND("-",TRIM('Template Setup'!$C$8))+1,10)),0))</f>
        <v/>
      </c>
      <c r="Q403" s="9" t="str">
        <f>IF($A403="","",$A403&amp;"-"&amp;'Template Setup'!$C$16)</f>
        <v/>
      </c>
      <c r="R403" s="24" t="str">
        <f t="shared" si="25"/>
        <v/>
      </c>
      <c r="S403" s="24"/>
      <c r="T403" s="24" t="str">
        <f t="shared" si="26"/>
        <v/>
      </c>
      <c r="U403" s="6" t="str">
        <f t="shared" si="28"/>
        <v/>
      </c>
    </row>
    <row r="404" spans="1:21">
      <c r="A404" s="11"/>
      <c r="B404" s="11"/>
      <c r="C404" s="11"/>
      <c r="D404" s="11" t="str">
        <f>IF($A404="","",_xlfn.TEXTJOIN(", ",TRUE,IF($G404&gt;0,'Template Setup'!$C$4,""),IF($H404&gt;0,'Template Setup'!$C$5,""),IF($I404&gt;0,'Template Setup'!$C$6,""),IF($J404&gt;0,'Template Setup'!$C$7,""),IF($K404&gt;0,'Template Setup'!$C$8,"")))</f>
        <v/>
      </c>
      <c r="E404" s="6" t="str" cm="1">
        <f t="array" ref="E404">IF($A404="","",_xlfn.LET(_xlpm.sheets,CHOOSE({1,2,3,4,5},'Template Setup'!$C$4,'Template Setup'!$C$5,'Template Setup'!$C$6,'Template Setup'!$C$7,'Template Setup'!$C$8),_xlpm.nums,CHOOSE({1,2,3,4,5},$L404,$M404,$N404,$O404,$P404),_xlpm.qtys,CHOOSE({1,2,3,4,5},$G404,$H404,$I404,$J404,$K404),_xlpm.validNums,_xlfn._xlws.FILTER(_xlpm.nums,_xlpm.qtys&gt;0),_xlpm.validSheets,_xlfn._xlws.FILTER(_xlpm.sheets,_xlpm.qtys&gt;0),_xlpm.mx,IFERROR(MAX(_xlpm.validNums),0),IF(_xlpm.mx=0,"",INDEX(_xlpm.validSheets,MATCH(_xlpm.mx,_xlpm.validNums,0))&amp;" (+"&amp;$R404&amp;")")))</f>
        <v/>
      </c>
      <c r="F404" s="11" t="str">
        <f t="shared" si="27"/>
        <v/>
      </c>
      <c r="G404" s="12" t="str">
        <f ca="1">IF($A404="","",IFERROR(SUMIF(INDIRECT("'"&amp;'Template Setup'!$C$4&amp;"'!C:C"),$A404,INDIRECT("'"&amp;'Template Setup'!$C$4&amp;"'!A:A")),0))</f>
        <v/>
      </c>
      <c r="H404" s="12" t="str">
        <f ca="1">IF($A404="","",IFERROR(SUMIF(INDIRECT("'"&amp;'Template Setup'!$C$5&amp;"'!C:C"),$A404,INDIRECT("'"&amp;'Template Setup'!$C$5&amp;"'!A:A")),0))</f>
        <v/>
      </c>
      <c r="I404" s="12" t="str">
        <f ca="1">IF($A404="","",IFERROR(SUMIF(INDIRECT("'"&amp;'Template Setup'!$C$6&amp;"'!C:C"),$A404,INDIRECT("'"&amp;'Template Setup'!$C$6&amp;"'!A:A")),0))</f>
        <v/>
      </c>
      <c r="J404" s="12" t="str">
        <f ca="1">IF($A404="","",IFERROR(SUMIF(INDIRECT("'"&amp;'Template Setup'!$C$7&amp;"'!C:C"),$A404,INDIRECT("'"&amp;'Template Setup'!$C$7&amp;"'!A:A")),0))</f>
        <v/>
      </c>
      <c r="K404" s="12" t="str">
        <f ca="1">IF($A404="","",IFERROR(SUMIF(INDIRECT("'"&amp;'Template Setup'!$C$8&amp;"'!C:C"),$A404,INDIRECT("'"&amp;'Template Setup'!$C$8&amp;"'!A:A")),0))</f>
        <v/>
      </c>
      <c r="L404" s="11" t="str">
        <f>IF($A404="","",IFERROR(VALUE(MID(TRIM('Template Setup'!$C$4),FIND("-",TRIM('Template Setup'!$C$4))+1,10)),0))</f>
        <v/>
      </c>
      <c r="M404" s="11" t="str">
        <f>IF($A404="","",IFERROR(VALUE(MID(TRIM('Template Setup'!$C$5),FIND("-",TRIM('Template Setup'!$C$5))+1,10)),0))</f>
        <v/>
      </c>
      <c r="N404" s="11" t="str">
        <f>IF($A404="","",IFERROR(VALUE(MID(TRIM('Template Setup'!$C$6),FIND("-",TRIM('Template Setup'!$C$6))+1,10)),0))</f>
        <v/>
      </c>
      <c r="O404" s="11" t="str">
        <f>IF($A404="","",IFERROR(VALUE(MID(TRIM('Template Setup'!$C$7),FIND("-",TRIM('Template Setup'!$C$7))+1,10)),0))</f>
        <v/>
      </c>
      <c r="P404" s="11" t="str">
        <f>IF($A404="","",IFERROR(VALUE(MID(TRIM('Template Setup'!$C$8),FIND("-",TRIM('Template Setup'!$C$8))+1,10)),0))</f>
        <v/>
      </c>
      <c r="Q404" s="9" t="str">
        <f>IF($A404="","",$A404&amp;"-"&amp;'Template Setup'!$C$16)</f>
        <v/>
      </c>
      <c r="R404" s="24" t="str">
        <f t="shared" si="25"/>
        <v/>
      </c>
      <c r="S404" s="24"/>
      <c r="T404" s="24" t="str">
        <f t="shared" si="26"/>
        <v/>
      </c>
      <c r="U404" s="6" t="str">
        <f t="shared" si="28"/>
        <v/>
      </c>
    </row>
    <row r="405" spans="1:21">
      <c r="A405" s="11"/>
      <c r="B405" s="11"/>
      <c r="C405" s="11"/>
      <c r="D405" s="11" t="str">
        <f>IF($A405="","",_xlfn.TEXTJOIN(", ",TRUE,IF($G405&gt;0,'Template Setup'!$C$4,""),IF($H405&gt;0,'Template Setup'!$C$5,""),IF($I405&gt;0,'Template Setup'!$C$6,""),IF($J405&gt;0,'Template Setup'!$C$7,""),IF($K405&gt;0,'Template Setup'!$C$8,"")))</f>
        <v/>
      </c>
      <c r="E405" s="6" t="str" cm="1">
        <f t="array" ref="E405">IF($A405="","",_xlfn.LET(_xlpm.sheets,CHOOSE({1,2,3,4,5},'Template Setup'!$C$4,'Template Setup'!$C$5,'Template Setup'!$C$6,'Template Setup'!$C$7,'Template Setup'!$C$8),_xlpm.nums,CHOOSE({1,2,3,4,5},$L405,$M405,$N405,$O405,$P405),_xlpm.qtys,CHOOSE({1,2,3,4,5},$G405,$H405,$I405,$J405,$K405),_xlpm.validNums,_xlfn._xlws.FILTER(_xlpm.nums,_xlpm.qtys&gt;0),_xlpm.validSheets,_xlfn._xlws.FILTER(_xlpm.sheets,_xlpm.qtys&gt;0),_xlpm.mx,IFERROR(MAX(_xlpm.validNums),0),IF(_xlpm.mx=0,"",INDEX(_xlpm.validSheets,MATCH(_xlpm.mx,_xlpm.validNums,0))&amp;" (+"&amp;$R405&amp;")")))</f>
        <v/>
      </c>
      <c r="F405" s="11" t="str">
        <f t="shared" si="27"/>
        <v/>
      </c>
      <c r="G405" s="12" t="str">
        <f ca="1">IF($A405="","",IFERROR(SUMIF(INDIRECT("'"&amp;'Template Setup'!$C$4&amp;"'!C:C"),$A405,INDIRECT("'"&amp;'Template Setup'!$C$4&amp;"'!A:A")),0))</f>
        <v/>
      </c>
      <c r="H405" s="12" t="str">
        <f ca="1">IF($A405="","",IFERROR(SUMIF(INDIRECT("'"&amp;'Template Setup'!$C$5&amp;"'!C:C"),$A405,INDIRECT("'"&amp;'Template Setup'!$C$5&amp;"'!A:A")),0))</f>
        <v/>
      </c>
      <c r="I405" s="12" t="str">
        <f ca="1">IF($A405="","",IFERROR(SUMIF(INDIRECT("'"&amp;'Template Setup'!$C$6&amp;"'!C:C"),$A405,INDIRECT("'"&amp;'Template Setup'!$C$6&amp;"'!A:A")),0))</f>
        <v/>
      </c>
      <c r="J405" s="12" t="str">
        <f ca="1">IF($A405="","",IFERROR(SUMIF(INDIRECT("'"&amp;'Template Setup'!$C$7&amp;"'!C:C"),$A405,INDIRECT("'"&amp;'Template Setup'!$C$7&amp;"'!A:A")),0))</f>
        <v/>
      </c>
      <c r="K405" s="12" t="str">
        <f ca="1">IF($A405="","",IFERROR(SUMIF(INDIRECT("'"&amp;'Template Setup'!$C$8&amp;"'!C:C"),$A405,INDIRECT("'"&amp;'Template Setup'!$C$8&amp;"'!A:A")),0))</f>
        <v/>
      </c>
      <c r="L405" s="11" t="str">
        <f>IF($A405="","",IFERROR(VALUE(MID(TRIM('Template Setup'!$C$4),FIND("-",TRIM('Template Setup'!$C$4))+1,10)),0))</f>
        <v/>
      </c>
      <c r="M405" s="11" t="str">
        <f>IF($A405="","",IFERROR(VALUE(MID(TRIM('Template Setup'!$C$5),FIND("-",TRIM('Template Setup'!$C$5))+1,10)),0))</f>
        <v/>
      </c>
      <c r="N405" s="11" t="str">
        <f>IF($A405="","",IFERROR(VALUE(MID(TRIM('Template Setup'!$C$6),FIND("-",TRIM('Template Setup'!$C$6))+1,10)),0))</f>
        <v/>
      </c>
      <c r="O405" s="11" t="str">
        <f>IF($A405="","",IFERROR(VALUE(MID(TRIM('Template Setup'!$C$7),FIND("-",TRIM('Template Setup'!$C$7))+1,10)),0))</f>
        <v/>
      </c>
      <c r="P405" s="11" t="str">
        <f>IF($A405="","",IFERROR(VALUE(MID(TRIM('Template Setup'!$C$8),FIND("-",TRIM('Template Setup'!$C$8))+1,10)),0))</f>
        <v/>
      </c>
      <c r="Q405" s="9" t="str">
        <f>IF($A405="","",$A405&amp;"-"&amp;'Template Setup'!$C$16)</f>
        <v/>
      </c>
      <c r="R405" s="24" t="str">
        <f t="shared" si="25"/>
        <v/>
      </c>
      <c r="S405" s="24"/>
      <c r="T405" s="24" t="str">
        <f t="shared" si="26"/>
        <v/>
      </c>
      <c r="U405" s="6" t="str">
        <f t="shared" si="28"/>
        <v/>
      </c>
    </row>
    <row r="406" spans="1:21">
      <c r="A406" s="11"/>
      <c r="B406" s="11"/>
      <c r="C406" s="11"/>
      <c r="D406" s="11" t="str">
        <f>IF($A406="","",_xlfn.TEXTJOIN(", ",TRUE,IF($G406&gt;0,'Template Setup'!$C$4,""),IF($H406&gt;0,'Template Setup'!$C$5,""),IF($I406&gt;0,'Template Setup'!$C$6,""),IF($J406&gt;0,'Template Setup'!$C$7,""),IF($K406&gt;0,'Template Setup'!$C$8,"")))</f>
        <v/>
      </c>
      <c r="E406" s="6" t="str" cm="1">
        <f t="array" ref="E406">IF($A406="","",_xlfn.LET(_xlpm.sheets,CHOOSE({1,2,3,4,5},'Template Setup'!$C$4,'Template Setup'!$C$5,'Template Setup'!$C$6,'Template Setup'!$C$7,'Template Setup'!$C$8),_xlpm.nums,CHOOSE({1,2,3,4,5},$L406,$M406,$N406,$O406,$P406),_xlpm.qtys,CHOOSE({1,2,3,4,5},$G406,$H406,$I406,$J406,$K406),_xlpm.validNums,_xlfn._xlws.FILTER(_xlpm.nums,_xlpm.qtys&gt;0),_xlpm.validSheets,_xlfn._xlws.FILTER(_xlpm.sheets,_xlpm.qtys&gt;0),_xlpm.mx,IFERROR(MAX(_xlpm.validNums),0),IF(_xlpm.mx=0,"",INDEX(_xlpm.validSheets,MATCH(_xlpm.mx,_xlpm.validNums,0))&amp;" (+"&amp;$R406&amp;")")))</f>
        <v/>
      </c>
      <c r="F406" s="11" t="str">
        <f t="shared" si="27"/>
        <v/>
      </c>
      <c r="G406" s="12" t="str">
        <f ca="1">IF($A406="","",IFERROR(SUMIF(INDIRECT("'"&amp;'Template Setup'!$C$4&amp;"'!C:C"),$A406,INDIRECT("'"&amp;'Template Setup'!$C$4&amp;"'!A:A")),0))</f>
        <v/>
      </c>
      <c r="H406" s="12" t="str">
        <f ca="1">IF($A406="","",IFERROR(SUMIF(INDIRECT("'"&amp;'Template Setup'!$C$5&amp;"'!C:C"),$A406,INDIRECT("'"&amp;'Template Setup'!$C$5&amp;"'!A:A")),0))</f>
        <v/>
      </c>
      <c r="I406" s="12" t="str">
        <f ca="1">IF($A406="","",IFERROR(SUMIF(INDIRECT("'"&amp;'Template Setup'!$C$6&amp;"'!C:C"),$A406,INDIRECT("'"&amp;'Template Setup'!$C$6&amp;"'!A:A")),0))</f>
        <v/>
      </c>
      <c r="J406" s="12" t="str">
        <f ca="1">IF($A406="","",IFERROR(SUMIF(INDIRECT("'"&amp;'Template Setup'!$C$7&amp;"'!C:C"),$A406,INDIRECT("'"&amp;'Template Setup'!$C$7&amp;"'!A:A")),0))</f>
        <v/>
      </c>
      <c r="K406" s="12" t="str">
        <f ca="1">IF($A406="","",IFERROR(SUMIF(INDIRECT("'"&amp;'Template Setup'!$C$8&amp;"'!C:C"),$A406,INDIRECT("'"&amp;'Template Setup'!$C$8&amp;"'!A:A")),0))</f>
        <v/>
      </c>
      <c r="L406" s="11" t="str">
        <f>IF($A406="","",IFERROR(VALUE(MID(TRIM('Template Setup'!$C$4),FIND("-",TRIM('Template Setup'!$C$4))+1,10)),0))</f>
        <v/>
      </c>
      <c r="M406" s="11" t="str">
        <f>IF($A406="","",IFERROR(VALUE(MID(TRIM('Template Setup'!$C$5),FIND("-",TRIM('Template Setup'!$C$5))+1,10)),0))</f>
        <v/>
      </c>
      <c r="N406" s="11" t="str">
        <f>IF($A406="","",IFERROR(VALUE(MID(TRIM('Template Setup'!$C$6),FIND("-",TRIM('Template Setup'!$C$6))+1,10)),0))</f>
        <v/>
      </c>
      <c r="O406" s="11" t="str">
        <f>IF($A406="","",IFERROR(VALUE(MID(TRIM('Template Setup'!$C$7),FIND("-",TRIM('Template Setup'!$C$7))+1,10)),0))</f>
        <v/>
      </c>
      <c r="P406" s="11" t="str">
        <f>IF($A406="","",IFERROR(VALUE(MID(TRIM('Template Setup'!$C$8),FIND("-",TRIM('Template Setup'!$C$8))+1,10)),0))</f>
        <v/>
      </c>
      <c r="Q406" s="9" t="str">
        <f>IF($A406="","",$A406&amp;"-"&amp;'Template Setup'!$C$16)</f>
        <v/>
      </c>
      <c r="R406" s="24" t="str">
        <f t="shared" si="25"/>
        <v/>
      </c>
      <c r="S406" s="24"/>
      <c r="T406" s="24" t="str">
        <f t="shared" si="26"/>
        <v/>
      </c>
      <c r="U406" s="6" t="str">
        <f t="shared" si="28"/>
        <v/>
      </c>
    </row>
    <row r="407" spans="1:21">
      <c r="A407" s="11"/>
      <c r="B407" s="11"/>
      <c r="C407" s="11"/>
      <c r="D407" s="11" t="str">
        <f>IF($A407="","",_xlfn.TEXTJOIN(", ",TRUE,IF($G407&gt;0,'Template Setup'!$C$4,""),IF($H407&gt;0,'Template Setup'!$C$5,""),IF($I407&gt;0,'Template Setup'!$C$6,""),IF($J407&gt;0,'Template Setup'!$C$7,""),IF($K407&gt;0,'Template Setup'!$C$8,"")))</f>
        <v/>
      </c>
      <c r="E407" s="6" t="str" cm="1">
        <f t="array" ref="E407">IF($A407="","",_xlfn.LET(_xlpm.sheets,CHOOSE({1,2,3,4,5},'Template Setup'!$C$4,'Template Setup'!$C$5,'Template Setup'!$C$6,'Template Setup'!$C$7,'Template Setup'!$C$8),_xlpm.nums,CHOOSE({1,2,3,4,5},$L407,$M407,$N407,$O407,$P407),_xlpm.qtys,CHOOSE({1,2,3,4,5},$G407,$H407,$I407,$J407,$K407),_xlpm.validNums,_xlfn._xlws.FILTER(_xlpm.nums,_xlpm.qtys&gt;0),_xlpm.validSheets,_xlfn._xlws.FILTER(_xlpm.sheets,_xlpm.qtys&gt;0),_xlpm.mx,IFERROR(MAX(_xlpm.validNums),0),IF(_xlpm.mx=0,"",INDEX(_xlpm.validSheets,MATCH(_xlpm.mx,_xlpm.validNums,0))&amp;" (+"&amp;$R407&amp;")")))</f>
        <v/>
      </c>
      <c r="F407" s="11" t="str">
        <f t="shared" si="27"/>
        <v/>
      </c>
      <c r="G407" s="12" t="str">
        <f ca="1">IF($A407="","",IFERROR(SUMIF(INDIRECT("'"&amp;'Template Setup'!$C$4&amp;"'!C:C"),$A407,INDIRECT("'"&amp;'Template Setup'!$C$4&amp;"'!A:A")),0))</f>
        <v/>
      </c>
      <c r="H407" s="12" t="str">
        <f ca="1">IF($A407="","",IFERROR(SUMIF(INDIRECT("'"&amp;'Template Setup'!$C$5&amp;"'!C:C"),$A407,INDIRECT("'"&amp;'Template Setup'!$C$5&amp;"'!A:A")),0))</f>
        <v/>
      </c>
      <c r="I407" s="12" t="str">
        <f ca="1">IF($A407="","",IFERROR(SUMIF(INDIRECT("'"&amp;'Template Setup'!$C$6&amp;"'!C:C"),$A407,INDIRECT("'"&amp;'Template Setup'!$C$6&amp;"'!A:A")),0))</f>
        <v/>
      </c>
      <c r="J407" s="12" t="str">
        <f ca="1">IF($A407="","",IFERROR(SUMIF(INDIRECT("'"&amp;'Template Setup'!$C$7&amp;"'!C:C"),$A407,INDIRECT("'"&amp;'Template Setup'!$C$7&amp;"'!A:A")),0))</f>
        <v/>
      </c>
      <c r="K407" s="12" t="str">
        <f ca="1">IF($A407="","",IFERROR(SUMIF(INDIRECT("'"&amp;'Template Setup'!$C$8&amp;"'!C:C"),$A407,INDIRECT("'"&amp;'Template Setup'!$C$8&amp;"'!A:A")),0))</f>
        <v/>
      </c>
      <c r="L407" s="11" t="str">
        <f>IF($A407="","",IFERROR(VALUE(MID(TRIM('Template Setup'!$C$4),FIND("-",TRIM('Template Setup'!$C$4))+1,10)),0))</f>
        <v/>
      </c>
      <c r="M407" s="11" t="str">
        <f>IF($A407="","",IFERROR(VALUE(MID(TRIM('Template Setup'!$C$5),FIND("-",TRIM('Template Setup'!$C$5))+1,10)),0))</f>
        <v/>
      </c>
      <c r="N407" s="11" t="str">
        <f>IF($A407="","",IFERROR(VALUE(MID(TRIM('Template Setup'!$C$6),FIND("-",TRIM('Template Setup'!$C$6))+1,10)),0))</f>
        <v/>
      </c>
      <c r="O407" s="11" t="str">
        <f>IF($A407="","",IFERROR(VALUE(MID(TRIM('Template Setup'!$C$7),FIND("-",TRIM('Template Setup'!$C$7))+1,10)),0))</f>
        <v/>
      </c>
      <c r="P407" s="11" t="str">
        <f>IF($A407="","",IFERROR(VALUE(MID(TRIM('Template Setup'!$C$8),FIND("-",TRIM('Template Setup'!$C$8))+1,10)),0))</f>
        <v/>
      </c>
      <c r="Q407" s="9" t="str">
        <f>IF($A407="","",$A407&amp;"-"&amp;'Template Setup'!$C$16)</f>
        <v/>
      </c>
      <c r="R407" s="24" t="str">
        <f t="shared" si="25"/>
        <v/>
      </c>
      <c r="S407" s="24"/>
      <c r="T407" s="24" t="str">
        <f t="shared" si="26"/>
        <v/>
      </c>
      <c r="U407" s="6" t="str">
        <f t="shared" si="28"/>
        <v/>
      </c>
    </row>
    <row r="408" spans="1:21">
      <c r="A408" s="11"/>
      <c r="B408" s="11"/>
      <c r="C408" s="11"/>
      <c r="D408" s="11" t="str">
        <f>IF($A408="","",_xlfn.TEXTJOIN(", ",TRUE,IF($G408&gt;0,'Template Setup'!$C$4,""),IF($H408&gt;0,'Template Setup'!$C$5,""),IF($I408&gt;0,'Template Setup'!$C$6,""),IF($J408&gt;0,'Template Setup'!$C$7,""),IF($K408&gt;0,'Template Setup'!$C$8,"")))</f>
        <v/>
      </c>
      <c r="E408" s="6" t="str" cm="1">
        <f t="array" ref="E408">IF($A408="","",_xlfn.LET(_xlpm.sheets,CHOOSE({1,2,3,4,5},'Template Setup'!$C$4,'Template Setup'!$C$5,'Template Setup'!$C$6,'Template Setup'!$C$7,'Template Setup'!$C$8),_xlpm.nums,CHOOSE({1,2,3,4,5},$L408,$M408,$N408,$O408,$P408),_xlpm.qtys,CHOOSE({1,2,3,4,5},$G408,$H408,$I408,$J408,$K408),_xlpm.validNums,_xlfn._xlws.FILTER(_xlpm.nums,_xlpm.qtys&gt;0),_xlpm.validSheets,_xlfn._xlws.FILTER(_xlpm.sheets,_xlpm.qtys&gt;0),_xlpm.mx,IFERROR(MAX(_xlpm.validNums),0),IF(_xlpm.mx=0,"",INDEX(_xlpm.validSheets,MATCH(_xlpm.mx,_xlpm.validNums,0))&amp;" (+"&amp;$R408&amp;")")))</f>
        <v/>
      </c>
      <c r="F408" s="11" t="str">
        <f t="shared" si="27"/>
        <v/>
      </c>
      <c r="G408" s="12" t="str">
        <f ca="1">IF($A408="","",IFERROR(SUMIF(INDIRECT("'"&amp;'Template Setup'!$C$4&amp;"'!C:C"),$A408,INDIRECT("'"&amp;'Template Setup'!$C$4&amp;"'!A:A")),0))</f>
        <v/>
      </c>
      <c r="H408" s="12" t="str">
        <f ca="1">IF($A408="","",IFERROR(SUMIF(INDIRECT("'"&amp;'Template Setup'!$C$5&amp;"'!C:C"),$A408,INDIRECT("'"&amp;'Template Setup'!$C$5&amp;"'!A:A")),0))</f>
        <v/>
      </c>
      <c r="I408" s="12" t="str">
        <f ca="1">IF($A408="","",IFERROR(SUMIF(INDIRECT("'"&amp;'Template Setup'!$C$6&amp;"'!C:C"),$A408,INDIRECT("'"&amp;'Template Setup'!$C$6&amp;"'!A:A")),0))</f>
        <v/>
      </c>
      <c r="J408" s="12" t="str">
        <f ca="1">IF($A408="","",IFERROR(SUMIF(INDIRECT("'"&amp;'Template Setup'!$C$7&amp;"'!C:C"),$A408,INDIRECT("'"&amp;'Template Setup'!$C$7&amp;"'!A:A")),0))</f>
        <v/>
      </c>
      <c r="K408" s="12" t="str">
        <f ca="1">IF($A408="","",IFERROR(SUMIF(INDIRECT("'"&amp;'Template Setup'!$C$8&amp;"'!C:C"),$A408,INDIRECT("'"&amp;'Template Setup'!$C$8&amp;"'!A:A")),0))</f>
        <v/>
      </c>
      <c r="L408" s="11" t="str">
        <f>IF($A408="","",IFERROR(VALUE(MID(TRIM('Template Setup'!$C$4),FIND("-",TRIM('Template Setup'!$C$4))+1,10)),0))</f>
        <v/>
      </c>
      <c r="M408" s="11" t="str">
        <f>IF($A408="","",IFERROR(VALUE(MID(TRIM('Template Setup'!$C$5),FIND("-",TRIM('Template Setup'!$C$5))+1,10)),0))</f>
        <v/>
      </c>
      <c r="N408" s="11" t="str">
        <f>IF($A408="","",IFERROR(VALUE(MID(TRIM('Template Setup'!$C$6),FIND("-",TRIM('Template Setup'!$C$6))+1,10)),0))</f>
        <v/>
      </c>
      <c r="O408" s="11" t="str">
        <f>IF($A408="","",IFERROR(VALUE(MID(TRIM('Template Setup'!$C$7),FIND("-",TRIM('Template Setup'!$C$7))+1,10)),0))</f>
        <v/>
      </c>
      <c r="P408" s="11" t="str">
        <f>IF($A408="","",IFERROR(VALUE(MID(TRIM('Template Setup'!$C$8),FIND("-",TRIM('Template Setup'!$C$8))+1,10)),0))</f>
        <v/>
      </c>
      <c r="Q408" s="9" t="str">
        <f>IF($A408="","",$A408&amp;"-"&amp;'Template Setup'!$C$16)</f>
        <v/>
      </c>
      <c r="R408" s="24" t="str">
        <f t="shared" si="25"/>
        <v/>
      </c>
      <c r="S408" s="24"/>
      <c r="T408" s="24" t="str">
        <f t="shared" si="26"/>
        <v/>
      </c>
      <c r="U408" s="6" t="str">
        <f t="shared" si="28"/>
        <v/>
      </c>
    </row>
    <row r="409" spans="1:21">
      <c r="A409" s="11"/>
      <c r="B409" s="11"/>
      <c r="C409" s="11"/>
      <c r="D409" s="11" t="str">
        <f>IF($A409="","",_xlfn.TEXTJOIN(", ",TRUE,IF($G409&gt;0,'Template Setup'!$C$4,""),IF($H409&gt;0,'Template Setup'!$C$5,""),IF($I409&gt;0,'Template Setup'!$C$6,""),IF($J409&gt;0,'Template Setup'!$C$7,""),IF($K409&gt;0,'Template Setup'!$C$8,"")))</f>
        <v/>
      </c>
      <c r="E409" s="6" t="str" cm="1">
        <f t="array" ref="E409">IF($A409="","",_xlfn.LET(_xlpm.sheets,CHOOSE({1,2,3,4,5},'Template Setup'!$C$4,'Template Setup'!$C$5,'Template Setup'!$C$6,'Template Setup'!$C$7,'Template Setup'!$C$8),_xlpm.nums,CHOOSE({1,2,3,4,5},$L409,$M409,$N409,$O409,$P409),_xlpm.qtys,CHOOSE({1,2,3,4,5},$G409,$H409,$I409,$J409,$K409),_xlpm.validNums,_xlfn._xlws.FILTER(_xlpm.nums,_xlpm.qtys&gt;0),_xlpm.validSheets,_xlfn._xlws.FILTER(_xlpm.sheets,_xlpm.qtys&gt;0),_xlpm.mx,IFERROR(MAX(_xlpm.validNums),0),IF(_xlpm.mx=0,"",INDEX(_xlpm.validSheets,MATCH(_xlpm.mx,_xlpm.validNums,0))&amp;" (+"&amp;$R409&amp;")")))</f>
        <v/>
      </c>
      <c r="F409" s="11" t="str">
        <f t="shared" si="27"/>
        <v/>
      </c>
      <c r="G409" s="12" t="str">
        <f ca="1">IF($A409="","",IFERROR(SUMIF(INDIRECT("'"&amp;'Template Setup'!$C$4&amp;"'!C:C"),$A409,INDIRECT("'"&amp;'Template Setup'!$C$4&amp;"'!A:A")),0))</f>
        <v/>
      </c>
      <c r="H409" s="12" t="str">
        <f ca="1">IF($A409="","",IFERROR(SUMIF(INDIRECT("'"&amp;'Template Setup'!$C$5&amp;"'!C:C"),$A409,INDIRECT("'"&amp;'Template Setup'!$C$5&amp;"'!A:A")),0))</f>
        <v/>
      </c>
      <c r="I409" s="12" t="str">
        <f ca="1">IF($A409="","",IFERROR(SUMIF(INDIRECT("'"&amp;'Template Setup'!$C$6&amp;"'!C:C"),$A409,INDIRECT("'"&amp;'Template Setup'!$C$6&amp;"'!A:A")),0))</f>
        <v/>
      </c>
      <c r="J409" s="12" t="str">
        <f ca="1">IF($A409="","",IFERROR(SUMIF(INDIRECT("'"&amp;'Template Setup'!$C$7&amp;"'!C:C"),$A409,INDIRECT("'"&amp;'Template Setup'!$C$7&amp;"'!A:A")),0))</f>
        <v/>
      </c>
      <c r="K409" s="12" t="str">
        <f ca="1">IF($A409="","",IFERROR(SUMIF(INDIRECT("'"&amp;'Template Setup'!$C$8&amp;"'!C:C"),$A409,INDIRECT("'"&amp;'Template Setup'!$C$8&amp;"'!A:A")),0))</f>
        <v/>
      </c>
      <c r="L409" s="11" t="str">
        <f>IF($A409="","",IFERROR(VALUE(MID(TRIM('Template Setup'!$C$4),FIND("-",TRIM('Template Setup'!$C$4))+1,10)),0))</f>
        <v/>
      </c>
      <c r="M409" s="11" t="str">
        <f>IF($A409="","",IFERROR(VALUE(MID(TRIM('Template Setup'!$C$5),FIND("-",TRIM('Template Setup'!$C$5))+1,10)),0))</f>
        <v/>
      </c>
      <c r="N409" s="11" t="str">
        <f>IF($A409="","",IFERROR(VALUE(MID(TRIM('Template Setup'!$C$6),FIND("-",TRIM('Template Setup'!$C$6))+1,10)),0))</f>
        <v/>
      </c>
      <c r="O409" s="11" t="str">
        <f>IF($A409="","",IFERROR(VALUE(MID(TRIM('Template Setup'!$C$7),FIND("-",TRIM('Template Setup'!$C$7))+1,10)),0))</f>
        <v/>
      </c>
      <c r="P409" s="11" t="str">
        <f>IF($A409="","",IFERROR(VALUE(MID(TRIM('Template Setup'!$C$8),FIND("-",TRIM('Template Setup'!$C$8))+1,10)),0))</f>
        <v/>
      </c>
      <c r="Q409" s="9" t="str">
        <f>IF($A409="","",$A409&amp;"-"&amp;'Template Setup'!$C$16)</f>
        <v/>
      </c>
      <c r="R409" s="24" t="str">
        <f t="shared" si="25"/>
        <v/>
      </c>
      <c r="S409" s="24"/>
      <c r="T409" s="24" t="str">
        <f t="shared" si="26"/>
        <v/>
      </c>
      <c r="U409" s="6" t="str">
        <f t="shared" si="28"/>
        <v/>
      </c>
    </row>
    <row r="410" spans="1:21">
      <c r="A410" s="11"/>
      <c r="B410" s="11"/>
      <c r="C410" s="11"/>
      <c r="D410" s="11" t="str">
        <f>IF($A410="","",_xlfn.TEXTJOIN(", ",TRUE,IF($G410&gt;0,'Template Setup'!$C$4,""),IF($H410&gt;0,'Template Setup'!$C$5,""),IF($I410&gt;0,'Template Setup'!$C$6,""),IF($J410&gt;0,'Template Setup'!$C$7,""),IF($K410&gt;0,'Template Setup'!$C$8,"")))</f>
        <v/>
      </c>
      <c r="E410" s="6" t="str" cm="1">
        <f t="array" ref="E410">IF($A410="","",_xlfn.LET(_xlpm.sheets,CHOOSE({1,2,3,4,5},'Template Setup'!$C$4,'Template Setup'!$C$5,'Template Setup'!$C$6,'Template Setup'!$C$7,'Template Setup'!$C$8),_xlpm.nums,CHOOSE({1,2,3,4,5},$L410,$M410,$N410,$O410,$P410),_xlpm.qtys,CHOOSE({1,2,3,4,5},$G410,$H410,$I410,$J410,$K410),_xlpm.validNums,_xlfn._xlws.FILTER(_xlpm.nums,_xlpm.qtys&gt;0),_xlpm.validSheets,_xlfn._xlws.FILTER(_xlpm.sheets,_xlpm.qtys&gt;0),_xlpm.mx,IFERROR(MAX(_xlpm.validNums),0),IF(_xlpm.mx=0,"",INDEX(_xlpm.validSheets,MATCH(_xlpm.mx,_xlpm.validNums,0))&amp;" (+"&amp;$R410&amp;")")))</f>
        <v/>
      </c>
      <c r="F410" s="11" t="str">
        <f t="shared" si="27"/>
        <v/>
      </c>
      <c r="G410" s="12" t="str">
        <f ca="1">IF($A410="","",IFERROR(SUMIF(INDIRECT("'"&amp;'Template Setup'!$C$4&amp;"'!C:C"),$A410,INDIRECT("'"&amp;'Template Setup'!$C$4&amp;"'!A:A")),0))</f>
        <v/>
      </c>
      <c r="H410" s="12" t="str">
        <f ca="1">IF($A410="","",IFERROR(SUMIF(INDIRECT("'"&amp;'Template Setup'!$C$5&amp;"'!C:C"),$A410,INDIRECT("'"&amp;'Template Setup'!$C$5&amp;"'!A:A")),0))</f>
        <v/>
      </c>
      <c r="I410" s="12" t="str">
        <f ca="1">IF($A410="","",IFERROR(SUMIF(INDIRECT("'"&amp;'Template Setup'!$C$6&amp;"'!C:C"),$A410,INDIRECT("'"&amp;'Template Setup'!$C$6&amp;"'!A:A")),0))</f>
        <v/>
      </c>
      <c r="J410" s="12" t="str">
        <f ca="1">IF($A410="","",IFERROR(SUMIF(INDIRECT("'"&amp;'Template Setup'!$C$7&amp;"'!C:C"),$A410,INDIRECT("'"&amp;'Template Setup'!$C$7&amp;"'!A:A")),0))</f>
        <v/>
      </c>
      <c r="K410" s="12" t="str">
        <f ca="1">IF($A410="","",IFERROR(SUMIF(INDIRECT("'"&amp;'Template Setup'!$C$8&amp;"'!C:C"),$A410,INDIRECT("'"&amp;'Template Setup'!$C$8&amp;"'!A:A")),0))</f>
        <v/>
      </c>
      <c r="L410" s="11" t="str">
        <f>IF($A410="","",IFERROR(VALUE(MID(TRIM('Template Setup'!$C$4),FIND("-",TRIM('Template Setup'!$C$4))+1,10)),0))</f>
        <v/>
      </c>
      <c r="M410" s="11" t="str">
        <f>IF($A410="","",IFERROR(VALUE(MID(TRIM('Template Setup'!$C$5),FIND("-",TRIM('Template Setup'!$C$5))+1,10)),0))</f>
        <v/>
      </c>
      <c r="N410" s="11" t="str">
        <f>IF($A410="","",IFERROR(VALUE(MID(TRIM('Template Setup'!$C$6),FIND("-",TRIM('Template Setup'!$C$6))+1,10)),0))</f>
        <v/>
      </c>
      <c r="O410" s="11" t="str">
        <f>IF($A410="","",IFERROR(VALUE(MID(TRIM('Template Setup'!$C$7),FIND("-",TRIM('Template Setup'!$C$7))+1,10)),0))</f>
        <v/>
      </c>
      <c r="P410" s="11" t="str">
        <f>IF($A410="","",IFERROR(VALUE(MID(TRIM('Template Setup'!$C$8),FIND("-",TRIM('Template Setup'!$C$8))+1,10)),0))</f>
        <v/>
      </c>
      <c r="Q410" s="9" t="str">
        <f>IF($A410="","",$A410&amp;"-"&amp;'Template Setup'!$C$16)</f>
        <v/>
      </c>
      <c r="R410" s="24" t="str">
        <f t="shared" si="25"/>
        <v/>
      </c>
      <c r="S410" s="24"/>
      <c r="T410" s="24" t="str">
        <f t="shared" si="26"/>
        <v/>
      </c>
      <c r="U410" s="6" t="str">
        <f t="shared" si="28"/>
        <v/>
      </c>
    </row>
    <row r="411" spans="1:21">
      <c r="A411" s="11"/>
      <c r="B411" s="11"/>
      <c r="C411" s="11"/>
      <c r="D411" s="11" t="str">
        <f>IF($A411="","",_xlfn.TEXTJOIN(", ",TRUE,IF($G411&gt;0,'Template Setup'!$C$4,""),IF($H411&gt;0,'Template Setup'!$C$5,""),IF($I411&gt;0,'Template Setup'!$C$6,""),IF($J411&gt;0,'Template Setup'!$C$7,""),IF($K411&gt;0,'Template Setup'!$C$8,"")))</f>
        <v/>
      </c>
      <c r="E411" s="6" t="str" cm="1">
        <f t="array" ref="E411">IF($A411="","",_xlfn.LET(_xlpm.sheets,CHOOSE({1,2,3,4,5},'Template Setup'!$C$4,'Template Setup'!$C$5,'Template Setup'!$C$6,'Template Setup'!$C$7,'Template Setup'!$C$8),_xlpm.nums,CHOOSE({1,2,3,4,5},$L411,$M411,$N411,$O411,$P411),_xlpm.qtys,CHOOSE({1,2,3,4,5},$G411,$H411,$I411,$J411,$K411),_xlpm.validNums,_xlfn._xlws.FILTER(_xlpm.nums,_xlpm.qtys&gt;0),_xlpm.validSheets,_xlfn._xlws.FILTER(_xlpm.sheets,_xlpm.qtys&gt;0),_xlpm.mx,IFERROR(MAX(_xlpm.validNums),0),IF(_xlpm.mx=0,"",INDEX(_xlpm.validSheets,MATCH(_xlpm.mx,_xlpm.validNums,0))&amp;" (+"&amp;$R411&amp;")")))</f>
        <v/>
      </c>
      <c r="F411" s="11" t="str">
        <f t="shared" si="27"/>
        <v/>
      </c>
      <c r="G411" s="12" t="str">
        <f ca="1">IF($A411="","",IFERROR(SUMIF(INDIRECT("'"&amp;'Template Setup'!$C$4&amp;"'!C:C"),$A411,INDIRECT("'"&amp;'Template Setup'!$C$4&amp;"'!A:A")),0))</f>
        <v/>
      </c>
      <c r="H411" s="12" t="str">
        <f ca="1">IF($A411="","",IFERROR(SUMIF(INDIRECT("'"&amp;'Template Setup'!$C$5&amp;"'!C:C"),$A411,INDIRECT("'"&amp;'Template Setup'!$C$5&amp;"'!A:A")),0))</f>
        <v/>
      </c>
      <c r="I411" s="12" t="str">
        <f ca="1">IF($A411="","",IFERROR(SUMIF(INDIRECT("'"&amp;'Template Setup'!$C$6&amp;"'!C:C"),$A411,INDIRECT("'"&amp;'Template Setup'!$C$6&amp;"'!A:A")),0))</f>
        <v/>
      </c>
      <c r="J411" s="12" t="str">
        <f ca="1">IF($A411="","",IFERROR(SUMIF(INDIRECT("'"&amp;'Template Setup'!$C$7&amp;"'!C:C"),$A411,INDIRECT("'"&amp;'Template Setup'!$C$7&amp;"'!A:A")),0))</f>
        <v/>
      </c>
      <c r="K411" s="12" t="str">
        <f ca="1">IF($A411="","",IFERROR(SUMIF(INDIRECT("'"&amp;'Template Setup'!$C$8&amp;"'!C:C"),$A411,INDIRECT("'"&amp;'Template Setup'!$C$8&amp;"'!A:A")),0))</f>
        <v/>
      </c>
      <c r="L411" s="11" t="str">
        <f>IF($A411="","",IFERROR(VALUE(MID(TRIM('Template Setup'!$C$4),FIND("-",TRIM('Template Setup'!$C$4))+1,10)),0))</f>
        <v/>
      </c>
      <c r="M411" s="11" t="str">
        <f>IF($A411="","",IFERROR(VALUE(MID(TRIM('Template Setup'!$C$5),FIND("-",TRIM('Template Setup'!$C$5))+1,10)),0))</f>
        <v/>
      </c>
      <c r="N411" s="11" t="str">
        <f>IF($A411="","",IFERROR(VALUE(MID(TRIM('Template Setup'!$C$6),FIND("-",TRIM('Template Setup'!$C$6))+1,10)),0))</f>
        <v/>
      </c>
      <c r="O411" s="11" t="str">
        <f>IF($A411="","",IFERROR(VALUE(MID(TRIM('Template Setup'!$C$7),FIND("-",TRIM('Template Setup'!$C$7))+1,10)),0))</f>
        <v/>
      </c>
      <c r="P411" s="11" t="str">
        <f>IF($A411="","",IFERROR(VALUE(MID(TRIM('Template Setup'!$C$8),FIND("-",TRIM('Template Setup'!$C$8))+1,10)),0))</f>
        <v/>
      </c>
      <c r="Q411" s="9" t="str">
        <f>IF($A411="","",$A411&amp;"-"&amp;'Template Setup'!$C$16)</f>
        <v/>
      </c>
      <c r="R411" s="24" t="str">
        <f t="shared" si="25"/>
        <v/>
      </c>
      <c r="S411" s="24"/>
      <c r="T411" s="24" t="str">
        <f t="shared" si="26"/>
        <v/>
      </c>
      <c r="U411" s="6" t="str">
        <f t="shared" si="28"/>
        <v/>
      </c>
    </row>
    <row r="412" spans="1:21">
      <c r="A412" s="11"/>
      <c r="B412" s="11"/>
      <c r="C412" s="11"/>
      <c r="D412" s="11" t="str">
        <f>IF($A412="","",_xlfn.TEXTJOIN(", ",TRUE,IF($G412&gt;0,'Template Setup'!$C$4,""),IF($H412&gt;0,'Template Setup'!$C$5,""),IF($I412&gt;0,'Template Setup'!$C$6,""),IF($J412&gt;0,'Template Setup'!$C$7,""),IF($K412&gt;0,'Template Setup'!$C$8,"")))</f>
        <v/>
      </c>
      <c r="E412" s="6" t="str" cm="1">
        <f t="array" ref="E412">IF($A412="","",_xlfn.LET(_xlpm.sheets,CHOOSE({1,2,3,4,5},'Template Setup'!$C$4,'Template Setup'!$C$5,'Template Setup'!$C$6,'Template Setup'!$C$7,'Template Setup'!$C$8),_xlpm.nums,CHOOSE({1,2,3,4,5},$L412,$M412,$N412,$O412,$P412),_xlpm.qtys,CHOOSE({1,2,3,4,5},$G412,$H412,$I412,$J412,$K412),_xlpm.validNums,_xlfn._xlws.FILTER(_xlpm.nums,_xlpm.qtys&gt;0),_xlpm.validSheets,_xlfn._xlws.FILTER(_xlpm.sheets,_xlpm.qtys&gt;0),_xlpm.mx,IFERROR(MAX(_xlpm.validNums),0),IF(_xlpm.mx=0,"",INDEX(_xlpm.validSheets,MATCH(_xlpm.mx,_xlpm.validNums,0))&amp;" (+"&amp;$R412&amp;")")))</f>
        <v/>
      </c>
      <c r="F412" s="11" t="str">
        <f t="shared" si="27"/>
        <v/>
      </c>
      <c r="G412" s="12" t="str">
        <f ca="1">IF($A412="","",IFERROR(SUMIF(INDIRECT("'"&amp;'Template Setup'!$C$4&amp;"'!C:C"),$A412,INDIRECT("'"&amp;'Template Setup'!$C$4&amp;"'!A:A")),0))</f>
        <v/>
      </c>
      <c r="H412" s="12" t="str">
        <f ca="1">IF($A412="","",IFERROR(SUMIF(INDIRECT("'"&amp;'Template Setup'!$C$5&amp;"'!C:C"),$A412,INDIRECT("'"&amp;'Template Setup'!$C$5&amp;"'!A:A")),0))</f>
        <v/>
      </c>
      <c r="I412" s="12" t="str">
        <f ca="1">IF($A412="","",IFERROR(SUMIF(INDIRECT("'"&amp;'Template Setup'!$C$6&amp;"'!C:C"),$A412,INDIRECT("'"&amp;'Template Setup'!$C$6&amp;"'!A:A")),0))</f>
        <v/>
      </c>
      <c r="J412" s="12" t="str">
        <f ca="1">IF($A412="","",IFERROR(SUMIF(INDIRECT("'"&amp;'Template Setup'!$C$7&amp;"'!C:C"),$A412,INDIRECT("'"&amp;'Template Setup'!$C$7&amp;"'!A:A")),0))</f>
        <v/>
      </c>
      <c r="K412" s="12" t="str">
        <f ca="1">IF($A412="","",IFERROR(SUMIF(INDIRECT("'"&amp;'Template Setup'!$C$8&amp;"'!C:C"),$A412,INDIRECT("'"&amp;'Template Setup'!$C$8&amp;"'!A:A")),0))</f>
        <v/>
      </c>
      <c r="L412" s="11" t="str">
        <f>IF($A412="","",IFERROR(VALUE(MID(TRIM('Template Setup'!$C$4),FIND("-",TRIM('Template Setup'!$C$4))+1,10)),0))</f>
        <v/>
      </c>
      <c r="M412" s="11" t="str">
        <f>IF($A412="","",IFERROR(VALUE(MID(TRIM('Template Setup'!$C$5),FIND("-",TRIM('Template Setup'!$C$5))+1,10)),0))</f>
        <v/>
      </c>
      <c r="N412" s="11" t="str">
        <f>IF($A412="","",IFERROR(VALUE(MID(TRIM('Template Setup'!$C$6),FIND("-",TRIM('Template Setup'!$C$6))+1,10)),0))</f>
        <v/>
      </c>
      <c r="O412" s="11" t="str">
        <f>IF($A412="","",IFERROR(VALUE(MID(TRIM('Template Setup'!$C$7),FIND("-",TRIM('Template Setup'!$C$7))+1,10)),0))</f>
        <v/>
      </c>
      <c r="P412" s="11" t="str">
        <f>IF($A412="","",IFERROR(VALUE(MID(TRIM('Template Setup'!$C$8),FIND("-",TRIM('Template Setup'!$C$8))+1,10)),0))</f>
        <v/>
      </c>
      <c r="Q412" s="9" t="str">
        <f>IF($A412="","",$A412&amp;"-"&amp;'Template Setup'!$C$16)</f>
        <v/>
      </c>
      <c r="R412" s="24" t="str">
        <f t="shared" si="25"/>
        <v/>
      </c>
      <c r="S412" s="24"/>
      <c r="T412" s="24" t="str">
        <f t="shared" si="26"/>
        <v/>
      </c>
      <c r="U412" s="6" t="str">
        <f t="shared" si="28"/>
        <v/>
      </c>
    </row>
    <row r="413" spans="1:21">
      <c r="A413" s="11"/>
      <c r="B413" s="11"/>
      <c r="C413" s="11"/>
      <c r="D413" s="11" t="str">
        <f>IF($A413="","",_xlfn.TEXTJOIN(", ",TRUE,IF($G413&gt;0,'Template Setup'!$C$4,""),IF($H413&gt;0,'Template Setup'!$C$5,""),IF($I413&gt;0,'Template Setup'!$C$6,""),IF($J413&gt;0,'Template Setup'!$C$7,""),IF($K413&gt;0,'Template Setup'!$C$8,"")))</f>
        <v/>
      </c>
      <c r="E413" s="6" t="str" cm="1">
        <f t="array" ref="E413">IF($A413="","",_xlfn.LET(_xlpm.sheets,CHOOSE({1,2,3,4,5},'Template Setup'!$C$4,'Template Setup'!$C$5,'Template Setup'!$C$6,'Template Setup'!$C$7,'Template Setup'!$C$8),_xlpm.nums,CHOOSE({1,2,3,4,5},$L413,$M413,$N413,$O413,$P413),_xlpm.qtys,CHOOSE({1,2,3,4,5},$G413,$H413,$I413,$J413,$K413),_xlpm.validNums,_xlfn._xlws.FILTER(_xlpm.nums,_xlpm.qtys&gt;0),_xlpm.validSheets,_xlfn._xlws.FILTER(_xlpm.sheets,_xlpm.qtys&gt;0),_xlpm.mx,IFERROR(MAX(_xlpm.validNums),0),IF(_xlpm.mx=0,"",INDEX(_xlpm.validSheets,MATCH(_xlpm.mx,_xlpm.validNums,0))&amp;" (+"&amp;$R413&amp;")")))</f>
        <v/>
      </c>
      <c r="F413" s="11" t="str">
        <f t="shared" si="27"/>
        <v/>
      </c>
      <c r="G413" s="12" t="str">
        <f ca="1">IF($A413="","",IFERROR(SUMIF(INDIRECT("'"&amp;'Template Setup'!$C$4&amp;"'!C:C"),$A413,INDIRECT("'"&amp;'Template Setup'!$C$4&amp;"'!A:A")),0))</f>
        <v/>
      </c>
      <c r="H413" s="12" t="str">
        <f ca="1">IF($A413="","",IFERROR(SUMIF(INDIRECT("'"&amp;'Template Setup'!$C$5&amp;"'!C:C"),$A413,INDIRECT("'"&amp;'Template Setup'!$C$5&amp;"'!A:A")),0))</f>
        <v/>
      </c>
      <c r="I413" s="12" t="str">
        <f ca="1">IF($A413="","",IFERROR(SUMIF(INDIRECT("'"&amp;'Template Setup'!$C$6&amp;"'!C:C"),$A413,INDIRECT("'"&amp;'Template Setup'!$C$6&amp;"'!A:A")),0))</f>
        <v/>
      </c>
      <c r="J413" s="12" t="str">
        <f ca="1">IF($A413="","",IFERROR(SUMIF(INDIRECT("'"&amp;'Template Setup'!$C$7&amp;"'!C:C"),$A413,INDIRECT("'"&amp;'Template Setup'!$C$7&amp;"'!A:A")),0))</f>
        <v/>
      </c>
      <c r="K413" s="12" t="str">
        <f ca="1">IF($A413="","",IFERROR(SUMIF(INDIRECT("'"&amp;'Template Setup'!$C$8&amp;"'!C:C"),$A413,INDIRECT("'"&amp;'Template Setup'!$C$8&amp;"'!A:A")),0))</f>
        <v/>
      </c>
      <c r="L413" s="11" t="str">
        <f>IF($A413="","",IFERROR(VALUE(MID(TRIM('Template Setup'!$C$4),FIND("-",TRIM('Template Setup'!$C$4))+1,10)),0))</f>
        <v/>
      </c>
      <c r="M413" s="11" t="str">
        <f>IF($A413="","",IFERROR(VALUE(MID(TRIM('Template Setup'!$C$5),FIND("-",TRIM('Template Setup'!$C$5))+1,10)),0))</f>
        <v/>
      </c>
      <c r="N413" s="11" t="str">
        <f>IF($A413="","",IFERROR(VALUE(MID(TRIM('Template Setup'!$C$6),FIND("-",TRIM('Template Setup'!$C$6))+1,10)),0))</f>
        <v/>
      </c>
      <c r="O413" s="11" t="str">
        <f>IF($A413="","",IFERROR(VALUE(MID(TRIM('Template Setup'!$C$7),FIND("-",TRIM('Template Setup'!$C$7))+1,10)),0))</f>
        <v/>
      </c>
      <c r="P413" s="11" t="str">
        <f>IF($A413="","",IFERROR(VALUE(MID(TRIM('Template Setup'!$C$8),FIND("-",TRIM('Template Setup'!$C$8))+1,10)),0))</f>
        <v/>
      </c>
      <c r="Q413" s="9" t="str">
        <f>IF($A413="","",$A413&amp;"-"&amp;'Template Setup'!$C$16)</f>
        <v/>
      </c>
      <c r="R413" s="24" t="str">
        <f t="shared" si="25"/>
        <v/>
      </c>
      <c r="S413" s="24"/>
      <c r="T413" s="24" t="str">
        <f t="shared" si="26"/>
        <v/>
      </c>
      <c r="U413" s="6" t="str">
        <f t="shared" si="28"/>
        <v/>
      </c>
    </row>
    <row r="414" spans="1:21">
      <c r="A414" s="11"/>
      <c r="B414" s="11"/>
      <c r="C414" s="11"/>
      <c r="D414" s="11" t="str">
        <f>IF($A414="","",_xlfn.TEXTJOIN(", ",TRUE,IF($G414&gt;0,'Template Setup'!$C$4,""),IF($H414&gt;0,'Template Setup'!$C$5,""),IF($I414&gt;0,'Template Setup'!$C$6,""),IF($J414&gt;0,'Template Setup'!$C$7,""),IF($K414&gt;0,'Template Setup'!$C$8,"")))</f>
        <v/>
      </c>
      <c r="E414" s="6" t="str" cm="1">
        <f t="array" ref="E414">IF($A414="","",_xlfn.LET(_xlpm.sheets,CHOOSE({1,2,3,4,5},'Template Setup'!$C$4,'Template Setup'!$C$5,'Template Setup'!$C$6,'Template Setup'!$C$7,'Template Setup'!$C$8),_xlpm.nums,CHOOSE({1,2,3,4,5},$L414,$M414,$N414,$O414,$P414),_xlpm.qtys,CHOOSE({1,2,3,4,5},$G414,$H414,$I414,$J414,$K414),_xlpm.validNums,_xlfn._xlws.FILTER(_xlpm.nums,_xlpm.qtys&gt;0),_xlpm.validSheets,_xlfn._xlws.FILTER(_xlpm.sheets,_xlpm.qtys&gt;0),_xlpm.mx,IFERROR(MAX(_xlpm.validNums),0),IF(_xlpm.mx=0,"",INDEX(_xlpm.validSheets,MATCH(_xlpm.mx,_xlpm.validNums,0))&amp;" (+"&amp;$R414&amp;")")))</f>
        <v/>
      </c>
      <c r="F414" s="11" t="str">
        <f t="shared" si="27"/>
        <v/>
      </c>
      <c r="G414" s="12" t="str">
        <f ca="1">IF($A414="","",IFERROR(SUMIF(INDIRECT("'"&amp;'Template Setup'!$C$4&amp;"'!C:C"),$A414,INDIRECT("'"&amp;'Template Setup'!$C$4&amp;"'!A:A")),0))</f>
        <v/>
      </c>
      <c r="H414" s="12" t="str">
        <f ca="1">IF($A414="","",IFERROR(SUMIF(INDIRECT("'"&amp;'Template Setup'!$C$5&amp;"'!C:C"),$A414,INDIRECT("'"&amp;'Template Setup'!$C$5&amp;"'!A:A")),0))</f>
        <v/>
      </c>
      <c r="I414" s="12" t="str">
        <f ca="1">IF($A414="","",IFERROR(SUMIF(INDIRECT("'"&amp;'Template Setup'!$C$6&amp;"'!C:C"),$A414,INDIRECT("'"&amp;'Template Setup'!$C$6&amp;"'!A:A")),0))</f>
        <v/>
      </c>
      <c r="J414" s="12" t="str">
        <f ca="1">IF($A414="","",IFERROR(SUMIF(INDIRECT("'"&amp;'Template Setup'!$C$7&amp;"'!C:C"),$A414,INDIRECT("'"&amp;'Template Setup'!$C$7&amp;"'!A:A")),0))</f>
        <v/>
      </c>
      <c r="K414" s="12" t="str">
        <f ca="1">IF($A414="","",IFERROR(SUMIF(INDIRECT("'"&amp;'Template Setup'!$C$8&amp;"'!C:C"),$A414,INDIRECT("'"&amp;'Template Setup'!$C$8&amp;"'!A:A")),0))</f>
        <v/>
      </c>
      <c r="L414" s="11" t="str">
        <f>IF($A414="","",IFERROR(VALUE(MID(TRIM('Template Setup'!$C$4),FIND("-",TRIM('Template Setup'!$C$4))+1,10)),0))</f>
        <v/>
      </c>
      <c r="M414" s="11" t="str">
        <f>IF($A414="","",IFERROR(VALUE(MID(TRIM('Template Setup'!$C$5),FIND("-",TRIM('Template Setup'!$C$5))+1,10)),0))</f>
        <v/>
      </c>
      <c r="N414" s="11" t="str">
        <f>IF($A414="","",IFERROR(VALUE(MID(TRIM('Template Setup'!$C$6),FIND("-",TRIM('Template Setup'!$C$6))+1,10)),0))</f>
        <v/>
      </c>
      <c r="O414" s="11" t="str">
        <f>IF($A414="","",IFERROR(VALUE(MID(TRIM('Template Setup'!$C$7),FIND("-",TRIM('Template Setup'!$C$7))+1,10)),0))</f>
        <v/>
      </c>
      <c r="P414" s="11" t="str">
        <f>IF($A414="","",IFERROR(VALUE(MID(TRIM('Template Setup'!$C$8),FIND("-",TRIM('Template Setup'!$C$8))+1,10)),0))</f>
        <v/>
      </c>
      <c r="Q414" s="9" t="str">
        <f>IF($A414="","",$A414&amp;"-"&amp;'Template Setup'!$C$16)</f>
        <v/>
      </c>
      <c r="R414" s="24" t="str">
        <f t="shared" si="25"/>
        <v/>
      </c>
      <c r="S414" s="24"/>
      <c r="T414" s="24" t="str">
        <f t="shared" si="26"/>
        <v/>
      </c>
      <c r="U414" s="6" t="str">
        <f t="shared" si="28"/>
        <v/>
      </c>
    </row>
    <row r="415" spans="1:21">
      <c r="A415" s="11"/>
      <c r="B415" s="11"/>
      <c r="C415" s="11"/>
      <c r="D415" s="11" t="str">
        <f>IF($A415="","",_xlfn.TEXTJOIN(", ",TRUE,IF($G415&gt;0,'Template Setup'!$C$4,""),IF($H415&gt;0,'Template Setup'!$C$5,""),IF($I415&gt;0,'Template Setup'!$C$6,""),IF($J415&gt;0,'Template Setup'!$C$7,""),IF($K415&gt;0,'Template Setup'!$C$8,"")))</f>
        <v/>
      </c>
      <c r="E415" s="6" t="str" cm="1">
        <f t="array" ref="E415">IF($A415="","",_xlfn.LET(_xlpm.sheets,CHOOSE({1,2,3,4,5},'Template Setup'!$C$4,'Template Setup'!$C$5,'Template Setup'!$C$6,'Template Setup'!$C$7,'Template Setup'!$C$8),_xlpm.nums,CHOOSE({1,2,3,4,5},$L415,$M415,$N415,$O415,$P415),_xlpm.qtys,CHOOSE({1,2,3,4,5},$G415,$H415,$I415,$J415,$K415),_xlpm.validNums,_xlfn._xlws.FILTER(_xlpm.nums,_xlpm.qtys&gt;0),_xlpm.validSheets,_xlfn._xlws.FILTER(_xlpm.sheets,_xlpm.qtys&gt;0),_xlpm.mx,IFERROR(MAX(_xlpm.validNums),0),IF(_xlpm.mx=0,"",INDEX(_xlpm.validSheets,MATCH(_xlpm.mx,_xlpm.validNums,0))&amp;" (+"&amp;$R415&amp;")")))</f>
        <v/>
      </c>
      <c r="F415" s="11" t="str">
        <f t="shared" si="27"/>
        <v/>
      </c>
      <c r="G415" s="12" t="str">
        <f ca="1">IF($A415="","",IFERROR(SUMIF(INDIRECT("'"&amp;'Template Setup'!$C$4&amp;"'!C:C"),$A415,INDIRECT("'"&amp;'Template Setup'!$C$4&amp;"'!A:A")),0))</f>
        <v/>
      </c>
      <c r="H415" s="12" t="str">
        <f ca="1">IF($A415="","",IFERROR(SUMIF(INDIRECT("'"&amp;'Template Setup'!$C$5&amp;"'!C:C"),$A415,INDIRECT("'"&amp;'Template Setup'!$C$5&amp;"'!A:A")),0))</f>
        <v/>
      </c>
      <c r="I415" s="12" t="str">
        <f ca="1">IF($A415="","",IFERROR(SUMIF(INDIRECT("'"&amp;'Template Setup'!$C$6&amp;"'!C:C"),$A415,INDIRECT("'"&amp;'Template Setup'!$C$6&amp;"'!A:A")),0))</f>
        <v/>
      </c>
      <c r="J415" s="12" t="str">
        <f ca="1">IF($A415="","",IFERROR(SUMIF(INDIRECT("'"&amp;'Template Setup'!$C$7&amp;"'!C:C"),$A415,INDIRECT("'"&amp;'Template Setup'!$C$7&amp;"'!A:A")),0))</f>
        <v/>
      </c>
      <c r="K415" s="12" t="str">
        <f ca="1">IF($A415="","",IFERROR(SUMIF(INDIRECT("'"&amp;'Template Setup'!$C$8&amp;"'!C:C"),$A415,INDIRECT("'"&amp;'Template Setup'!$C$8&amp;"'!A:A")),0))</f>
        <v/>
      </c>
      <c r="L415" s="11" t="str">
        <f>IF($A415="","",IFERROR(VALUE(MID(TRIM('Template Setup'!$C$4),FIND("-",TRIM('Template Setup'!$C$4))+1,10)),0))</f>
        <v/>
      </c>
      <c r="M415" s="11" t="str">
        <f>IF($A415="","",IFERROR(VALUE(MID(TRIM('Template Setup'!$C$5),FIND("-",TRIM('Template Setup'!$C$5))+1,10)),0))</f>
        <v/>
      </c>
      <c r="N415" s="11" t="str">
        <f>IF($A415="","",IFERROR(VALUE(MID(TRIM('Template Setup'!$C$6),FIND("-",TRIM('Template Setup'!$C$6))+1,10)),0))</f>
        <v/>
      </c>
      <c r="O415" s="11" t="str">
        <f>IF($A415="","",IFERROR(VALUE(MID(TRIM('Template Setup'!$C$7),FIND("-",TRIM('Template Setup'!$C$7))+1,10)),0))</f>
        <v/>
      </c>
      <c r="P415" s="11" t="str">
        <f>IF($A415="","",IFERROR(VALUE(MID(TRIM('Template Setup'!$C$8),FIND("-",TRIM('Template Setup'!$C$8))+1,10)),0))</f>
        <v/>
      </c>
      <c r="Q415" s="9" t="str">
        <f>IF($A415="","",$A415&amp;"-"&amp;'Template Setup'!$C$16)</f>
        <v/>
      </c>
      <c r="R415" s="24" t="str">
        <f t="shared" si="25"/>
        <v/>
      </c>
      <c r="S415" s="24"/>
      <c r="T415" s="24" t="str">
        <f t="shared" si="26"/>
        <v/>
      </c>
      <c r="U415" s="6" t="str">
        <f t="shared" si="28"/>
        <v/>
      </c>
    </row>
    <row r="416" spans="1:21">
      <c r="A416" s="11"/>
      <c r="B416" s="11"/>
      <c r="C416" s="11"/>
      <c r="D416" s="11" t="str">
        <f>IF($A416="","",_xlfn.TEXTJOIN(", ",TRUE,IF($G416&gt;0,'Template Setup'!$C$4,""),IF($H416&gt;0,'Template Setup'!$C$5,""),IF($I416&gt;0,'Template Setup'!$C$6,""),IF($J416&gt;0,'Template Setup'!$C$7,""),IF($K416&gt;0,'Template Setup'!$C$8,"")))</f>
        <v/>
      </c>
      <c r="E416" s="6" t="str" cm="1">
        <f t="array" ref="E416">IF($A416="","",_xlfn.LET(_xlpm.sheets,CHOOSE({1,2,3,4,5},'Template Setup'!$C$4,'Template Setup'!$C$5,'Template Setup'!$C$6,'Template Setup'!$C$7,'Template Setup'!$C$8),_xlpm.nums,CHOOSE({1,2,3,4,5},$L416,$M416,$N416,$O416,$P416),_xlpm.qtys,CHOOSE({1,2,3,4,5},$G416,$H416,$I416,$J416,$K416),_xlpm.validNums,_xlfn._xlws.FILTER(_xlpm.nums,_xlpm.qtys&gt;0),_xlpm.validSheets,_xlfn._xlws.FILTER(_xlpm.sheets,_xlpm.qtys&gt;0),_xlpm.mx,IFERROR(MAX(_xlpm.validNums),0),IF(_xlpm.mx=0,"",INDEX(_xlpm.validSheets,MATCH(_xlpm.mx,_xlpm.validNums,0))&amp;" (+"&amp;$R416&amp;")")))</f>
        <v/>
      </c>
      <c r="F416" s="11" t="str">
        <f t="shared" si="27"/>
        <v/>
      </c>
      <c r="G416" s="12" t="str">
        <f ca="1">IF($A416="","",IFERROR(SUMIF(INDIRECT("'"&amp;'Template Setup'!$C$4&amp;"'!C:C"),$A416,INDIRECT("'"&amp;'Template Setup'!$C$4&amp;"'!A:A")),0))</f>
        <v/>
      </c>
      <c r="H416" s="12" t="str">
        <f ca="1">IF($A416="","",IFERROR(SUMIF(INDIRECT("'"&amp;'Template Setup'!$C$5&amp;"'!C:C"),$A416,INDIRECT("'"&amp;'Template Setup'!$C$5&amp;"'!A:A")),0))</f>
        <v/>
      </c>
      <c r="I416" s="12" t="str">
        <f ca="1">IF($A416="","",IFERROR(SUMIF(INDIRECT("'"&amp;'Template Setup'!$C$6&amp;"'!C:C"),$A416,INDIRECT("'"&amp;'Template Setup'!$C$6&amp;"'!A:A")),0))</f>
        <v/>
      </c>
      <c r="J416" s="12" t="str">
        <f ca="1">IF($A416="","",IFERROR(SUMIF(INDIRECT("'"&amp;'Template Setup'!$C$7&amp;"'!C:C"),$A416,INDIRECT("'"&amp;'Template Setup'!$C$7&amp;"'!A:A")),0))</f>
        <v/>
      </c>
      <c r="K416" s="12" t="str">
        <f ca="1">IF($A416="","",IFERROR(SUMIF(INDIRECT("'"&amp;'Template Setup'!$C$8&amp;"'!C:C"),$A416,INDIRECT("'"&amp;'Template Setup'!$C$8&amp;"'!A:A")),0))</f>
        <v/>
      </c>
      <c r="L416" s="11" t="str">
        <f>IF($A416="","",IFERROR(VALUE(MID(TRIM('Template Setup'!$C$4),FIND("-",TRIM('Template Setup'!$C$4))+1,10)),0))</f>
        <v/>
      </c>
      <c r="M416" s="11" t="str">
        <f>IF($A416="","",IFERROR(VALUE(MID(TRIM('Template Setup'!$C$5),FIND("-",TRIM('Template Setup'!$C$5))+1,10)),0))</f>
        <v/>
      </c>
      <c r="N416" s="11" t="str">
        <f>IF($A416="","",IFERROR(VALUE(MID(TRIM('Template Setup'!$C$6),FIND("-",TRIM('Template Setup'!$C$6))+1,10)),0))</f>
        <v/>
      </c>
      <c r="O416" s="11" t="str">
        <f>IF($A416="","",IFERROR(VALUE(MID(TRIM('Template Setup'!$C$7),FIND("-",TRIM('Template Setup'!$C$7))+1,10)),0))</f>
        <v/>
      </c>
      <c r="P416" s="11" t="str">
        <f>IF($A416="","",IFERROR(VALUE(MID(TRIM('Template Setup'!$C$8),FIND("-",TRIM('Template Setup'!$C$8))+1,10)),0))</f>
        <v/>
      </c>
      <c r="Q416" s="9" t="str">
        <f>IF($A416="","",$A416&amp;"-"&amp;'Template Setup'!$C$16)</f>
        <v/>
      </c>
      <c r="R416" s="24" t="str">
        <f t="shared" si="25"/>
        <v/>
      </c>
      <c r="S416" s="24"/>
      <c r="T416" s="24" t="str">
        <f t="shared" si="26"/>
        <v/>
      </c>
      <c r="U416" s="6" t="str">
        <f t="shared" si="28"/>
        <v/>
      </c>
    </row>
    <row r="417" spans="1:21">
      <c r="A417" s="11"/>
      <c r="B417" s="11"/>
      <c r="C417" s="11"/>
      <c r="D417" s="11" t="str">
        <f>IF($A417="","",_xlfn.TEXTJOIN(", ",TRUE,IF($G417&gt;0,'Template Setup'!$C$4,""),IF($H417&gt;0,'Template Setup'!$C$5,""),IF($I417&gt;0,'Template Setup'!$C$6,""),IF($J417&gt;0,'Template Setup'!$C$7,""),IF($K417&gt;0,'Template Setup'!$C$8,"")))</f>
        <v/>
      </c>
      <c r="E417" s="6" t="str" cm="1">
        <f t="array" ref="E417">IF($A417="","",_xlfn.LET(_xlpm.sheets,CHOOSE({1,2,3,4,5},'Template Setup'!$C$4,'Template Setup'!$C$5,'Template Setup'!$C$6,'Template Setup'!$C$7,'Template Setup'!$C$8),_xlpm.nums,CHOOSE({1,2,3,4,5},$L417,$M417,$N417,$O417,$P417),_xlpm.qtys,CHOOSE({1,2,3,4,5},$G417,$H417,$I417,$J417,$K417),_xlpm.validNums,_xlfn._xlws.FILTER(_xlpm.nums,_xlpm.qtys&gt;0),_xlpm.validSheets,_xlfn._xlws.FILTER(_xlpm.sheets,_xlpm.qtys&gt;0),_xlpm.mx,IFERROR(MAX(_xlpm.validNums),0),IF(_xlpm.mx=0,"",INDEX(_xlpm.validSheets,MATCH(_xlpm.mx,_xlpm.validNums,0))&amp;" (+"&amp;$R417&amp;")")))</f>
        <v/>
      </c>
      <c r="F417" s="11" t="str">
        <f t="shared" si="27"/>
        <v/>
      </c>
      <c r="G417" s="12" t="str">
        <f ca="1">IF($A417="","",IFERROR(SUMIF(INDIRECT("'"&amp;'Template Setup'!$C$4&amp;"'!C:C"),$A417,INDIRECT("'"&amp;'Template Setup'!$C$4&amp;"'!A:A")),0))</f>
        <v/>
      </c>
      <c r="H417" s="12" t="str">
        <f ca="1">IF($A417="","",IFERROR(SUMIF(INDIRECT("'"&amp;'Template Setup'!$C$5&amp;"'!C:C"),$A417,INDIRECT("'"&amp;'Template Setup'!$C$5&amp;"'!A:A")),0))</f>
        <v/>
      </c>
      <c r="I417" s="12" t="str">
        <f ca="1">IF($A417="","",IFERROR(SUMIF(INDIRECT("'"&amp;'Template Setup'!$C$6&amp;"'!C:C"),$A417,INDIRECT("'"&amp;'Template Setup'!$C$6&amp;"'!A:A")),0))</f>
        <v/>
      </c>
      <c r="J417" s="12" t="str">
        <f ca="1">IF($A417="","",IFERROR(SUMIF(INDIRECT("'"&amp;'Template Setup'!$C$7&amp;"'!C:C"),$A417,INDIRECT("'"&amp;'Template Setup'!$C$7&amp;"'!A:A")),0))</f>
        <v/>
      </c>
      <c r="K417" s="12" t="str">
        <f ca="1">IF($A417="","",IFERROR(SUMIF(INDIRECT("'"&amp;'Template Setup'!$C$8&amp;"'!C:C"),$A417,INDIRECT("'"&amp;'Template Setup'!$C$8&amp;"'!A:A")),0))</f>
        <v/>
      </c>
      <c r="L417" s="11" t="str">
        <f>IF($A417="","",IFERROR(VALUE(MID(TRIM('Template Setup'!$C$4),FIND("-",TRIM('Template Setup'!$C$4))+1,10)),0))</f>
        <v/>
      </c>
      <c r="M417" s="11" t="str">
        <f>IF($A417="","",IFERROR(VALUE(MID(TRIM('Template Setup'!$C$5),FIND("-",TRIM('Template Setup'!$C$5))+1,10)),0))</f>
        <v/>
      </c>
      <c r="N417" s="11" t="str">
        <f>IF($A417="","",IFERROR(VALUE(MID(TRIM('Template Setup'!$C$6),FIND("-",TRIM('Template Setup'!$C$6))+1,10)),0))</f>
        <v/>
      </c>
      <c r="O417" s="11" t="str">
        <f>IF($A417="","",IFERROR(VALUE(MID(TRIM('Template Setup'!$C$7),FIND("-",TRIM('Template Setup'!$C$7))+1,10)),0))</f>
        <v/>
      </c>
      <c r="P417" s="11" t="str">
        <f>IF($A417="","",IFERROR(VALUE(MID(TRIM('Template Setup'!$C$8),FIND("-",TRIM('Template Setup'!$C$8))+1,10)),0))</f>
        <v/>
      </c>
      <c r="Q417" s="9" t="str">
        <f>IF($A417="","",$A417&amp;"-"&amp;'Template Setup'!$C$16)</f>
        <v/>
      </c>
      <c r="R417" s="24" t="str">
        <f t="shared" si="25"/>
        <v/>
      </c>
      <c r="S417" s="24"/>
      <c r="T417" s="24" t="str">
        <f t="shared" si="26"/>
        <v/>
      </c>
      <c r="U417" s="6" t="str">
        <f t="shared" si="28"/>
        <v/>
      </c>
    </row>
    <row r="418" spans="1:21">
      <c r="A418" s="11"/>
      <c r="B418" s="11"/>
      <c r="C418" s="11"/>
      <c r="D418" s="11" t="str">
        <f>IF($A418="","",_xlfn.TEXTJOIN(", ",TRUE,IF($G418&gt;0,'Template Setup'!$C$4,""),IF($H418&gt;0,'Template Setup'!$C$5,""),IF($I418&gt;0,'Template Setup'!$C$6,""),IF($J418&gt;0,'Template Setup'!$C$7,""),IF($K418&gt;0,'Template Setup'!$C$8,"")))</f>
        <v/>
      </c>
      <c r="E418" s="6" t="str" cm="1">
        <f t="array" ref="E418">IF($A418="","",_xlfn.LET(_xlpm.sheets,CHOOSE({1,2,3,4,5},'Template Setup'!$C$4,'Template Setup'!$C$5,'Template Setup'!$C$6,'Template Setup'!$C$7,'Template Setup'!$C$8),_xlpm.nums,CHOOSE({1,2,3,4,5},$L418,$M418,$N418,$O418,$P418),_xlpm.qtys,CHOOSE({1,2,3,4,5},$G418,$H418,$I418,$J418,$K418),_xlpm.validNums,_xlfn._xlws.FILTER(_xlpm.nums,_xlpm.qtys&gt;0),_xlpm.validSheets,_xlfn._xlws.FILTER(_xlpm.sheets,_xlpm.qtys&gt;0),_xlpm.mx,IFERROR(MAX(_xlpm.validNums),0),IF(_xlpm.mx=0,"",INDEX(_xlpm.validSheets,MATCH(_xlpm.mx,_xlpm.validNums,0))&amp;" (+"&amp;$R418&amp;")")))</f>
        <v/>
      </c>
      <c r="F418" s="11" t="str">
        <f t="shared" si="27"/>
        <v/>
      </c>
      <c r="G418" s="12" t="str">
        <f ca="1">IF($A418="","",IFERROR(SUMIF(INDIRECT("'"&amp;'Template Setup'!$C$4&amp;"'!C:C"),$A418,INDIRECT("'"&amp;'Template Setup'!$C$4&amp;"'!A:A")),0))</f>
        <v/>
      </c>
      <c r="H418" s="12" t="str">
        <f ca="1">IF($A418="","",IFERROR(SUMIF(INDIRECT("'"&amp;'Template Setup'!$C$5&amp;"'!C:C"),$A418,INDIRECT("'"&amp;'Template Setup'!$C$5&amp;"'!A:A")),0))</f>
        <v/>
      </c>
      <c r="I418" s="12" t="str">
        <f ca="1">IF($A418="","",IFERROR(SUMIF(INDIRECT("'"&amp;'Template Setup'!$C$6&amp;"'!C:C"),$A418,INDIRECT("'"&amp;'Template Setup'!$C$6&amp;"'!A:A")),0))</f>
        <v/>
      </c>
      <c r="J418" s="12" t="str">
        <f ca="1">IF($A418="","",IFERROR(SUMIF(INDIRECT("'"&amp;'Template Setup'!$C$7&amp;"'!C:C"),$A418,INDIRECT("'"&amp;'Template Setup'!$C$7&amp;"'!A:A")),0))</f>
        <v/>
      </c>
      <c r="K418" s="12" t="str">
        <f ca="1">IF($A418="","",IFERROR(SUMIF(INDIRECT("'"&amp;'Template Setup'!$C$8&amp;"'!C:C"),$A418,INDIRECT("'"&amp;'Template Setup'!$C$8&amp;"'!A:A")),0))</f>
        <v/>
      </c>
      <c r="L418" s="11" t="str">
        <f>IF($A418="","",IFERROR(VALUE(MID(TRIM('Template Setup'!$C$4),FIND("-",TRIM('Template Setup'!$C$4))+1,10)),0))</f>
        <v/>
      </c>
      <c r="M418" s="11" t="str">
        <f>IF($A418="","",IFERROR(VALUE(MID(TRIM('Template Setup'!$C$5),FIND("-",TRIM('Template Setup'!$C$5))+1,10)),0))</f>
        <v/>
      </c>
      <c r="N418" s="11" t="str">
        <f>IF($A418="","",IFERROR(VALUE(MID(TRIM('Template Setup'!$C$6),FIND("-",TRIM('Template Setup'!$C$6))+1,10)),0))</f>
        <v/>
      </c>
      <c r="O418" s="11" t="str">
        <f>IF($A418="","",IFERROR(VALUE(MID(TRIM('Template Setup'!$C$7),FIND("-",TRIM('Template Setup'!$C$7))+1,10)),0))</f>
        <v/>
      </c>
      <c r="P418" s="11" t="str">
        <f>IF($A418="","",IFERROR(VALUE(MID(TRIM('Template Setup'!$C$8),FIND("-",TRIM('Template Setup'!$C$8))+1,10)),0))</f>
        <v/>
      </c>
      <c r="Q418" s="9" t="str">
        <f>IF($A418="","",$A418&amp;"-"&amp;'Template Setup'!$C$16)</f>
        <v/>
      </c>
      <c r="R418" s="24" t="str">
        <f t="shared" si="25"/>
        <v/>
      </c>
      <c r="S418" s="24"/>
      <c r="T418" s="24" t="str">
        <f t="shared" si="26"/>
        <v/>
      </c>
      <c r="U418" s="6" t="str">
        <f t="shared" si="28"/>
        <v/>
      </c>
    </row>
    <row r="419" spans="1:21">
      <c r="A419" s="11"/>
      <c r="B419" s="11"/>
      <c r="C419" s="11"/>
      <c r="D419" s="11" t="str">
        <f>IF($A419="","",_xlfn.TEXTJOIN(", ",TRUE,IF($G419&gt;0,'Template Setup'!$C$4,""),IF($H419&gt;0,'Template Setup'!$C$5,""),IF($I419&gt;0,'Template Setup'!$C$6,""),IF($J419&gt;0,'Template Setup'!$C$7,""),IF($K419&gt;0,'Template Setup'!$C$8,"")))</f>
        <v/>
      </c>
      <c r="E419" s="6" t="str" cm="1">
        <f t="array" ref="E419">IF($A419="","",_xlfn.LET(_xlpm.sheets,CHOOSE({1,2,3,4,5},'Template Setup'!$C$4,'Template Setup'!$C$5,'Template Setup'!$C$6,'Template Setup'!$C$7,'Template Setup'!$C$8),_xlpm.nums,CHOOSE({1,2,3,4,5},$L419,$M419,$N419,$O419,$P419),_xlpm.qtys,CHOOSE({1,2,3,4,5},$G419,$H419,$I419,$J419,$K419),_xlpm.validNums,_xlfn._xlws.FILTER(_xlpm.nums,_xlpm.qtys&gt;0),_xlpm.validSheets,_xlfn._xlws.FILTER(_xlpm.sheets,_xlpm.qtys&gt;0),_xlpm.mx,IFERROR(MAX(_xlpm.validNums),0),IF(_xlpm.mx=0,"",INDEX(_xlpm.validSheets,MATCH(_xlpm.mx,_xlpm.validNums,0))&amp;" (+"&amp;$R419&amp;")")))</f>
        <v/>
      </c>
      <c r="F419" s="11" t="str">
        <f t="shared" si="27"/>
        <v/>
      </c>
      <c r="G419" s="12" t="str">
        <f ca="1">IF($A419="","",IFERROR(SUMIF(INDIRECT("'"&amp;'Template Setup'!$C$4&amp;"'!C:C"),$A419,INDIRECT("'"&amp;'Template Setup'!$C$4&amp;"'!A:A")),0))</f>
        <v/>
      </c>
      <c r="H419" s="12" t="str">
        <f ca="1">IF($A419="","",IFERROR(SUMIF(INDIRECT("'"&amp;'Template Setup'!$C$5&amp;"'!C:C"),$A419,INDIRECT("'"&amp;'Template Setup'!$C$5&amp;"'!A:A")),0))</f>
        <v/>
      </c>
      <c r="I419" s="12" t="str">
        <f ca="1">IF($A419="","",IFERROR(SUMIF(INDIRECT("'"&amp;'Template Setup'!$C$6&amp;"'!C:C"),$A419,INDIRECT("'"&amp;'Template Setup'!$C$6&amp;"'!A:A")),0))</f>
        <v/>
      </c>
      <c r="J419" s="12" t="str">
        <f ca="1">IF($A419="","",IFERROR(SUMIF(INDIRECT("'"&amp;'Template Setup'!$C$7&amp;"'!C:C"),$A419,INDIRECT("'"&amp;'Template Setup'!$C$7&amp;"'!A:A")),0))</f>
        <v/>
      </c>
      <c r="K419" s="12" t="str">
        <f ca="1">IF($A419="","",IFERROR(SUMIF(INDIRECT("'"&amp;'Template Setup'!$C$8&amp;"'!C:C"),$A419,INDIRECT("'"&amp;'Template Setup'!$C$8&amp;"'!A:A")),0))</f>
        <v/>
      </c>
      <c r="L419" s="11" t="str">
        <f>IF($A419="","",IFERROR(VALUE(MID(TRIM('Template Setup'!$C$4),FIND("-",TRIM('Template Setup'!$C$4))+1,10)),0))</f>
        <v/>
      </c>
      <c r="M419" s="11" t="str">
        <f>IF($A419="","",IFERROR(VALUE(MID(TRIM('Template Setup'!$C$5),FIND("-",TRIM('Template Setup'!$C$5))+1,10)),0))</f>
        <v/>
      </c>
      <c r="N419" s="11" t="str">
        <f>IF($A419="","",IFERROR(VALUE(MID(TRIM('Template Setup'!$C$6),FIND("-",TRIM('Template Setup'!$C$6))+1,10)),0))</f>
        <v/>
      </c>
      <c r="O419" s="11" t="str">
        <f>IF($A419="","",IFERROR(VALUE(MID(TRIM('Template Setup'!$C$7),FIND("-",TRIM('Template Setup'!$C$7))+1,10)),0))</f>
        <v/>
      </c>
      <c r="P419" s="11" t="str">
        <f>IF($A419="","",IFERROR(VALUE(MID(TRIM('Template Setup'!$C$8),FIND("-",TRIM('Template Setup'!$C$8))+1,10)),0))</f>
        <v/>
      </c>
      <c r="Q419" s="9" t="str">
        <f>IF($A419="","",$A419&amp;"-"&amp;'Template Setup'!$C$16)</f>
        <v/>
      </c>
      <c r="R419" s="24" t="str">
        <f t="shared" si="25"/>
        <v/>
      </c>
      <c r="S419" s="24"/>
      <c r="T419" s="24" t="str">
        <f t="shared" si="26"/>
        <v/>
      </c>
      <c r="U419" s="6" t="str">
        <f t="shared" si="28"/>
        <v/>
      </c>
    </row>
    <row r="420" spans="1:21">
      <c r="A420" s="11"/>
      <c r="B420" s="11"/>
      <c r="C420" s="11"/>
      <c r="D420" s="11" t="str">
        <f>IF($A420="","",_xlfn.TEXTJOIN(", ",TRUE,IF($G420&gt;0,'Template Setup'!$C$4,""),IF($H420&gt;0,'Template Setup'!$C$5,""),IF($I420&gt;0,'Template Setup'!$C$6,""),IF($J420&gt;0,'Template Setup'!$C$7,""),IF($K420&gt;0,'Template Setup'!$C$8,"")))</f>
        <v/>
      </c>
      <c r="E420" s="6" t="str" cm="1">
        <f t="array" ref="E420">IF($A420="","",_xlfn.LET(_xlpm.sheets,CHOOSE({1,2,3,4,5},'Template Setup'!$C$4,'Template Setup'!$C$5,'Template Setup'!$C$6,'Template Setup'!$C$7,'Template Setup'!$C$8),_xlpm.nums,CHOOSE({1,2,3,4,5},$L420,$M420,$N420,$O420,$P420),_xlpm.qtys,CHOOSE({1,2,3,4,5},$G420,$H420,$I420,$J420,$K420),_xlpm.validNums,_xlfn._xlws.FILTER(_xlpm.nums,_xlpm.qtys&gt;0),_xlpm.validSheets,_xlfn._xlws.FILTER(_xlpm.sheets,_xlpm.qtys&gt;0),_xlpm.mx,IFERROR(MAX(_xlpm.validNums),0),IF(_xlpm.mx=0,"",INDEX(_xlpm.validSheets,MATCH(_xlpm.mx,_xlpm.validNums,0))&amp;" (+"&amp;$R420&amp;")")))</f>
        <v/>
      </c>
      <c r="F420" s="11" t="str">
        <f t="shared" si="27"/>
        <v/>
      </c>
      <c r="G420" s="12" t="str">
        <f ca="1">IF($A420="","",IFERROR(SUMIF(INDIRECT("'"&amp;'Template Setup'!$C$4&amp;"'!C:C"),$A420,INDIRECT("'"&amp;'Template Setup'!$C$4&amp;"'!A:A")),0))</f>
        <v/>
      </c>
      <c r="H420" s="12" t="str">
        <f ca="1">IF($A420="","",IFERROR(SUMIF(INDIRECT("'"&amp;'Template Setup'!$C$5&amp;"'!C:C"),$A420,INDIRECT("'"&amp;'Template Setup'!$C$5&amp;"'!A:A")),0))</f>
        <v/>
      </c>
      <c r="I420" s="12" t="str">
        <f ca="1">IF($A420="","",IFERROR(SUMIF(INDIRECT("'"&amp;'Template Setup'!$C$6&amp;"'!C:C"),$A420,INDIRECT("'"&amp;'Template Setup'!$C$6&amp;"'!A:A")),0))</f>
        <v/>
      </c>
      <c r="J420" s="12" t="str">
        <f ca="1">IF($A420="","",IFERROR(SUMIF(INDIRECT("'"&amp;'Template Setup'!$C$7&amp;"'!C:C"),$A420,INDIRECT("'"&amp;'Template Setup'!$C$7&amp;"'!A:A")),0))</f>
        <v/>
      </c>
      <c r="K420" s="12" t="str">
        <f ca="1">IF($A420="","",IFERROR(SUMIF(INDIRECT("'"&amp;'Template Setup'!$C$8&amp;"'!C:C"),$A420,INDIRECT("'"&amp;'Template Setup'!$C$8&amp;"'!A:A")),0))</f>
        <v/>
      </c>
      <c r="L420" s="11" t="str">
        <f>IF($A420="","",IFERROR(VALUE(MID(TRIM('Template Setup'!$C$4),FIND("-",TRIM('Template Setup'!$C$4))+1,10)),0))</f>
        <v/>
      </c>
      <c r="M420" s="11" t="str">
        <f>IF($A420="","",IFERROR(VALUE(MID(TRIM('Template Setup'!$C$5),FIND("-",TRIM('Template Setup'!$C$5))+1,10)),0))</f>
        <v/>
      </c>
      <c r="N420" s="11" t="str">
        <f>IF($A420="","",IFERROR(VALUE(MID(TRIM('Template Setup'!$C$6),FIND("-",TRIM('Template Setup'!$C$6))+1,10)),0))</f>
        <v/>
      </c>
      <c r="O420" s="11" t="str">
        <f>IF($A420="","",IFERROR(VALUE(MID(TRIM('Template Setup'!$C$7),FIND("-",TRIM('Template Setup'!$C$7))+1,10)),0))</f>
        <v/>
      </c>
      <c r="P420" s="11" t="str">
        <f>IF($A420="","",IFERROR(VALUE(MID(TRIM('Template Setup'!$C$8),FIND("-",TRIM('Template Setup'!$C$8))+1,10)),0))</f>
        <v/>
      </c>
      <c r="Q420" s="9" t="str">
        <f>IF($A420="","",$A420&amp;"-"&amp;'Template Setup'!$C$16)</f>
        <v/>
      </c>
      <c r="R420" s="24" t="str">
        <f t="shared" si="25"/>
        <v/>
      </c>
      <c r="S420" s="24"/>
      <c r="T420" s="24" t="str">
        <f t="shared" si="26"/>
        <v/>
      </c>
      <c r="U420" s="6" t="str">
        <f t="shared" si="28"/>
        <v/>
      </c>
    </row>
    <row r="421" spans="1:21">
      <c r="A421" s="11"/>
      <c r="B421" s="11"/>
      <c r="C421" s="11"/>
      <c r="D421" s="11" t="str">
        <f>IF($A421="","",_xlfn.TEXTJOIN(", ",TRUE,IF($G421&gt;0,'Template Setup'!$C$4,""),IF($H421&gt;0,'Template Setup'!$C$5,""),IF($I421&gt;0,'Template Setup'!$C$6,""),IF($J421&gt;0,'Template Setup'!$C$7,""),IF($K421&gt;0,'Template Setup'!$C$8,"")))</f>
        <v/>
      </c>
      <c r="E421" s="6" t="str" cm="1">
        <f t="array" ref="E421">IF($A421="","",_xlfn.LET(_xlpm.sheets,CHOOSE({1,2,3,4,5},'Template Setup'!$C$4,'Template Setup'!$C$5,'Template Setup'!$C$6,'Template Setup'!$C$7,'Template Setup'!$C$8),_xlpm.nums,CHOOSE({1,2,3,4,5},$L421,$M421,$N421,$O421,$P421),_xlpm.qtys,CHOOSE({1,2,3,4,5},$G421,$H421,$I421,$J421,$K421),_xlpm.validNums,_xlfn._xlws.FILTER(_xlpm.nums,_xlpm.qtys&gt;0),_xlpm.validSheets,_xlfn._xlws.FILTER(_xlpm.sheets,_xlpm.qtys&gt;0),_xlpm.mx,IFERROR(MAX(_xlpm.validNums),0),IF(_xlpm.mx=0,"",INDEX(_xlpm.validSheets,MATCH(_xlpm.mx,_xlpm.validNums,0))&amp;" (+"&amp;$R421&amp;")")))</f>
        <v/>
      </c>
      <c r="F421" s="11" t="str">
        <f t="shared" si="27"/>
        <v/>
      </c>
      <c r="G421" s="12" t="str">
        <f ca="1">IF($A421="","",IFERROR(SUMIF(INDIRECT("'"&amp;'Template Setup'!$C$4&amp;"'!C:C"),$A421,INDIRECT("'"&amp;'Template Setup'!$C$4&amp;"'!A:A")),0))</f>
        <v/>
      </c>
      <c r="H421" s="12" t="str">
        <f ca="1">IF($A421="","",IFERROR(SUMIF(INDIRECT("'"&amp;'Template Setup'!$C$5&amp;"'!C:C"),$A421,INDIRECT("'"&amp;'Template Setup'!$C$5&amp;"'!A:A")),0))</f>
        <v/>
      </c>
      <c r="I421" s="12" t="str">
        <f ca="1">IF($A421="","",IFERROR(SUMIF(INDIRECT("'"&amp;'Template Setup'!$C$6&amp;"'!C:C"),$A421,INDIRECT("'"&amp;'Template Setup'!$C$6&amp;"'!A:A")),0))</f>
        <v/>
      </c>
      <c r="J421" s="12" t="str">
        <f ca="1">IF($A421="","",IFERROR(SUMIF(INDIRECT("'"&amp;'Template Setup'!$C$7&amp;"'!C:C"),$A421,INDIRECT("'"&amp;'Template Setup'!$C$7&amp;"'!A:A")),0))</f>
        <v/>
      </c>
      <c r="K421" s="12" t="str">
        <f ca="1">IF($A421="","",IFERROR(SUMIF(INDIRECT("'"&amp;'Template Setup'!$C$8&amp;"'!C:C"),$A421,INDIRECT("'"&amp;'Template Setup'!$C$8&amp;"'!A:A")),0))</f>
        <v/>
      </c>
      <c r="L421" s="11" t="str">
        <f>IF($A421="","",IFERROR(VALUE(MID(TRIM('Template Setup'!$C$4),FIND("-",TRIM('Template Setup'!$C$4))+1,10)),0))</f>
        <v/>
      </c>
      <c r="M421" s="11" t="str">
        <f>IF($A421="","",IFERROR(VALUE(MID(TRIM('Template Setup'!$C$5),FIND("-",TRIM('Template Setup'!$C$5))+1,10)),0))</f>
        <v/>
      </c>
      <c r="N421" s="11" t="str">
        <f>IF($A421="","",IFERROR(VALUE(MID(TRIM('Template Setup'!$C$6),FIND("-",TRIM('Template Setup'!$C$6))+1,10)),0))</f>
        <v/>
      </c>
      <c r="O421" s="11" t="str">
        <f>IF($A421="","",IFERROR(VALUE(MID(TRIM('Template Setup'!$C$7),FIND("-",TRIM('Template Setup'!$C$7))+1,10)),0))</f>
        <v/>
      </c>
      <c r="P421" s="11" t="str">
        <f>IF($A421="","",IFERROR(VALUE(MID(TRIM('Template Setup'!$C$8),FIND("-",TRIM('Template Setup'!$C$8))+1,10)),0))</f>
        <v/>
      </c>
      <c r="Q421" s="9" t="str">
        <f>IF($A421="","",$A421&amp;"-"&amp;'Template Setup'!$C$16)</f>
        <v/>
      </c>
      <c r="R421" s="24" t="str">
        <f t="shared" si="25"/>
        <v/>
      </c>
      <c r="S421" s="24"/>
      <c r="T421" s="24" t="str">
        <f t="shared" si="26"/>
        <v/>
      </c>
      <c r="U421" s="6" t="str">
        <f t="shared" si="28"/>
        <v/>
      </c>
    </row>
    <row r="422" spans="1:21">
      <c r="A422" s="11"/>
      <c r="B422" s="11"/>
      <c r="C422" s="11"/>
      <c r="D422" s="11" t="str">
        <f>IF($A422="","",_xlfn.TEXTJOIN(", ",TRUE,IF($G422&gt;0,'Template Setup'!$C$4,""),IF($H422&gt;0,'Template Setup'!$C$5,""),IF($I422&gt;0,'Template Setup'!$C$6,""),IF($J422&gt;0,'Template Setup'!$C$7,""),IF($K422&gt;0,'Template Setup'!$C$8,"")))</f>
        <v/>
      </c>
      <c r="E422" s="6" t="str" cm="1">
        <f t="array" ref="E422">IF($A422="","",_xlfn.LET(_xlpm.sheets,CHOOSE({1,2,3,4,5},'Template Setup'!$C$4,'Template Setup'!$C$5,'Template Setup'!$C$6,'Template Setup'!$C$7,'Template Setup'!$C$8),_xlpm.nums,CHOOSE({1,2,3,4,5},$L422,$M422,$N422,$O422,$P422),_xlpm.qtys,CHOOSE({1,2,3,4,5},$G422,$H422,$I422,$J422,$K422),_xlpm.validNums,_xlfn._xlws.FILTER(_xlpm.nums,_xlpm.qtys&gt;0),_xlpm.validSheets,_xlfn._xlws.FILTER(_xlpm.sheets,_xlpm.qtys&gt;0),_xlpm.mx,IFERROR(MAX(_xlpm.validNums),0),IF(_xlpm.mx=0,"",INDEX(_xlpm.validSheets,MATCH(_xlpm.mx,_xlpm.validNums,0))&amp;" (+"&amp;$R422&amp;")")))</f>
        <v/>
      </c>
      <c r="F422" s="11" t="str">
        <f t="shared" si="27"/>
        <v/>
      </c>
      <c r="G422" s="12" t="str">
        <f ca="1">IF($A422="","",IFERROR(SUMIF(INDIRECT("'"&amp;'Template Setup'!$C$4&amp;"'!C:C"),$A422,INDIRECT("'"&amp;'Template Setup'!$C$4&amp;"'!A:A")),0))</f>
        <v/>
      </c>
      <c r="H422" s="12" t="str">
        <f ca="1">IF($A422="","",IFERROR(SUMIF(INDIRECT("'"&amp;'Template Setup'!$C$5&amp;"'!C:C"),$A422,INDIRECT("'"&amp;'Template Setup'!$C$5&amp;"'!A:A")),0))</f>
        <v/>
      </c>
      <c r="I422" s="12" t="str">
        <f ca="1">IF($A422="","",IFERROR(SUMIF(INDIRECT("'"&amp;'Template Setup'!$C$6&amp;"'!C:C"),$A422,INDIRECT("'"&amp;'Template Setup'!$C$6&amp;"'!A:A")),0))</f>
        <v/>
      </c>
      <c r="J422" s="12" t="str">
        <f ca="1">IF($A422="","",IFERROR(SUMIF(INDIRECT("'"&amp;'Template Setup'!$C$7&amp;"'!C:C"),$A422,INDIRECT("'"&amp;'Template Setup'!$C$7&amp;"'!A:A")),0))</f>
        <v/>
      </c>
      <c r="K422" s="12" t="str">
        <f ca="1">IF($A422="","",IFERROR(SUMIF(INDIRECT("'"&amp;'Template Setup'!$C$8&amp;"'!C:C"),$A422,INDIRECT("'"&amp;'Template Setup'!$C$8&amp;"'!A:A")),0))</f>
        <v/>
      </c>
      <c r="L422" s="11" t="str">
        <f>IF($A422="","",IFERROR(VALUE(MID(TRIM('Template Setup'!$C$4),FIND("-",TRIM('Template Setup'!$C$4))+1,10)),0))</f>
        <v/>
      </c>
      <c r="M422" s="11" t="str">
        <f>IF($A422="","",IFERROR(VALUE(MID(TRIM('Template Setup'!$C$5),FIND("-",TRIM('Template Setup'!$C$5))+1,10)),0))</f>
        <v/>
      </c>
      <c r="N422" s="11" t="str">
        <f>IF($A422="","",IFERROR(VALUE(MID(TRIM('Template Setup'!$C$6),FIND("-",TRIM('Template Setup'!$C$6))+1,10)),0))</f>
        <v/>
      </c>
      <c r="O422" s="11" t="str">
        <f>IF($A422="","",IFERROR(VALUE(MID(TRIM('Template Setup'!$C$7),FIND("-",TRIM('Template Setup'!$C$7))+1,10)),0))</f>
        <v/>
      </c>
      <c r="P422" s="11" t="str">
        <f>IF($A422="","",IFERROR(VALUE(MID(TRIM('Template Setup'!$C$8),FIND("-",TRIM('Template Setup'!$C$8))+1,10)),0))</f>
        <v/>
      </c>
      <c r="Q422" s="9" t="str">
        <f>IF($A422="","",$A422&amp;"-"&amp;'Template Setup'!$C$16)</f>
        <v/>
      </c>
      <c r="R422" s="24" t="str">
        <f t="shared" si="25"/>
        <v/>
      </c>
      <c r="S422" s="24"/>
      <c r="T422" s="24" t="str">
        <f t="shared" si="26"/>
        <v/>
      </c>
      <c r="U422" s="6" t="str">
        <f t="shared" si="28"/>
        <v/>
      </c>
    </row>
    <row r="423" spans="1:21">
      <c r="A423" s="11"/>
      <c r="B423" s="11"/>
      <c r="C423" s="11"/>
      <c r="D423" s="11" t="str">
        <f>IF($A423="","",_xlfn.TEXTJOIN(", ",TRUE,IF($G423&gt;0,'Template Setup'!$C$4,""),IF($H423&gt;0,'Template Setup'!$C$5,""),IF($I423&gt;0,'Template Setup'!$C$6,""),IF($J423&gt;0,'Template Setup'!$C$7,""),IF($K423&gt;0,'Template Setup'!$C$8,"")))</f>
        <v/>
      </c>
      <c r="E423" s="6" t="str" cm="1">
        <f t="array" ref="E423">IF($A423="","",_xlfn.LET(_xlpm.sheets,CHOOSE({1,2,3,4,5},'Template Setup'!$C$4,'Template Setup'!$C$5,'Template Setup'!$C$6,'Template Setup'!$C$7,'Template Setup'!$C$8),_xlpm.nums,CHOOSE({1,2,3,4,5},$L423,$M423,$N423,$O423,$P423),_xlpm.qtys,CHOOSE({1,2,3,4,5},$G423,$H423,$I423,$J423,$K423),_xlpm.validNums,_xlfn._xlws.FILTER(_xlpm.nums,_xlpm.qtys&gt;0),_xlpm.validSheets,_xlfn._xlws.FILTER(_xlpm.sheets,_xlpm.qtys&gt;0),_xlpm.mx,IFERROR(MAX(_xlpm.validNums),0),IF(_xlpm.mx=0,"",INDEX(_xlpm.validSheets,MATCH(_xlpm.mx,_xlpm.validNums,0))&amp;" (+"&amp;$R423&amp;")")))</f>
        <v/>
      </c>
      <c r="F423" s="11" t="str">
        <f t="shared" si="27"/>
        <v/>
      </c>
      <c r="G423" s="12" t="str">
        <f ca="1">IF($A423="","",IFERROR(SUMIF(INDIRECT("'"&amp;'Template Setup'!$C$4&amp;"'!C:C"),$A423,INDIRECT("'"&amp;'Template Setup'!$C$4&amp;"'!A:A")),0))</f>
        <v/>
      </c>
      <c r="H423" s="12" t="str">
        <f ca="1">IF($A423="","",IFERROR(SUMIF(INDIRECT("'"&amp;'Template Setup'!$C$5&amp;"'!C:C"),$A423,INDIRECT("'"&amp;'Template Setup'!$C$5&amp;"'!A:A")),0))</f>
        <v/>
      </c>
      <c r="I423" s="12" t="str">
        <f ca="1">IF($A423="","",IFERROR(SUMIF(INDIRECT("'"&amp;'Template Setup'!$C$6&amp;"'!C:C"),$A423,INDIRECT("'"&amp;'Template Setup'!$C$6&amp;"'!A:A")),0))</f>
        <v/>
      </c>
      <c r="J423" s="12" t="str">
        <f ca="1">IF($A423="","",IFERROR(SUMIF(INDIRECT("'"&amp;'Template Setup'!$C$7&amp;"'!C:C"),$A423,INDIRECT("'"&amp;'Template Setup'!$C$7&amp;"'!A:A")),0))</f>
        <v/>
      </c>
      <c r="K423" s="12" t="str">
        <f ca="1">IF($A423="","",IFERROR(SUMIF(INDIRECT("'"&amp;'Template Setup'!$C$8&amp;"'!C:C"),$A423,INDIRECT("'"&amp;'Template Setup'!$C$8&amp;"'!A:A")),0))</f>
        <v/>
      </c>
      <c r="L423" s="11" t="str">
        <f>IF($A423="","",IFERROR(VALUE(MID(TRIM('Template Setup'!$C$4),FIND("-",TRIM('Template Setup'!$C$4))+1,10)),0))</f>
        <v/>
      </c>
      <c r="M423" s="11" t="str">
        <f>IF($A423="","",IFERROR(VALUE(MID(TRIM('Template Setup'!$C$5),FIND("-",TRIM('Template Setup'!$C$5))+1,10)),0))</f>
        <v/>
      </c>
      <c r="N423" s="11" t="str">
        <f>IF($A423="","",IFERROR(VALUE(MID(TRIM('Template Setup'!$C$6),FIND("-",TRIM('Template Setup'!$C$6))+1,10)),0))</f>
        <v/>
      </c>
      <c r="O423" s="11" t="str">
        <f>IF($A423="","",IFERROR(VALUE(MID(TRIM('Template Setup'!$C$7),FIND("-",TRIM('Template Setup'!$C$7))+1,10)),0))</f>
        <v/>
      </c>
      <c r="P423" s="11" t="str">
        <f>IF($A423="","",IFERROR(VALUE(MID(TRIM('Template Setup'!$C$8),FIND("-",TRIM('Template Setup'!$C$8))+1,10)),0))</f>
        <v/>
      </c>
      <c r="Q423" s="9" t="str">
        <f>IF($A423="","",$A423&amp;"-"&amp;'Template Setup'!$C$16)</f>
        <v/>
      </c>
      <c r="R423" s="24" t="str">
        <f t="shared" si="25"/>
        <v/>
      </c>
      <c r="S423" s="24"/>
      <c r="T423" s="24" t="str">
        <f t="shared" si="26"/>
        <v/>
      </c>
      <c r="U423" s="6" t="str">
        <f t="shared" si="28"/>
        <v/>
      </c>
    </row>
    <row r="424" spans="1:21">
      <c r="A424" s="11"/>
      <c r="B424" s="11"/>
      <c r="C424" s="11"/>
      <c r="D424" s="11" t="str">
        <f>IF($A424="","",_xlfn.TEXTJOIN(", ",TRUE,IF($G424&gt;0,'Template Setup'!$C$4,""),IF($H424&gt;0,'Template Setup'!$C$5,""),IF($I424&gt;0,'Template Setup'!$C$6,""),IF($J424&gt;0,'Template Setup'!$C$7,""),IF($K424&gt;0,'Template Setup'!$C$8,"")))</f>
        <v/>
      </c>
      <c r="E424" s="6" t="str" cm="1">
        <f t="array" ref="E424">IF($A424="","",_xlfn.LET(_xlpm.sheets,CHOOSE({1,2,3,4,5},'Template Setup'!$C$4,'Template Setup'!$C$5,'Template Setup'!$C$6,'Template Setup'!$C$7,'Template Setup'!$C$8),_xlpm.nums,CHOOSE({1,2,3,4,5},$L424,$M424,$N424,$O424,$P424),_xlpm.qtys,CHOOSE({1,2,3,4,5},$G424,$H424,$I424,$J424,$K424),_xlpm.validNums,_xlfn._xlws.FILTER(_xlpm.nums,_xlpm.qtys&gt;0),_xlpm.validSheets,_xlfn._xlws.FILTER(_xlpm.sheets,_xlpm.qtys&gt;0),_xlpm.mx,IFERROR(MAX(_xlpm.validNums),0),IF(_xlpm.mx=0,"",INDEX(_xlpm.validSheets,MATCH(_xlpm.mx,_xlpm.validNums,0))&amp;" (+"&amp;$R424&amp;")")))</f>
        <v/>
      </c>
      <c r="F424" s="11" t="str">
        <f t="shared" si="27"/>
        <v/>
      </c>
      <c r="G424" s="12" t="str">
        <f ca="1">IF($A424="","",IFERROR(SUMIF(INDIRECT("'"&amp;'Template Setup'!$C$4&amp;"'!C:C"),$A424,INDIRECT("'"&amp;'Template Setup'!$C$4&amp;"'!A:A")),0))</f>
        <v/>
      </c>
      <c r="H424" s="12" t="str">
        <f ca="1">IF($A424="","",IFERROR(SUMIF(INDIRECT("'"&amp;'Template Setup'!$C$5&amp;"'!C:C"),$A424,INDIRECT("'"&amp;'Template Setup'!$C$5&amp;"'!A:A")),0))</f>
        <v/>
      </c>
      <c r="I424" s="12" t="str">
        <f ca="1">IF($A424="","",IFERROR(SUMIF(INDIRECT("'"&amp;'Template Setup'!$C$6&amp;"'!C:C"),$A424,INDIRECT("'"&amp;'Template Setup'!$C$6&amp;"'!A:A")),0))</f>
        <v/>
      </c>
      <c r="J424" s="12" t="str">
        <f ca="1">IF($A424="","",IFERROR(SUMIF(INDIRECT("'"&amp;'Template Setup'!$C$7&amp;"'!C:C"),$A424,INDIRECT("'"&amp;'Template Setup'!$C$7&amp;"'!A:A")),0))</f>
        <v/>
      </c>
      <c r="K424" s="12" t="str">
        <f ca="1">IF($A424="","",IFERROR(SUMIF(INDIRECT("'"&amp;'Template Setup'!$C$8&amp;"'!C:C"),$A424,INDIRECT("'"&amp;'Template Setup'!$C$8&amp;"'!A:A")),0))</f>
        <v/>
      </c>
      <c r="L424" s="11" t="str">
        <f>IF($A424="","",IFERROR(VALUE(MID(TRIM('Template Setup'!$C$4),FIND("-",TRIM('Template Setup'!$C$4))+1,10)),0))</f>
        <v/>
      </c>
      <c r="M424" s="11" t="str">
        <f>IF($A424="","",IFERROR(VALUE(MID(TRIM('Template Setup'!$C$5),FIND("-",TRIM('Template Setup'!$C$5))+1,10)),0))</f>
        <v/>
      </c>
      <c r="N424" s="11" t="str">
        <f>IF($A424="","",IFERROR(VALUE(MID(TRIM('Template Setup'!$C$6),FIND("-",TRIM('Template Setup'!$C$6))+1,10)),0))</f>
        <v/>
      </c>
      <c r="O424" s="11" t="str">
        <f>IF($A424="","",IFERROR(VALUE(MID(TRIM('Template Setup'!$C$7),FIND("-",TRIM('Template Setup'!$C$7))+1,10)),0))</f>
        <v/>
      </c>
      <c r="P424" s="11" t="str">
        <f>IF($A424="","",IFERROR(VALUE(MID(TRIM('Template Setup'!$C$8),FIND("-",TRIM('Template Setup'!$C$8))+1,10)),0))</f>
        <v/>
      </c>
      <c r="Q424" s="9" t="str">
        <f>IF($A424="","",$A424&amp;"-"&amp;'Template Setup'!$C$16)</f>
        <v/>
      </c>
      <c r="R424" s="24" t="str">
        <f t="shared" si="25"/>
        <v/>
      </c>
      <c r="S424" s="24"/>
      <c r="T424" s="24" t="str">
        <f t="shared" si="26"/>
        <v/>
      </c>
      <c r="U424" s="6" t="str">
        <f t="shared" si="28"/>
        <v/>
      </c>
    </row>
    <row r="425" spans="1:21">
      <c r="A425" s="11"/>
      <c r="B425" s="11"/>
      <c r="C425" s="11"/>
      <c r="D425" s="11" t="str">
        <f>IF($A425="","",_xlfn.TEXTJOIN(", ",TRUE,IF($G425&gt;0,'Template Setup'!$C$4,""),IF($H425&gt;0,'Template Setup'!$C$5,""),IF($I425&gt;0,'Template Setup'!$C$6,""),IF($J425&gt;0,'Template Setup'!$C$7,""),IF($K425&gt;0,'Template Setup'!$C$8,"")))</f>
        <v/>
      </c>
      <c r="E425" s="6" t="str" cm="1">
        <f t="array" ref="E425">IF($A425="","",_xlfn.LET(_xlpm.sheets,CHOOSE({1,2,3,4,5},'Template Setup'!$C$4,'Template Setup'!$C$5,'Template Setup'!$C$6,'Template Setup'!$C$7,'Template Setup'!$C$8),_xlpm.nums,CHOOSE({1,2,3,4,5},$L425,$M425,$N425,$O425,$P425),_xlpm.qtys,CHOOSE({1,2,3,4,5},$G425,$H425,$I425,$J425,$K425),_xlpm.validNums,_xlfn._xlws.FILTER(_xlpm.nums,_xlpm.qtys&gt;0),_xlpm.validSheets,_xlfn._xlws.FILTER(_xlpm.sheets,_xlpm.qtys&gt;0),_xlpm.mx,IFERROR(MAX(_xlpm.validNums),0),IF(_xlpm.mx=0,"",INDEX(_xlpm.validSheets,MATCH(_xlpm.mx,_xlpm.validNums,0))&amp;" (+"&amp;$R425&amp;")")))</f>
        <v/>
      </c>
      <c r="F425" s="11" t="str">
        <f t="shared" si="27"/>
        <v/>
      </c>
      <c r="G425" s="12" t="str">
        <f ca="1">IF($A425="","",IFERROR(SUMIF(INDIRECT("'"&amp;'Template Setup'!$C$4&amp;"'!C:C"),$A425,INDIRECT("'"&amp;'Template Setup'!$C$4&amp;"'!A:A")),0))</f>
        <v/>
      </c>
      <c r="H425" s="12" t="str">
        <f ca="1">IF($A425="","",IFERROR(SUMIF(INDIRECT("'"&amp;'Template Setup'!$C$5&amp;"'!C:C"),$A425,INDIRECT("'"&amp;'Template Setup'!$C$5&amp;"'!A:A")),0))</f>
        <v/>
      </c>
      <c r="I425" s="12" t="str">
        <f ca="1">IF($A425="","",IFERROR(SUMIF(INDIRECT("'"&amp;'Template Setup'!$C$6&amp;"'!C:C"),$A425,INDIRECT("'"&amp;'Template Setup'!$C$6&amp;"'!A:A")),0))</f>
        <v/>
      </c>
      <c r="J425" s="12" t="str">
        <f ca="1">IF($A425="","",IFERROR(SUMIF(INDIRECT("'"&amp;'Template Setup'!$C$7&amp;"'!C:C"),$A425,INDIRECT("'"&amp;'Template Setup'!$C$7&amp;"'!A:A")),0))</f>
        <v/>
      </c>
      <c r="K425" s="12" t="str">
        <f ca="1">IF($A425="","",IFERROR(SUMIF(INDIRECT("'"&amp;'Template Setup'!$C$8&amp;"'!C:C"),$A425,INDIRECT("'"&amp;'Template Setup'!$C$8&amp;"'!A:A")),0))</f>
        <v/>
      </c>
      <c r="L425" s="11" t="str">
        <f>IF($A425="","",IFERROR(VALUE(MID(TRIM('Template Setup'!$C$4),FIND("-",TRIM('Template Setup'!$C$4))+1,10)),0))</f>
        <v/>
      </c>
      <c r="M425" s="11" t="str">
        <f>IF($A425="","",IFERROR(VALUE(MID(TRIM('Template Setup'!$C$5),FIND("-",TRIM('Template Setup'!$C$5))+1,10)),0))</f>
        <v/>
      </c>
      <c r="N425" s="11" t="str">
        <f>IF($A425="","",IFERROR(VALUE(MID(TRIM('Template Setup'!$C$6),FIND("-",TRIM('Template Setup'!$C$6))+1,10)),0))</f>
        <v/>
      </c>
      <c r="O425" s="11" t="str">
        <f>IF($A425="","",IFERROR(VALUE(MID(TRIM('Template Setup'!$C$7),FIND("-",TRIM('Template Setup'!$C$7))+1,10)),0))</f>
        <v/>
      </c>
      <c r="P425" s="11" t="str">
        <f>IF($A425="","",IFERROR(VALUE(MID(TRIM('Template Setup'!$C$8),FIND("-",TRIM('Template Setup'!$C$8))+1,10)),0))</f>
        <v/>
      </c>
      <c r="Q425" s="9" t="str">
        <f>IF($A425="","",$A425&amp;"-"&amp;'Template Setup'!$C$16)</f>
        <v/>
      </c>
      <c r="R425" s="24" t="str">
        <f t="shared" si="25"/>
        <v/>
      </c>
      <c r="S425" s="24"/>
      <c r="T425" s="24" t="str">
        <f t="shared" si="26"/>
        <v/>
      </c>
      <c r="U425" s="6" t="str">
        <f t="shared" si="28"/>
        <v/>
      </c>
    </row>
    <row r="426" spans="1:21">
      <c r="A426" s="11"/>
      <c r="B426" s="11"/>
      <c r="C426" s="11"/>
      <c r="D426" s="11" t="str">
        <f>IF($A426="","",_xlfn.TEXTJOIN(", ",TRUE,IF($G426&gt;0,'Template Setup'!$C$4,""),IF($H426&gt;0,'Template Setup'!$C$5,""),IF($I426&gt;0,'Template Setup'!$C$6,""),IF($J426&gt;0,'Template Setup'!$C$7,""),IF($K426&gt;0,'Template Setup'!$C$8,"")))</f>
        <v/>
      </c>
      <c r="E426" s="6" t="str" cm="1">
        <f t="array" ref="E426">IF($A426="","",_xlfn.LET(_xlpm.sheets,CHOOSE({1,2,3,4,5},'Template Setup'!$C$4,'Template Setup'!$C$5,'Template Setup'!$C$6,'Template Setup'!$C$7,'Template Setup'!$C$8),_xlpm.nums,CHOOSE({1,2,3,4,5},$L426,$M426,$N426,$O426,$P426),_xlpm.qtys,CHOOSE({1,2,3,4,5},$G426,$H426,$I426,$J426,$K426),_xlpm.validNums,_xlfn._xlws.FILTER(_xlpm.nums,_xlpm.qtys&gt;0),_xlpm.validSheets,_xlfn._xlws.FILTER(_xlpm.sheets,_xlpm.qtys&gt;0),_xlpm.mx,IFERROR(MAX(_xlpm.validNums),0),IF(_xlpm.mx=0,"",INDEX(_xlpm.validSheets,MATCH(_xlpm.mx,_xlpm.validNums,0))&amp;" (+"&amp;$R426&amp;")")))</f>
        <v/>
      </c>
      <c r="F426" s="11" t="str">
        <f t="shared" si="27"/>
        <v/>
      </c>
      <c r="G426" s="12" t="str">
        <f ca="1">IF($A426="","",IFERROR(SUMIF(INDIRECT("'"&amp;'Template Setup'!$C$4&amp;"'!C:C"),$A426,INDIRECT("'"&amp;'Template Setup'!$C$4&amp;"'!A:A")),0))</f>
        <v/>
      </c>
      <c r="H426" s="12" t="str">
        <f ca="1">IF($A426="","",IFERROR(SUMIF(INDIRECT("'"&amp;'Template Setup'!$C$5&amp;"'!C:C"),$A426,INDIRECT("'"&amp;'Template Setup'!$C$5&amp;"'!A:A")),0))</f>
        <v/>
      </c>
      <c r="I426" s="12" t="str">
        <f ca="1">IF($A426="","",IFERROR(SUMIF(INDIRECT("'"&amp;'Template Setup'!$C$6&amp;"'!C:C"),$A426,INDIRECT("'"&amp;'Template Setup'!$C$6&amp;"'!A:A")),0))</f>
        <v/>
      </c>
      <c r="J426" s="12" t="str">
        <f ca="1">IF($A426="","",IFERROR(SUMIF(INDIRECT("'"&amp;'Template Setup'!$C$7&amp;"'!C:C"),$A426,INDIRECT("'"&amp;'Template Setup'!$C$7&amp;"'!A:A")),0))</f>
        <v/>
      </c>
      <c r="K426" s="12" t="str">
        <f ca="1">IF($A426="","",IFERROR(SUMIF(INDIRECT("'"&amp;'Template Setup'!$C$8&amp;"'!C:C"),$A426,INDIRECT("'"&amp;'Template Setup'!$C$8&amp;"'!A:A")),0))</f>
        <v/>
      </c>
      <c r="L426" s="11" t="str">
        <f>IF($A426="","",IFERROR(VALUE(MID(TRIM('Template Setup'!$C$4),FIND("-",TRIM('Template Setup'!$C$4))+1,10)),0))</f>
        <v/>
      </c>
      <c r="M426" s="11" t="str">
        <f>IF($A426="","",IFERROR(VALUE(MID(TRIM('Template Setup'!$C$5),FIND("-",TRIM('Template Setup'!$C$5))+1,10)),0))</f>
        <v/>
      </c>
      <c r="N426" s="11" t="str">
        <f>IF($A426="","",IFERROR(VALUE(MID(TRIM('Template Setup'!$C$6),FIND("-",TRIM('Template Setup'!$C$6))+1,10)),0))</f>
        <v/>
      </c>
      <c r="O426" s="11" t="str">
        <f>IF($A426="","",IFERROR(VALUE(MID(TRIM('Template Setup'!$C$7),FIND("-",TRIM('Template Setup'!$C$7))+1,10)),0))</f>
        <v/>
      </c>
      <c r="P426" s="11" t="str">
        <f>IF($A426="","",IFERROR(VALUE(MID(TRIM('Template Setup'!$C$8),FIND("-",TRIM('Template Setup'!$C$8))+1,10)),0))</f>
        <v/>
      </c>
      <c r="Q426" s="9" t="str">
        <f>IF($A426="","",$A426&amp;"-"&amp;'Template Setup'!$C$16)</f>
        <v/>
      </c>
      <c r="R426" s="24" t="str">
        <f t="shared" si="25"/>
        <v/>
      </c>
      <c r="S426" s="24"/>
      <c r="T426" s="24" t="str">
        <f t="shared" si="26"/>
        <v/>
      </c>
      <c r="U426" s="6" t="str">
        <f t="shared" si="28"/>
        <v/>
      </c>
    </row>
    <row r="427" spans="1:21">
      <c r="A427" s="11"/>
      <c r="B427" s="11"/>
      <c r="C427" s="11"/>
      <c r="D427" s="11" t="str">
        <f>IF($A427="","",_xlfn.TEXTJOIN(", ",TRUE,IF($G427&gt;0,'Template Setup'!$C$4,""),IF($H427&gt;0,'Template Setup'!$C$5,""),IF($I427&gt;0,'Template Setup'!$C$6,""),IF($J427&gt;0,'Template Setup'!$C$7,""),IF($K427&gt;0,'Template Setup'!$C$8,"")))</f>
        <v/>
      </c>
      <c r="E427" s="6" t="str" cm="1">
        <f t="array" ref="E427">IF($A427="","",_xlfn.LET(_xlpm.sheets,CHOOSE({1,2,3,4,5},'Template Setup'!$C$4,'Template Setup'!$C$5,'Template Setup'!$C$6,'Template Setup'!$C$7,'Template Setup'!$C$8),_xlpm.nums,CHOOSE({1,2,3,4,5},$L427,$M427,$N427,$O427,$P427),_xlpm.qtys,CHOOSE({1,2,3,4,5},$G427,$H427,$I427,$J427,$K427),_xlpm.validNums,_xlfn._xlws.FILTER(_xlpm.nums,_xlpm.qtys&gt;0),_xlpm.validSheets,_xlfn._xlws.FILTER(_xlpm.sheets,_xlpm.qtys&gt;0),_xlpm.mx,IFERROR(MAX(_xlpm.validNums),0),IF(_xlpm.mx=0,"",INDEX(_xlpm.validSheets,MATCH(_xlpm.mx,_xlpm.validNums,0))&amp;" (+"&amp;$R427&amp;")")))</f>
        <v/>
      </c>
      <c r="F427" s="11" t="str">
        <f t="shared" si="27"/>
        <v/>
      </c>
      <c r="G427" s="12" t="str">
        <f ca="1">IF($A427="","",IFERROR(SUMIF(INDIRECT("'"&amp;'Template Setup'!$C$4&amp;"'!C:C"),$A427,INDIRECT("'"&amp;'Template Setup'!$C$4&amp;"'!A:A")),0))</f>
        <v/>
      </c>
      <c r="H427" s="12" t="str">
        <f ca="1">IF($A427="","",IFERROR(SUMIF(INDIRECT("'"&amp;'Template Setup'!$C$5&amp;"'!C:C"),$A427,INDIRECT("'"&amp;'Template Setup'!$C$5&amp;"'!A:A")),0))</f>
        <v/>
      </c>
      <c r="I427" s="12" t="str">
        <f ca="1">IF($A427="","",IFERROR(SUMIF(INDIRECT("'"&amp;'Template Setup'!$C$6&amp;"'!C:C"),$A427,INDIRECT("'"&amp;'Template Setup'!$C$6&amp;"'!A:A")),0))</f>
        <v/>
      </c>
      <c r="J427" s="12" t="str">
        <f ca="1">IF($A427="","",IFERROR(SUMIF(INDIRECT("'"&amp;'Template Setup'!$C$7&amp;"'!C:C"),$A427,INDIRECT("'"&amp;'Template Setup'!$C$7&amp;"'!A:A")),0))</f>
        <v/>
      </c>
      <c r="K427" s="12" t="str">
        <f ca="1">IF($A427="","",IFERROR(SUMIF(INDIRECT("'"&amp;'Template Setup'!$C$8&amp;"'!C:C"),$A427,INDIRECT("'"&amp;'Template Setup'!$C$8&amp;"'!A:A")),0))</f>
        <v/>
      </c>
      <c r="L427" s="11" t="str">
        <f>IF($A427="","",IFERROR(VALUE(MID(TRIM('Template Setup'!$C$4),FIND("-",TRIM('Template Setup'!$C$4))+1,10)),0))</f>
        <v/>
      </c>
      <c r="M427" s="11" t="str">
        <f>IF($A427="","",IFERROR(VALUE(MID(TRIM('Template Setup'!$C$5),FIND("-",TRIM('Template Setup'!$C$5))+1,10)),0))</f>
        <v/>
      </c>
      <c r="N427" s="11" t="str">
        <f>IF($A427="","",IFERROR(VALUE(MID(TRIM('Template Setup'!$C$6),FIND("-",TRIM('Template Setup'!$C$6))+1,10)),0))</f>
        <v/>
      </c>
      <c r="O427" s="11" t="str">
        <f>IF($A427="","",IFERROR(VALUE(MID(TRIM('Template Setup'!$C$7),FIND("-",TRIM('Template Setup'!$C$7))+1,10)),0))</f>
        <v/>
      </c>
      <c r="P427" s="11" t="str">
        <f>IF($A427="","",IFERROR(VALUE(MID(TRIM('Template Setup'!$C$8),FIND("-",TRIM('Template Setup'!$C$8))+1,10)),0))</f>
        <v/>
      </c>
      <c r="Q427" s="9" t="str">
        <f>IF($A427="","",$A427&amp;"-"&amp;'Template Setup'!$C$16)</f>
        <v/>
      </c>
      <c r="R427" s="24" t="str">
        <f t="shared" si="25"/>
        <v/>
      </c>
      <c r="S427" s="24"/>
      <c r="T427" s="24" t="str">
        <f t="shared" si="26"/>
        <v/>
      </c>
      <c r="U427" s="6" t="str">
        <f t="shared" si="28"/>
        <v/>
      </c>
    </row>
    <row r="428" spans="1:21">
      <c r="A428" s="11"/>
      <c r="B428" s="11"/>
      <c r="C428" s="11"/>
      <c r="D428" s="11" t="str">
        <f>IF($A428="","",_xlfn.TEXTJOIN(", ",TRUE,IF($G428&gt;0,'Template Setup'!$C$4,""),IF($H428&gt;0,'Template Setup'!$C$5,""),IF($I428&gt;0,'Template Setup'!$C$6,""),IF($J428&gt;0,'Template Setup'!$C$7,""),IF($K428&gt;0,'Template Setup'!$C$8,"")))</f>
        <v/>
      </c>
      <c r="E428" s="6" t="str" cm="1">
        <f t="array" ref="E428">IF($A428="","",_xlfn.LET(_xlpm.sheets,CHOOSE({1,2,3,4,5},'Template Setup'!$C$4,'Template Setup'!$C$5,'Template Setup'!$C$6,'Template Setup'!$C$7,'Template Setup'!$C$8),_xlpm.nums,CHOOSE({1,2,3,4,5},$L428,$M428,$N428,$O428,$P428),_xlpm.qtys,CHOOSE({1,2,3,4,5},$G428,$H428,$I428,$J428,$K428),_xlpm.validNums,_xlfn._xlws.FILTER(_xlpm.nums,_xlpm.qtys&gt;0),_xlpm.validSheets,_xlfn._xlws.FILTER(_xlpm.sheets,_xlpm.qtys&gt;0),_xlpm.mx,IFERROR(MAX(_xlpm.validNums),0),IF(_xlpm.mx=0,"",INDEX(_xlpm.validSheets,MATCH(_xlpm.mx,_xlpm.validNums,0))&amp;" (+"&amp;$R428&amp;")")))</f>
        <v/>
      </c>
      <c r="F428" s="11" t="str">
        <f t="shared" si="27"/>
        <v/>
      </c>
      <c r="G428" s="12" t="str">
        <f ca="1">IF($A428="","",IFERROR(SUMIF(INDIRECT("'"&amp;'Template Setup'!$C$4&amp;"'!C:C"),$A428,INDIRECT("'"&amp;'Template Setup'!$C$4&amp;"'!A:A")),0))</f>
        <v/>
      </c>
      <c r="H428" s="12" t="str">
        <f ca="1">IF($A428="","",IFERROR(SUMIF(INDIRECT("'"&amp;'Template Setup'!$C$5&amp;"'!C:C"),$A428,INDIRECT("'"&amp;'Template Setup'!$C$5&amp;"'!A:A")),0))</f>
        <v/>
      </c>
      <c r="I428" s="12" t="str">
        <f ca="1">IF($A428="","",IFERROR(SUMIF(INDIRECT("'"&amp;'Template Setup'!$C$6&amp;"'!C:C"),$A428,INDIRECT("'"&amp;'Template Setup'!$C$6&amp;"'!A:A")),0))</f>
        <v/>
      </c>
      <c r="J428" s="12" t="str">
        <f ca="1">IF($A428="","",IFERROR(SUMIF(INDIRECT("'"&amp;'Template Setup'!$C$7&amp;"'!C:C"),$A428,INDIRECT("'"&amp;'Template Setup'!$C$7&amp;"'!A:A")),0))</f>
        <v/>
      </c>
      <c r="K428" s="12" t="str">
        <f ca="1">IF($A428="","",IFERROR(SUMIF(INDIRECT("'"&amp;'Template Setup'!$C$8&amp;"'!C:C"),$A428,INDIRECT("'"&amp;'Template Setup'!$C$8&amp;"'!A:A")),0))</f>
        <v/>
      </c>
      <c r="L428" s="11" t="str">
        <f>IF($A428="","",IFERROR(VALUE(MID(TRIM('Template Setup'!$C$4),FIND("-",TRIM('Template Setup'!$C$4))+1,10)),0))</f>
        <v/>
      </c>
      <c r="M428" s="11" t="str">
        <f>IF($A428="","",IFERROR(VALUE(MID(TRIM('Template Setup'!$C$5),FIND("-",TRIM('Template Setup'!$C$5))+1,10)),0))</f>
        <v/>
      </c>
      <c r="N428" s="11" t="str">
        <f>IF($A428="","",IFERROR(VALUE(MID(TRIM('Template Setup'!$C$6),FIND("-",TRIM('Template Setup'!$C$6))+1,10)),0))</f>
        <v/>
      </c>
      <c r="O428" s="11" t="str">
        <f>IF($A428="","",IFERROR(VALUE(MID(TRIM('Template Setup'!$C$7),FIND("-",TRIM('Template Setup'!$C$7))+1,10)),0))</f>
        <v/>
      </c>
      <c r="P428" s="11" t="str">
        <f>IF($A428="","",IFERROR(VALUE(MID(TRIM('Template Setup'!$C$8),FIND("-",TRIM('Template Setup'!$C$8))+1,10)),0))</f>
        <v/>
      </c>
      <c r="Q428" s="9" t="str">
        <f>IF($A428="","",$A428&amp;"-"&amp;'Template Setup'!$C$16)</f>
        <v/>
      </c>
      <c r="R428" s="24" t="str">
        <f t="shared" si="25"/>
        <v/>
      </c>
      <c r="S428" s="24"/>
      <c r="T428" s="24" t="str">
        <f t="shared" si="26"/>
        <v/>
      </c>
      <c r="U428" s="6" t="str">
        <f t="shared" si="28"/>
        <v/>
      </c>
    </row>
    <row r="429" spans="1:21">
      <c r="A429" s="11"/>
      <c r="B429" s="11"/>
      <c r="C429" s="11"/>
      <c r="D429" s="11" t="str">
        <f>IF($A429="","",_xlfn.TEXTJOIN(", ",TRUE,IF($G429&gt;0,'Template Setup'!$C$4,""),IF($H429&gt;0,'Template Setup'!$C$5,""),IF($I429&gt;0,'Template Setup'!$C$6,""),IF($J429&gt;0,'Template Setup'!$C$7,""),IF($K429&gt;0,'Template Setup'!$C$8,"")))</f>
        <v/>
      </c>
      <c r="E429" s="6" t="str" cm="1">
        <f t="array" ref="E429">IF($A429="","",_xlfn.LET(_xlpm.sheets,CHOOSE({1,2,3,4,5},'Template Setup'!$C$4,'Template Setup'!$C$5,'Template Setup'!$C$6,'Template Setup'!$C$7,'Template Setup'!$C$8),_xlpm.nums,CHOOSE({1,2,3,4,5},$L429,$M429,$N429,$O429,$P429),_xlpm.qtys,CHOOSE({1,2,3,4,5},$G429,$H429,$I429,$J429,$K429),_xlpm.validNums,_xlfn._xlws.FILTER(_xlpm.nums,_xlpm.qtys&gt;0),_xlpm.validSheets,_xlfn._xlws.FILTER(_xlpm.sheets,_xlpm.qtys&gt;0),_xlpm.mx,IFERROR(MAX(_xlpm.validNums),0),IF(_xlpm.mx=0,"",INDEX(_xlpm.validSheets,MATCH(_xlpm.mx,_xlpm.validNums,0))&amp;" (+"&amp;$R429&amp;")")))</f>
        <v/>
      </c>
      <c r="F429" s="11" t="str">
        <f t="shared" si="27"/>
        <v/>
      </c>
      <c r="G429" s="12" t="str">
        <f ca="1">IF($A429="","",IFERROR(SUMIF(INDIRECT("'"&amp;'Template Setup'!$C$4&amp;"'!C:C"),$A429,INDIRECT("'"&amp;'Template Setup'!$C$4&amp;"'!A:A")),0))</f>
        <v/>
      </c>
      <c r="H429" s="12" t="str">
        <f ca="1">IF($A429="","",IFERROR(SUMIF(INDIRECT("'"&amp;'Template Setup'!$C$5&amp;"'!C:C"),$A429,INDIRECT("'"&amp;'Template Setup'!$C$5&amp;"'!A:A")),0))</f>
        <v/>
      </c>
      <c r="I429" s="12" t="str">
        <f ca="1">IF($A429="","",IFERROR(SUMIF(INDIRECT("'"&amp;'Template Setup'!$C$6&amp;"'!C:C"),$A429,INDIRECT("'"&amp;'Template Setup'!$C$6&amp;"'!A:A")),0))</f>
        <v/>
      </c>
      <c r="J429" s="12" t="str">
        <f ca="1">IF($A429="","",IFERROR(SUMIF(INDIRECT("'"&amp;'Template Setup'!$C$7&amp;"'!C:C"),$A429,INDIRECT("'"&amp;'Template Setup'!$C$7&amp;"'!A:A")),0))</f>
        <v/>
      </c>
      <c r="K429" s="12" t="str">
        <f ca="1">IF($A429="","",IFERROR(SUMIF(INDIRECT("'"&amp;'Template Setup'!$C$8&amp;"'!C:C"),$A429,INDIRECT("'"&amp;'Template Setup'!$C$8&amp;"'!A:A")),0))</f>
        <v/>
      </c>
      <c r="L429" s="11" t="str">
        <f>IF($A429="","",IFERROR(VALUE(MID(TRIM('Template Setup'!$C$4),FIND("-",TRIM('Template Setup'!$C$4))+1,10)),0))</f>
        <v/>
      </c>
      <c r="M429" s="11" t="str">
        <f>IF($A429="","",IFERROR(VALUE(MID(TRIM('Template Setup'!$C$5),FIND("-",TRIM('Template Setup'!$C$5))+1,10)),0))</f>
        <v/>
      </c>
      <c r="N429" s="11" t="str">
        <f>IF($A429="","",IFERROR(VALUE(MID(TRIM('Template Setup'!$C$6),FIND("-",TRIM('Template Setup'!$C$6))+1,10)),0))</f>
        <v/>
      </c>
      <c r="O429" s="11" t="str">
        <f>IF($A429="","",IFERROR(VALUE(MID(TRIM('Template Setup'!$C$7),FIND("-",TRIM('Template Setup'!$C$7))+1,10)),0))</f>
        <v/>
      </c>
      <c r="P429" s="11" t="str">
        <f>IF($A429="","",IFERROR(VALUE(MID(TRIM('Template Setup'!$C$8),FIND("-",TRIM('Template Setup'!$C$8))+1,10)),0))</f>
        <v/>
      </c>
      <c r="Q429" s="9" t="str">
        <f>IF($A429="","",$A429&amp;"-"&amp;'Template Setup'!$C$16)</f>
        <v/>
      </c>
      <c r="R429" s="24" t="str">
        <f t="shared" si="25"/>
        <v/>
      </c>
      <c r="S429" s="24"/>
      <c r="T429" s="24" t="str">
        <f t="shared" si="26"/>
        <v/>
      </c>
      <c r="U429" s="6" t="str">
        <f t="shared" si="28"/>
        <v/>
      </c>
    </row>
    <row r="430" spans="1:21">
      <c r="A430" s="11"/>
      <c r="B430" s="11"/>
      <c r="C430" s="11"/>
      <c r="D430" s="11" t="str">
        <f>IF($A430="","",_xlfn.TEXTJOIN(", ",TRUE,IF($G430&gt;0,'Template Setup'!$C$4,""),IF($H430&gt;0,'Template Setup'!$C$5,""),IF($I430&gt;0,'Template Setup'!$C$6,""),IF($J430&gt;0,'Template Setup'!$C$7,""),IF($K430&gt;0,'Template Setup'!$C$8,"")))</f>
        <v/>
      </c>
      <c r="E430" s="6" t="str" cm="1">
        <f t="array" ref="E430">IF($A430="","",_xlfn.LET(_xlpm.sheets,CHOOSE({1,2,3,4,5},'Template Setup'!$C$4,'Template Setup'!$C$5,'Template Setup'!$C$6,'Template Setup'!$C$7,'Template Setup'!$C$8),_xlpm.nums,CHOOSE({1,2,3,4,5},$L430,$M430,$N430,$O430,$P430),_xlpm.qtys,CHOOSE({1,2,3,4,5},$G430,$H430,$I430,$J430,$K430),_xlpm.validNums,_xlfn._xlws.FILTER(_xlpm.nums,_xlpm.qtys&gt;0),_xlpm.validSheets,_xlfn._xlws.FILTER(_xlpm.sheets,_xlpm.qtys&gt;0),_xlpm.mx,IFERROR(MAX(_xlpm.validNums),0),IF(_xlpm.mx=0,"",INDEX(_xlpm.validSheets,MATCH(_xlpm.mx,_xlpm.validNums,0))&amp;" (+"&amp;$R430&amp;")")))</f>
        <v/>
      </c>
      <c r="F430" s="11" t="str">
        <f t="shared" si="27"/>
        <v/>
      </c>
      <c r="G430" s="12" t="str">
        <f ca="1">IF($A430="","",IFERROR(SUMIF(INDIRECT("'"&amp;'Template Setup'!$C$4&amp;"'!C:C"),$A430,INDIRECT("'"&amp;'Template Setup'!$C$4&amp;"'!A:A")),0))</f>
        <v/>
      </c>
      <c r="H430" s="12" t="str">
        <f ca="1">IF($A430="","",IFERROR(SUMIF(INDIRECT("'"&amp;'Template Setup'!$C$5&amp;"'!C:C"),$A430,INDIRECT("'"&amp;'Template Setup'!$C$5&amp;"'!A:A")),0))</f>
        <v/>
      </c>
      <c r="I430" s="12" t="str">
        <f ca="1">IF($A430="","",IFERROR(SUMIF(INDIRECT("'"&amp;'Template Setup'!$C$6&amp;"'!C:C"),$A430,INDIRECT("'"&amp;'Template Setup'!$C$6&amp;"'!A:A")),0))</f>
        <v/>
      </c>
      <c r="J430" s="12" t="str">
        <f ca="1">IF($A430="","",IFERROR(SUMIF(INDIRECT("'"&amp;'Template Setup'!$C$7&amp;"'!C:C"),$A430,INDIRECT("'"&amp;'Template Setup'!$C$7&amp;"'!A:A")),0))</f>
        <v/>
      </c>
      <c r="K430" s="12" t="str">
        <f ca="1">IF($A430="","",IFERROR(SUMIF(INDIRECT("'"&amp;'Template Setup'!$C$8&amp;"'!C:C"),$A430,INDIRECT("'"&amp;'Template Setup'!$C$8&amp;"'!A:A")),0))</f>
        <v/>
      </c>
      <c r="L430" s="11" t="str">
        <f>IF($A430="","",IFERROR(VALUE(MID(TRIM('Template Setup'!$C$4),FIND("-",TRIM('Template Setup'!$C$4))+1,10)),0))</f>
        <v/>
      </c>
      <c r="M430" s="11" t="str">
        <f>IF($A430="","",IFERROR(VALUE(MID(TRIM('Template Setup'!$C$5),FIND("-",TRIM('Template Setup'!$C$5))+1,10)),0))</f>
        <v/>
      </c>
      <c r="N430" s="11" t="str">
        <f>IF($A430="","",IFERROR(VALUE(MID(TRIM('Template Setup'!$C$6),FIND("-",TRIM('Template Setup'!$C$6))+1,10)),0))</f>
        <v/>
      </c>
      <c r="O430" s="11" t="str">
        <f>IF($A430="","",IFERROR(VALUE(MID(TRIM('Template Setup'!$C$7),FIND("-",TRIM('Template Setup'!$C$7))+1,10)),0))</f>
        <v/>
      </c>
      <c r="P430" s="11" t="str">
        <f>IF($A430="","",IFERROR(VALUE(MID(TRIM('Template Setup'!$C$8),FIND("-",TRIM('Template Setup'!$C$8))+1,10)),0))</f>
        <v/>
      </c>
      <c r="Q430" s="9" t="str">
        <f>IF($A430="","",$A430&amp;"-"&amp;'Template Setup'!$C$16)</f>
        <v/>
      </c>
      <c r="R430" s="24" t="str">
        <f t="shared" si="25"/>
        <v/>
      </c>
      <c r="S430" s="24"/>
      <c r="T430" s="24" t="str">
        <f t="shared" si="26"/>
        <v/>
      </c>
      <c r="U430" s="6" t="str">
        <f t="shared" si="28"/>
        <v/>
      </c>
    </row>
    <row r="431" spans="1:21">
      <c r="A431" s="11"/>
      <c r="B431" s="11"/>
      <c r="C431" s="11"/>
      <c r="D431" s="11" t="str">
        <f>IF($A431="","",_xlfn.TEXTJOIN(", ",TRUE,IF($G431&gt;0,'Template Setup'!$C$4,""),IF($H431&gt;0,'Template Setup'!$C$5,""),IF($I431&gt;0,'Template Setup'!$C$6,""),IF($J431&gt;0,'Template Setup'!$C$7,""),IF($K431&gt;0,'Template Setup'!$C$8,"")))</f>
        <v/>
      </c>
      <c r="E431" s="6" t="str" cm="1">
        <f t="array" ref="E431">IF($A431="","",_xlfn.LET(_xlpm.sheets,CHOOSE({1,2,3,4,5},'Template Setup'!$C$4,'Template Setup'!$C$5,'Template Setup'!$C$6,'Template Setup'!$C$7,'Template Setup'!$C$8),_xlpm.nums,CHOOSE({1,2,3,4,5},$L431,$M431,$N431,$O431,$P431),_xlpm.qtys,CHOOSE({1,2,3,4,5},$G431,$H431,$I431,$J431,$K431),_xlpm.validNums,_xlfn._xlws.FILTER(_xlpm.nums,_xlpm.qtys&gt;0),_xlpm.validSheets,_xlfn._xlws.FILTER(_xlpm.sheets,_xlpm.qtys&gt;0),_xlpm.mx,IFERROR(MAX(_xlpm.validNums),0),IF(_xlpm.mx=0,"",INDEX(_xlpm.validSheets,MATCH(_xlpm.mx,_xlpm.validNums,0))&amp;" (+"&amp;$R431&amp;")")))</f>
        <v/>
      </c>
      <c r="F431" s="11" t="str">
        <f t="shared" si="27"/>
        <v/>
      </c>
      <c r="G431" s="12" t="str">
        <f ca="1">IF($A431="","",IFERROR(SUMIF(INDIRECT("'"&amp;'Template Setup'!$C$4&amp;"'!C:C"),$A431,INDIRECT("'"&amp;'Template Setup'!$C$4&amp;"'!A:A")),0))</f>
        <v/>
      </c>
      <c r="H431" s="12" t="str">
        <f ca="1">IF($A431="","",IFERROR(SUMIF(INDIRECT("'"&amp;'Template Setup'!$C$5&amp;"'!C:C"),$A431,INDIRECT("'"&amp;'Template Setup'!$C$5&amp;"'!A:A")),0))</f>
        <v/>
      </c>
      <c r="I431" s="12" t="str">
        <f ca="1">IF($A431="","",IFERROR(SUMIF(INDIRECT("'"&amp;'Template Setup'!$C$6&amp;"'!C:C"),$A431,INDIRECT("'"&amp;'Template Setup'!$C$6&amp;"'!A:A")),0))</f>
        <v/>
      </c>
      <c r="J431" s="12" t="str">
        <f ca="1">IF($A431="","",IFERROR(SUMIF(INDIRECT("'"&amp;'Template Setup'!$C$7&amp;"'!C:C"),$A431,INDIRECT("'"&amp;'Template Setup'!$C$7&amp;"'!A:A")),0))</f>
        <v/>
      </c>
      <c r="K431" s="12" t="str">
        <f ca="1">IF($A431="","",IFERROR(SUMIF(INDIRECT("'"&amp;'Template Setup'!$C$8&amp;"'!C:C"),$A431,INDIRECT("'"&amp;'Template Setup'!$C$8&amp;"'!A:A")),0))</f>
        <v/>
      </c>
      <c r="L431" s="11" t="str">
        <f>IF($A431="","",IFERROR(VALUE(MID(TRIM('Template Setup'!$C$4),FIND("-",TRIM('Template Setup'!$C$4))+1,10)),0))</f>
        <v/>
      </c>
      <c r="M431" s="11" t="str">
        <f>IF($A431="","",IFERROR(VALUE(MID(TRIM('Template Setup'!$C$5),FIND("-",TRIM('Template Setup'!$C$5))+1,10)),0))</f>
        <v/>
      </c>
      <c r="N431" s="11" t="str">
        <f>IF($A431="","",IFERROR(VALUE(MID(TRIM('Template Setup'!$C$6),FIND("-",TRIM('Template Setup'!$C$6))+1,10)),0))</f>
        <v/>
      </c>
      <c r="O431" s="11" t="str">
        <f>IF($A431="","",IFERROR(VALUE(MID(TRIM('Template Setup'!$C$7),FIND("-",TRIM('Template Setup'!$C$7))+1,10)),0))</f>
        <v/>
      </c>
      <c r="P431" s="11" t="str">
        <f>IF($A431="","",IFERROR(VALUE(MID(TRIM('Template Setup'!$C$8),FIND("-",TRIM('Template Setup'!$C$8))+1,10)),0))</f>
        <v/>
      </c>
      <c r="Q431" s="9" t="str">
        <f>IF($A431="","",$A431&amp;"-"&amp;'Template Setup'!$C$16)</f>
        <v/>
      </c>
      <c r="R431" s="24" t="str">
        <f t="shared" si="25"/>
        <v/>
      </c>
      <c r="S431" s="24"/>
      <c r="T431" s="24" t="str">
        <f t="shared" si="26"/>
        <v/>
      </c>
      <c r="U431" s="6" t="str">
        <f t="shared" si="28"/>
        <v/>
      </c>
    </row>
    <row r="432" spans="1:21">
      <c r="A432" s="11"/>
      <c r="B432" s="11"/>
      <c r="C432" s="11"/>
      <c r="D432" s="11" t="str">
        <f>IF($A432="","",_xlfn.TEXTJOIN(", ",TRUE,IF($G432&gt;0,'Template Setup'!$C$4,""),IF($H432&gt;0,'Template Setup'!$C$5,""),IF($I432&gt;0,'Template Setup'!$C$6,""),IF($J432&gt;0,'Template Setup'!$C$7,""),IF($K432&gt;0,'Template Setup'!$C$8,"")))</f>
        <v/>
      </c>
      <c r="E432" s="6" t="str" cm="1">
        <f t="array" ref="E432">IF($A432="","",_xlfn.LET(_xlpm.sheets,CHOOSE({1,2,3,4,5},'Template Setup'!$C$4,'Template Setup'!$C$5,'Template Setup'!$C$6,'Template Setup'!$C$7,'Template Setup'!$C$8),_xlpm.nums,CHOOSE({1,2,3,4,5},$L432,$M432,$N432,$O432,$P432),_xlpm.qtys,CHOOSE({1,2,3,4,5},$G432,$H432,$I432,$J432,$K432),_xlpm.validNums,_xlfn._xlws.FILTER(_xlpm.nums,_xlpm.qtys&gt;0),_xlpm.validSheets,_xlfn._xlws.FILTER(_xlpm.sheets,_xlpm.qtys&gt;0),_xlpm.mx,IFERROR(MAX(_xlpm.validNums),0),IF(_xlpm.mx=0,"",INDEX(_xlpm.validSheets,MATCH(_xlpm.mx,_xlpm.validNums,0))&amp;" (+"&amp;$R432&amp;")")))</f>
        <v/>
      </c>
      <c r="F432" s="11" t="str">
        <f t="shared" si="27"/>
        <v/>
      </c>
      <c r="G432" s="12" t="str">
        <f ca="1">IF($A432="","",IFERROR(SUMIF(INDIRECT("'"&amp;'Template Setup'!$C$4&amp;"'!C:C"),$A432,INDIRECT("'"&amp;'Template Setup'!$C$4&amp;"'!A:A")),0))</f>
        <v/>
      </c>
      <c r="H432" s="12" t="str">
        <f ca="1">IF($A432="","",IFERROR(SUMIF(INDIRECT("'"&amp;'Template Setup'!$C$5&amp;"'!C:C"),$A432,INDIRECT("'"&amp;'Template Setup'!$C$5&amp;"'!A:A")),0))</f>
        <v/>
      </c>
      <c r="I432" s="12" t="str">
        <f ca="1">IF($A432="","",IFERROR(SUMIF(INDIRECT("'"&amp;'Template Setup'!$C$6&amp;"'!C:C"),$A432,INDIRECT("'"&amp;'Template Setup'!$C$6&amp;"'!A:A")),0))</f>
        <v/>
      </c>
      <c r="J432" s="12" t="str">
        <f ca="1">IF($A432="","",IFERROR(SUMIF(INDIRECT("'"&amp;'Template Setup'!$C$7&amp;"'!C:C"),$A432,INDIRECT("'"&amp;'Template Setup'!$C$7&amp;"'!A:A")),0))</f>
        <v/>
      </c>
      <c r="K432" s="12" t="str">
        <f ca="1">IF($A432="","",IFERROR(SUMIF(INDIRECT("'"&amp;'Template Setup'!$C$8&amp;"'!C:C"),$A432,INDIRECT("'"&amp;'Template Setup'!$C$8&amp;"'!A:A")),0))</f>
        <v/>
      </c>
      <c r="L432" s="11" t="str">
        <f>IF($A432="","",IFERROR(VALUE(MID(TRIM('Template Setup'!$C$4),FIND("-",TRIM('Template Setup'!$C$4))+1,10)),0))</f>
        <v/>
      </c>
      <c r="M432" s="11" t="str">
        <f>IF($A432="","",IFERROR(VALUE(MID(TRIM('Template Setup'!$C$5),FIND("-",TRIM('Template Setup'!$C$5))+1,10)),0))</f>
        <v/>
      </c>
      <c r="N432" s="11" t="str">
        <f>IF($A432="","",IFERROR(VALUE(MID(TRIM('Template Setup'!$C$6),FIND("-",TRIM('Template Setup'!$C$6))+1,10)),0))</f>
        <v/>
      </c>
      <c r="O432" s="11" t="str">
        <f>IF($A432="","",IFERROR(VALUE(MID(TRIM('Template Setup'!$C$7),FIND("-",TRIM('Template Setup'!$C$7))+1,10)),0))</f>
        <v/>
      </c>
      <c r="P432" s="11" t="str">
        <f>IF($A432="","",IFERROR(VALUE(MID(TRIM('Template Setup'!$C$8),FIND("-",TRIM('Template Setup'!$C$8))+1,10)),0))</f>
        <v/>
      </c>
      <c r="Q432" s="9" t="str">
        <f>IF($A432="","",$A432&amp;"-"&amp;'Template Setup'!$C$16)</f>
        <v/>
      </c>
      <c r="R432" s="24" t="str">
        <f t="shared" si="25"/>
        <v/>
      </c>
      <c r="S432" s="24"/>
      <c r="T432" s="24" t="str">
        <f t="shared" si="26"/>
        <v/>
      </c>
      <c r="U432" s="6" t="str">
        <f t="shared" si="28"/>
        <v/>
      </c>
    </row>
    <row r="433" spans="1:21">
      <c r="A433" s="11"/>
      <c r="B433" s="11"/>
      <c r="C433" s="11"/>
      <c r="D433" s="11" t="str">
        <f>IF($A433="","",_xlfn.TEXTJOIN(", ",TRUE,IF($G433&gt;0,'Template Setup'!$C$4,""),IF($H433&gt;0,'Template Setup'!$C$5,""),IF($I433&gt;0,'Template Setup'!$C$6,""),IF($J433&gt;0,'Template Setup'!$C$7,""),IF($K433&gt;0,'Template Setup'!$C$8,"")))</f>
        <v/>
      </c>
      <c r="E433" s="6" t="str" cm="1">
        <f t="array" ref="E433">IF($A433="","",_xlfn.LET(_xlpm.sheets,CHOOSE({1,2,3,4,5},'Template Setup'!$C$4,'Template Setup'!$C$5,'Template Setup'!$C$6,'Template Setup'!$C$7,'Template Setup'!$C$8),_xlpm.nums,CHOOSE({1,2,3,4,5},$L433,$M433,$N433,$O433,$P433),_xlpm.qtys,CHOOSE({1,2,3,4,5},$G433,$H433,$I433,$J433,$K433),_xlpm.validNums,_xlfn._xlws.FILTER(_xlpm.nums,_xlpm.qtys&gt;0),_xlpm.validSheets,_xlfn._xlws.FILTER(_xlpm.sheets,_xlpm.qtys&gt;0),_xlpm.mx,IFERROR(MAX(_xlpm.validNums),0),IF(_xlpm.mx=0,"",INDEX(_xlpm.validSheets,MATCH(_xlpm.mx,_xlpm.validNums,0))&amp;" (+"&amp;$R433&amp;")")))</f>
        <v/>
      </c>
      <c r="F433" s="11" t="str">
        <f t="shared" si="27"/>
        <v/>
      </c>
      <c r="G433" s="12" t="str">
        <f ca="1">IF($A433="","",IFERROR(SUMIF(INDIRECT("'"&amp;'Template Setup'!$C$4&amp;"'!C:C"),$A433,INDIRECT("'"&amp;'Template Setup'!$C$4&amp;"'!A:A")),0))</f>
        <v/>
      </c>
      <c r="H433" s="12" t="str">
        <f ca="1">IF($A433="","",IFERROR(SUMIF(INDIRECT("'"&amp;'Template Setup'!$C$5&amp;"'!C:C"),$A433,INDIRECT("'"&amp;'Template Setup'!$C$5&amp;"'!A:A")),0))</f>
        <v/>
      </c>
      <c r="I433" s="12" t="str">
        <f ca="1">IF($A433="","",IFERROR(SUMIF(INDIRECT("'"&amp;'Template Setup'!$C$6&amp;"'!C:C"),$A433,INDIRECT("'"&amp;'Template Setup'!$C$6&amp;"'!A:A")),0))</f>
        <v/>
      </c>
      <c r="J433" s="12" t="str">
        <f ca="1">IF($A433="","",IFERROR(SUMIF(INDIRECT("'"&amp;'Template Setup'!$C$7&amp;"'!C:C"),$A433,INDIRECT("'"&amp;'Template Setup'!$C$7&amp;"'!A:A")),0))</f>
        <v/>
      </c>
      <c r="K433" s="12" t="str">
        <f ca="1">IF($A433="","",IFERROR(SUMIF(INDIRECT("'"&amp;'Template Setup'!$C$8&amp;"'!C:C"),$A433,INDIRECT("'"&amp;'Template Setup'!$C$8&amp;"'!A:A")),0))</f>
        <v/>
      </c>
      <c r="L433" s="11" t="str">
        <f>IF($A433="","",IFERROR(VALUE(MID(TRIM('Template Setup'!$C$4),FIND("-",TRIM('Template Setup'!$C$4))+1,10)),0))</f>
        <v/>
      </c>
      <c r="M433" s="11" t="str">
        <f>IF($A433="","",IFERROR(VALUE(MID(TRIM('Template Setup'!$C$5),FIND("-",TRIM('Template Setup'!$C$5))+1,10)),0))</f>
        <v/>
      </c>
      <c r="N433" s="11" t="str">
        <f>IF($A433="","",IFERROR(VALUE(MID(TRIM('Template Setup'!$C$6),FIND("-",TRIM('Template Setup'!$C$6))+1,10)),0))</f>
        <v/>
      </c>
      <c r="O433" s="11" t="str">
        <f>IF($A433="","",IFERROR(VALUE(MID(TRIM('Template Setup'!$C$7),FIND("-",TRIM('Template Setup'!$C$7))+1,10)),0))</f>
        <v/>
      </c>
      <c r="P433" s="11" t="str">
        <f>IF($A433="","",IFERROR(VALUE(MID(TRIM('Template Setup'!$C$8),FIND("-",TRIM('Template Setup'!$C$8))+1,10)),0))</f>
        <v/>
      </c>
      <c r="Q433" s="9" t="str">
        <f>IF($A433="","",$A433&amp;"-"&amp;'Template Setup'!$C$16)</f>
        <v/>
      </c>
      <c r="R433" s="24" t="str">
        <f t="shared" si="25"/>
        <v/>
      </c>
      <c r="S433" s="24"/>
      <c r="T433" s="24" t="str">
        <f t="shared" si="26"/>
        <v/>
      </c>
      <c r="U433" s="6" t="str">
        <f t="shared" si="28"/>
        <v/>
      </c>
    </row>
    <row r="434" spans="1:21">
      <c r="A434" s="11"/>
      <c r="B434" s="11"/>
      <c r="C434" s="11"/>
      <c r="D434" s="11" t="str">
        <f>IF($A434="","",_xlfn.TEXTJOIN(", ",TRUE,IF($G434&gt;0,'Template Setup'!$C$4,""),IF($H434&gt;0,'Template Setup'!$C$5,""),IF($I434&gt;0,'Template Setup'!$C$6,""),IF($J434&gt;0,'Template Setup'!$C$7,""),IF($K434&gt;0,'Template Setup'!$C$8,"")))</f>
        <v/>
      </c>
      <c r="E434" s="6" t="str" cm="1">
        <f t="array" ref="E434">IF($A434="","",_xlfn.LET(_xlpm.sheets,CHOOSE({1,2,3,4,5},'Template Setup'!$C$4,'Template Setup'!$C$5,'Template Setup'!$C$6,'Template Setup'!$C$7,'Template Setup'!$C$8),_xlpm.nums,CHOOSE({1,2,3,4,5},$L434,$M434,$N434,$O434,$P434),_xlpm.qtys,CHOOSE({1,2,3,4,5},$G434,$H434,$I434,$J434,$K434),_xlpm.validNums,_xlfn._xlws.FILTER(_xlpm.nums,_xlpm.qtys&gt;0),_xlpm.validSheets,_xlfn._xlws.FILTER(_xlpm.sheets,_xlpm.qtys&gt;0),_xlpm.mx,IFERROR(MAX(_xlpm.validNums),0),IF(_xlpm.mx=0,"",INDEX(_xlpm.validSheets,MATCH(_xlpm.mx,_xlpm.validNums,0))&amp;" (+"&amp;$R434&amp;")")))</f>
        <v/>
      </c>
      <c r="F434" s="11" t="str">
        <f t="shared" si="27"/>
        <v/>
      </c>
      <c r="G434" s="12" t="str">
        <f ca="1">IF($A434="","",IFERROR(SUMIF(INDIRECT("'"&amp;'Template Setup'!$C$4&amp;"'!C:C"),$A434,INDIRECT("'"&amp;'Template Setup'!$C$4&amp;"'!A:A")),0))</f>
        <v/>
      </c>
      <c r="H434" s="12" t="str">
        <f ca="1">IF($A434="","",IFERROR(SUMIF(INDIRECT("'"&amp;'Template Setup'!$C$5&amp;"'!C:C"),$A434,INDIRECT("'"&amp;'Template Setup'!$C$5&amp;"'!A:A")),0))</f>
        <v/>
      </c>
      <c r="I434" s="12" t="str">
        <f ca="1">IF($A434="","",IFERROR(SUMIF(INDIRECT("'"&amp;'Template Setup'!$C$6&amp;"'!C:C"),$A434,INDIRECT("'"&amp;'Template Setup'!$C$6&amp;"'!A:A")),0))</f>
        <v/>
      </c>
      <c r="J434" s="12" t="str">
        <f ca="1">IF($A434="","",IFERROR(SUMIF(INDIRECT("'"&amp;'Template Setup'!$C$7&amp;"'!C:C"),$A434,INDIRECT("'"&amp;'Template Setup'!$C$7&amp;"'!A:A")),0))</f>
        <v/>
      </c>
      <c r="K434" s="12" t="str">
        <f ca="1">IF($A434="","",IFERROR(SUMIF(INDIRECT("'"&amp;'Template Setup'!$C$8&amp;"'!C:C"),$A434,INDIRECT("'"&amp;'Template Setup'!$C$8&amp;"'!A:A")),0))</f>
        <v/>
      </c>
      <c r="L434" s="11" t="str">
        <f>IF($A434="","",IFERROR(VALUE(MID(TRIM('Template Setup'!$C$4),FIND("-",TRIM('Template Setup'!$C$4))+1,10)),0))</f>
        <v/>
      </c>
      <c r="M434" s="11" t="str">
        <f>IF($A434="","",IFERROR(VALUE(MID(TRIM('Template Setup'!$C$5),FIND("-",TRIM('Template Setup'!$C$5))+1,10)),0))</f>
        <v/>
      </c>
      <c r="N434" s="11" t="str">
        <f>IF($A434="","",IFERROR(VALUE(MID(TRIM('Template Setup'!$C$6),FIND("-",TRIM('Template Setup'!$C$6))+1,10)),0))</f>
        <v/>
      </c>
      <c r="O434" s="11" t="str">
        <f>IF($A434="","",IFERROR(VALUE(MID(TRIM('Template Setup'!$C$7),FIND("-",TRIM('Template Setup'!$C$7))+1,10)),0))</f>
        <v/>
      </c>
      <c r="P434" s="11" t="str">
        <f>IF($A434="","",IFERROR(VALUE(MID(TRIM('Template Setup'!$C$8),FIND("-",TRIM('Template Setup'!$C$8))+1,10)),0))</f>
        <v/>
      </c>
      <c r="Q434" s="9" t="str">
        <f>IF($A434="","",$A434&amp;"-"&amp;'Template Setup'!$C$16)</f>
        <v/>
      </c>
      <c r="R434" s="24" t="str">
        <f t="shared" si="25"/>
        <v/>
      </c>
      <c r="S434" s="24"/>
      <c r="T434" s="24" t="str">
        <f t="shared" si="26"/>
        <v/>
      </c>
      <c r="U434" s="6" t="str">
        <f t="shared" si="28"/>
        <v/>
      </c>
    </row>
    <row r="435" spans="1:21">
      <c r="A435" s="11"/>
      <c r="B435" s="11"/>
      <c r="C435" s="11"/>
      <c r="D435" s="11" t="str">
        <f>IF($A435="","",_xlfn.TEXTJOIN(", ",TRUE,IF($G435&gt;0,'Template Setup'!$C$4,""),IF($H435&gt;0,'Template Setup'!$C$5,""),IF($I435&gt;0,'Template Setup'!$C$6,""),IF($J435&gt;0,'Template Setup'!$C$7,""),IF($K435&gt;0,'Template Setup'!$C$8,"")))</f>
        <v/>
      </c>
      <c r="E435" s="6" t="str" cm="1">
        <f t="array" ref="E435">IF($A435="","",_xlfn.LET(_xlpm.sheets,CHOOSE({1,2,3,4,5},'Template Setup'!$C$4,'Template Setup'!$C$5,'Template Setup'!$C$6,'Template Setup'!$C$7,'Template Setup'!$C$8),_xlpm.nums,CHOOSE({1,2,3,4,5},$L435,$M435,$N435,$O435,$P435),_xlpm.qtys,CHOOSE({1,2,3,4,5},$G435,$H435,$I435,$J435,$K435),_xlpm.validNums,_xlfn._xlws.FILTER(_xlpm.nums,_xlpm.qtys&gt;0),_xlpm.validSheets,_xlfn._xlws.FILTER(_xlpm.sheets,_xlpm.qtys&gt;0),_xlpm.mx,IFERROR(MAX(_xlpm.validNums),0),IF(_xlpm.mx=0,"",INDEX(_xlpm.validSheets,MATCH(_xlpm.mx,_xlpm.validNums,0))&amp;" (+"&amp;$R435&amp;")")))</f>
        <v/>
      </c>
      <c r="F435" s="11" t="str">
        <f t="shared" si="27"/>
        <v/>
      </c>
      <c r="G435" s="12" t="str">
        <f ca="1">IF($A435="","",IFERROR(SUMIF(INDIRECT("'"&amp;'Template Setup'!$C$4&amp;"'!C:C"),$A435,INDIRECT("'"&amp;'Template Setup'!$C$4&amp;"'!A:A")),0))</f>
        <v/>
      </c>
      <c r="H435" s="12" t="str">
        <f ca="1">IF($A435="","",IFERROR(SUMIF(INDIRECT("'"&amp;'Template Setup'!$C$5&amp;"'!C:C"),$A435,INDIRECT("'"&amp;'Template Setup'!$C$5&amp;"'!A:A")),0))</f>
        <v/>
      </c>
      <c r="I435" s="12" t="str">
        <f ca="1">IF($A435="","",IFERROR(SUMIF(INDIRECT("'"&amp;'Template Setup'!$C$6&amp;"'!C:C"),$A435,INDIRECT("'"&amp;'Template Setup'!$C$6&amp;"'!A:A")),0))</f>
        <v/>
      </c>
      <c r="J435" s="12" t="str">
        <f ca="1">IF($A435="","",IFERROR(SUMIF(INDIRECT("'"&amp;'Template Setup'!$C$7&amp;"'!C:C"),$A435,INDIRECT("'"&amp;'Template Setup'!$C$7&amp;"'!A:A")),0))</f>
        <v/>
      </c>
      <c r="K435" s="12" t="str">
        <f ca="1">IF($A435="","",IFERROR(SUMIF(INDIRECT("'"&amp;'Template Setup'!$C$8&amp;"'!C:C"),$A435,INDIRECT("'"&amp;'Template Setup'!$C$8&amp;"'!A:A")),0))</f>
        <v/>
      </c>
      <c r="L435" s="11" t="str">
        <f>IF($A435="","",IFERROR(VALUE(MID(TRIM('Template Setup'!$C$4),FIND("-",TRIM('Template Setup'!$C$4))+1,10)),0))</f>
        <v/>
      </c>
      <c r="M435" s="11" t="str">
        <f>IF($A435="","",IFERROR(VALUE(MID(TRIM('Template Setup'!$C$5),FIND("-",TRIM('Template Setup'!$C$5))+1,10)),0))</f>
        <v/>
      </c>
      <c r="N435" s="11" t="str">
        <f>IF($A435="","",IFERROR(VALUE(MID(TRIM('Template Setup'!$C$6),FIND("-",TRIM('Template Setup'!$C$6))+1,10)),0))</f>
        <v/>
      </c>
      <c r="O435" s="11" t="str">
        <f>IF($A435="","",IFERROR(VALUE(MID(TRIM('Template Setup'!$C$7),FIND("-",TRIM('Template Setup'!$C$7))+1,10)),0))</f>
        <v/>
      </c>
      <c r="P435" s="11" t="str">
        <f>IF($A435="","",IFERROR(VALUE(MID(TRIM('Template Setup'!$C$8),FIND("-",TRIM('Template Setup'!$C$8))+1,10)),0))</f>
        <v/>
      </c>
      <c r="Q435" s="9" t="str">
        <f>IF($A435="","",$A435&amp;"-"&amp;'Template Setup'!$C$16)</f>
        <v/>
      </c>
      <c r="R435" s="24" t="str">
        <f t="shared" si="25"/>
        <v/>
      </c>
      <c r="S435" s="24"/>
      <c r="T435" s="24" t="str">
        <f t="shared" si="26"/>
        <v/>
      </c>
      <c r="U435" s="6" t="str">
        <f t="shared" si="28"/>
        <v/>
      </c>
    </row>
    <row r="436" spans="1:21">
      <c r="A436" s="11"/>
      <c r="B436" s="11"/>
      <c r="C436" s="11"/>
      <c r="D436" s="11" t="str">
        <f>IF($A436="","",_xlfn.TEXTJOIN(", ",TRUE,IF($G436&gt;0,'Template Setup'!$C$4,""),IF($H436&gt;0,'Template Setup'!$C$5,""),IF($I436&gt;0,'Template Setup'!$C$6,""),IF($J436&gt;0,'Template Setup'!$C$7,""),IF($K436&gt;0,'Template Setup'!$C$8,"")))</f>
        <v/>
      </c>
      <c r="E436" s="6" t="str" cm="1">
        <f t="array" ref="E436">IF($A436="","",_xlfn.LET(_xlpm.sheets,CHOOSE({1,2,3,4,5},'Template Setup'!$C$4,'Template Setup'!$C$5,'Template Setup'!$C$6,'Template Setup'!$C$7,'Template Setup'!$C$8),_xlpm.nums,CHOOSE({1,2,3,4,5},$L436,$M436,$N436,$O436,$P436),_xlpm.qtys,CHOOSE({1,2,3,4,5},$G436,$H436,$I436,$J436,$K436),_xlpm.validNums,_xlfn._xlws.FILTER(_xlpm.nums,_xlpm.qtys&gt;0),_xlpm.validSheets,_xlfn._xlws.FILTER(_xlpm.sheets,_xlpm.qtys&gt;0),_xlpm.mx,IFERROR(MAX(_xlpm.validNums),0),IF(_xlpm.mx=0,"",INDEX(_xlpm.validSheets,MATCH(_xlpm.mx,_xlpm.validNums,0))&amp;" (+"&amp;$R436&amp;")")))</f>
        <v/>
      </c>
      <c r="F436" s="11" t="str">
        <f t="shared" si="27"/>
        <v/>
      </c>
      <c r="G436" s="12" t="str">
        <f ca="1">IF($A436="","",IFERROR(SUMIF(INDIRECT("'"&amp;'Template Setup'!$C$4&amp;"'!C:C"),$A436,INDIRECT("'"&amp;'Template Setup'!$C$4&amp;"'!A:A")),0))</f>
        <v/>
      </c>
      <c r="H436" s="12" t="str">
        <f ca="1">IF($A436="","",IFERROR(SUMIF(INDIRECT("'"&amp;'Template Setup'!$C$5&amp;"'!C:C"),$A436,INDIRECT("'"&amp;'Template Setup'!$C$5&amp;"'!A:A")),0))</f>
        <v/>
      </c>
      <c r="I436" s="12" t="str">
        <f ca="1">IF($A436="","",IFERROR(SUMIF(INDIRECT("'"&amp;'Template Setup'!$C$6&amp;"'!C:C"),$A436,INDIRECT("'"&amp;'Template Setup'!$C$6&amp;"'!A:A")),0))</f>
        <v/>
      </c>
      <c r="J436" s="12" t="str">
        <f ca="1">IF($A436="","",IFERROR(SUMIF(INDIRECT("'"&amp;'Template Setup'!$C$7&amp;"'!C:C"),$A436,INDIRECT("'"&amp;'Template Setup'!$C$7&amp;"'!A:A")),0))</f>
        <v/>
      </c>
      <c r="K436" s="12" t="str">
        <f ca="1">IF($A436="","",IFERROR(SUMIF(INDIRECT("'"&amp;'Template Setup'!$C$8&amp;"'!C:C"),$A436,INDIRECT("'"&amp;'Template Setup'!$C$8&amp;"'!A:A")),0))</f>
        <v/>
      </c>
      <c r="L436" s="11" t="str">
        <f>IF($A436="","",IFERROR(VALUE(MID(TRIM('Template Setup'!$C$4),FIND("-",TRIM('Template Setup'!$C$4))+1,10)),0))</f>
        <v/>
      </c>
      <c r="M436" s="11" t="str">
        <f>IF($A436="","",IFERROR(VALUE(MID(TRIM('Template Setup'!$C$5),FIND("-",TRIM('Template Setup'!$C$5))+1,10)),0))</f>
        <v/>
      </c>
      <c r="N436" s="11" t="str">
        <f>IF($A436="","",IFERROR(VALUE(MID(TRIM('Template Setup'!$C$6),FIND("-",TRIM('Template Setup'!$C$6))+1,10)),0))</f>
        <v/>
      </c>
      <c r="O436" s="11" t="str">
        <f>IF($A436="","",IFERROR(VALUE(MID(TRIM('Template Setup'!$C$7),FIND("-",TRIM('Template Setup'!$C$7))+1,10)),0))</f>
        <v/>
      </c>
      <c r="P436" s="11" t="str">
        <f>IF($A436="","",IFERROR(VALUE(MID(TRIM('Template Setup'!$C$8),FIND("-",TRIM('Template Setup'!$C$8))+1,10)),0))</f>
        <v/>
      </c>
      <c r="Q436" s="9" t="str">
        <f>IF($A436="","",$A436&amp;"-"&amp;'Template Setup'!$C$16)</f>
        <v/>
      </c>
      <c r="R436" s="24" t="str">
        <f t="shared" si="25"/>
        <v/>
      </c>
      <c r="S436" s="24"/>
      <c r="T436" s="24" t="str">
        <f t="shared" si="26"/>
        <v/>
      </c>
      <c r="U436" s="6" t="str">
        <f t="shared" si="28"/>
        <v/>
      </c>
    </row>
    <row r="437" spans="1:21">
      <c r="A437" s="11"/>
      <c r="B437" s="11"/>
      <c r="C437" s="11"/>
      <c r="D437" s="11" t="str">
        <f>IF($A437="","",_xlfn.TEXTJOIN(", ",TRUE,IF($G437&gt;0,'Template Setup'!$C$4,""),IF($H437&gt;0,'Template Setup'!$C$5,""),IF($I437&gt;0,'Template Setup'!$C$6,""),IF($J437&gt;0,'Template Setup'!$C$7,""),IF($K437&gt;0,'Template Setup'!$C$8,"")))</f>
        <v/>
      </c>
      <c r="E437" s="6" t="str" cm="1">
        <f t="array" ref="E437">IF($A437="","",_xlfn.LET(_xlpm.sheets,CHOOSE({1,2,3,4,5},'Template Setup'!$C$4,'Template Setup'!$C$5,'Template Setup'!$C$6,'Template Setup'!$C$7,'Template Setup'!$C$8),_xlpm.nums,CHOOSE({1,2,3,4,5},$L437,$M437,$N437,$O437,$P437),_xlpm.qtys,CHOOSE({1,2,3,4,5},$G437,$H437,$I437,$J437,$K437),_xlpm.validNums,_xlfn._xlws.FILTER(_xlpm.nums,_xlpm.qtys&gt;0),_xlpm.validSheets,_xlfn._xlws.FILTER(_xlpm.sheets,_xlpm.qtys&gt;0),_xlpm.mx,IFERROR(MAX(_xlpm.validNums),0),IF(_xlpm.mx=0,"",INDEX(_xlpm.validSheets,MATCH(_xlpm.mx,_xlpm.validNums,0))&amp;" (+"&amp;$R437&amp;")")))</f>
        <v/>
      </c>
      <c r="F437" s="11" t="str">
        <f t="shared" si="27"/>
        <v/>
      </c>
      <c r="G437" s="12" t="str">
        <f ca="1">IF($A437="","",IFERROR(SUMIF(INDIRECT("'"&amp;'Template Setup'!$C$4&amp;"'!C:C"),$A437,INDIRECT("'"&amp;'Template Setup'!$C$4&amp;"'!A:A")),0))</f>
        <v/>
      </c>
      <c r="H437" s="12" t="str">
        <f ca="1">IF($A437="","",IFERROR(SUMIF(INDIRECT("'"&amp;'Template Setup'!$C$5&amp;"'!C:C"),$A437,INDIRECT("'"&amp;'Template Setup'!$C$5&amp;"'!A:A")),0))</f>
        <v/>
      </c>
      <c r="I437" s="12" t="str">
        <f ca="1">IF($A437="","",IFERROR(SUMIF(INDIRECT("'"&amp;'Template Setup'!$C$6&amp;"'!C:C"),$A437,INDIRECT("'"&amp;'Template Setup'!$C$6&amp;"'!A:A")),0))</f>
        <v/>
      </c>
      <c r="J437" s="12" t="str">
        <f ca="1">IF($A437="","",IFERROR(SUMIF(INDIRECT("'"&amp;'Template Setup'!$C$7&amp;"'!C:C"),$A437,INDIRECT("'"&amp;'Template Setup'!$C$7&amp;"'!A:A")),0))</f>
        <v/>
      </c>
      <c r="K437" s="12" t="str">
        <f ca="1">IF($A437="","",IFERROR(SUMIF(INDIRECT("'"&amp;'Template Setup'!$C$8&amp;"'!C:C"),$A437,INDIRECT("'"&amp;'Template Setup'!$C$8&amp;"'!A:A")),0))</f>
        <v/>
      </c>
      <c r="L437" s="11" t="str">
        <f>IF($A437="","",IFERROR(VALUE(MID(TRIM('Template Setup'!$C$4),FIND("-",TRIM('Template Setup'!$C$4))+1,10)),0))</f>
        <v/>
      </c>
      <c r="M437" s="11" t="str">
        <f>IF($A437="","",IFERROR(VALUE(MID(TRIM('Template Setup'!$C$5),FIND("-",TRIM('Template Setup'!$C$5))+1,10)),0))</f>
        <v/>
      </c>
      <c r="N437" s="11" t="str">
        <f>IF($A437="","",IFERROR(VALUE(MID(TRIM('Template Setup'!$C$6),FIND("-",TRIM('Template Setup'!$C$6))+1,10)),0))</f>
        <v/>
      </c>
      <c r="O437" s="11" t="str">
        <f>IF($A437="","",IFERROR(VALUE(MID(TRIM('Template Setup'!$C$7),FIND("-",TRIM('Template Setup'!$C$7))+1,10)),0))</f>
        <v/>
      </c>
      <c r="P437" s="11" t="str">
        <f>IF($A437="","",IFERROR(VALUE(MID(TRIM('Template Setup'!$C$8),FIND("-",TRIM('Template Setup'!$C$8))+1,10)),0))</f>
        <v/>
      </c>
      <c r="Q437" s="9" t="str">
        <f>IF($A437="","",$A437&amp;"-"&amp;'Template Setup'!$C$16)</f>
        <v/>
      </c>
      <c r="R437" s="24" t="str">
        <f t="shared" si="25"/>
        <v/>
      </c>
      <c r="S437" s="24"/>
      <c r="T437" s="24" t="str">
        <f t="shared" si="26"/>
        <v/>
      </c>
      <c r="U437" s="6" t="str">
        <f t="shared" si="28"/>
        <v/>
      </c>
    </row>
    <row r="438" spans="1:21">
      <c r="A438" s="11"/>
      <c r="B438" s="11"/>
      <c r="C438" s="11"/>
      <c r="D438" s="11" t="str">
        <f>IF($A438="","",_xlfn.TEXTJOIN(", ",TRUE,IF($G438&gt;0,'Template Setup'!$C$4,""),IF($H438&gt;0,'Template Setup'!$C$5,""),IF($I438&gt;0,'Template Setup'!$C$6,""),IF($J438&gt;0,'Template Setup'!$C$7,""),IF($K438&gt;0,'Template Setup'!$C$8,"")))</f>
        <v/>
      </c>
      <c r="E438" s="6" t="str" cm="1">
        <f t="array" ref="E438">IF($A438="","",_xlfn.LET(_xlpm.sheets,CHOOSE({1,2,3,4,5},'Template Setup'!$C$4,'Template Setup'!$C$5,'Template Setup'!$C$6,'Template Setup'!$C$7,'Template Setup'!$C$8),_xlpm.nums,CHOOSE({1,2,3,4,5},$L438,$M438,$N438,$O438,$P438),_xlpm.qtys,CHOOSE({1,2,3,4,5},$G438,$H438,$I438,$J438,$K438),_xlpm.validNums,_xlfn._xlws.FILTER(_xlpm.nums,_xlpm.qtys&gt;0),_xlpm.validSheets,_xlfn._xlws.FILTER(_xlpm.sheets,_xlpm.qtys&gt;0),_xlpm.mx,IFERROR(MAX(_xlpm.validNums),0),IF(_xlpm.mx=0,"",INDEX(_xlpm.validSheets,MATCH(_xlpm.mx,_xlpm.validNums,0))&amp;" (+"&amp;$R438&amp;")")))</f>
        <v/>
      </c>
      <c r="F438" s="11" t="str">
        <f t="shared" si="27"/>
        <v/>
      </c>
      <c r="G438" s="12" t="str">
        <f ca="1">IF($A438="","",IFERROR(SUMIF(INDIRECT("'"&amp;'Template Setup'!$C$4&amp;"'!C:C"),$A438,INDIRECT("'"&amp;'Template Setup'!$C$4&amp;"'!A:A")),0))</f>
        <v/>
      </c>
      <c r="H438" s="12" t="str">
        <f ca="1">IF($A438="","",IFERROR(SUMIF(INDIRECT("'"&amp;'Template Setup'!$C$5&amp;"'!C:C"),$A438,INDIRECT("'"&amp;'Template Setup'!$C$5&amp;"'!A:A")),0))</f>
        <v/>
      </c>
      <c r="I438" s="12" t="str">
        <f ca="1">IF($A438="","",IFERROR(SUMIF(INDIRECT("'"&amp;'Template Setup'!$C$6&amp;"'!C:C"),$A438,INDIRECT("'"&amp;'Template Setup'!$C$6&amp;"'!A:A")),0))</f>
        <v/>
      </c>
      <c r="J438" s="12" t="str">
        <f ca="1">IF($A438="","",IFERROR(SUMIF(INDIRECT("'"&amp;'Template Setup'!$C$7&amp;"'!C:C"),$A438,INDIRECT("'"&amp;'Template Setup'!$C$7&amp;"'!A:A")),0))</f>
        <v/>
      </c>
      <c r="K438" s="12" t="str">
        <f ca="1">IF($A438="","",IFERROR(SUMIF(INDIRECT("'"&amp;'Template Setup'!$C$8&amp;"'!C:C"),$A438,INDIRECT("'"&amp;'Template Setup'!$C$8&amp;"'!A:A")),0))</f>
        <v/>
      </c>
      <c r="L438" s="11" t="str">
        <f>IF($A438="","",IFERROR(VALUE(MID(TRIM('Template Setup'!$C$4),FIND("-",TRIM('Template Setup'!$C$4))+1,10)),0))</f>
        <v/>
      </c>
      <c r="M438" s="11" t="str">
        <f>IF($A438="","",IFERROR(VALUE(MID(TRIM('Template Setup'!$C$5),FIND("-",TRIM('Template Setup'!$C$5))+1,10)),0))</f>
        <v/>
      </c>
      <c r="N438" s="11" t="str">
        <f>IF($A438="","",IFERROR(VALUE(MID(TRIM('Template Setup'!$C$6),FIND("-",TRIM('Template Setup'!$C$6))+1,10)),0))</f>
        <v/>
      </c>
      <c r="O438" s="11" t="str">
        <f>IF($A438="","",IFERROR(VALUE(MID(TRIM('Template Setup'!$C$7),FIND("-",TRIM('Template Setup'!$C$7))+1,10)),0))</f>
        <v/>
      </c>
      <c r="P438" s="11" t="str">
        <f>IF($A438="","",IFERROR(VALUE(MID(TRIM('Template Setup'!$C$8),FIND("-",TRIM('Template Setup'!$C$8))+1,10)),0))</f>
        <v/>
      </c>
      <c r="Q438" s="9" t="str">
        <f>IF($A438="","",$A438&amp;"-"&amp;'Template Setup'!$C$16)</f>
        <v/>
      </c>
      <c r="R438" s="24" t="str">
        <f t="shared" si="25"/>
        <v/>
      </c>
      <c r="S438" s="24"/>
      <c r="T438" s="24" t="str">
        <f t="shared" si="26"/>
        <v/>
      </c>
      <c r="U438" s="6" t="str">
        <f t="shared" si="28"/>
        <v/>
      </c>
    </row>
    <row r="439" spans="1:21">
      <c r="A439" s="11"/>
      <c r="B439" s="11"/>
      <c r="C439" s="11"/>
      <c r="D439" s="11" t="str">
        <f>IF($A439="","",_xlfn.TEXTJOIN(", ",TRUE,IF($G439&gt;0,'Template Setup'!$C$4,""),IF($H439&gt;0,'Template Setup'!$C$5,""),IF($I439&gt;0,'Template Setup'!$C$6,""),IF($J439&gt;0,'Template Setup'!$C$7,""),IF($K439&gt;0,'Template Setup'!$C$8,"")))</f>
        <v/>
      </c>
      <c r="E439" s="6" t="str" cm="1">
        <f t="array" ref="E439">IF($A439="","",_xlfn.LET(_xlpm.sheets,CHOOSE({1,2,3,4,5},'Template Setup'!$C$4,'Template Setup'!$C$5,'Template Setup'!$C$6,'Template Setup'!$C$7,'Template Setup'!$C$8),_xlpm.nums,CHOOSE({1,2,3,4,5},$L439,$M439,$N439,$O439,$P439),_xlpm.qtys,CHOOSE({1,2,3,4,5},$G439,$H439,$I439,$J439,$K439),_xlpm.validNums,_xlfn._xlws.FILTER(_xlpm.nums,_xlpm.qtys&gt;0),_xlpm.validSheets,_xlfn._xlws.FILTER(_xlpm.sheets,_xlpm.qtys&gt;0),_xlpm.mx,IFERROR(MAX(_xlpm.validNums),0),IF(_xlpm.mx=0,"",INDEX(_xlpm.validSheets,MATCH(_xlpm.mx,_xlpm.validNums,0))&amp;" (+"&amp;$R439&amp;")")))</f>
        <v/>
      </c>
      <c r="F439" s="11" t="str">
        <f t="shared" si="27"/>
        <v/>
      </c>
      <c r="G439" s="12" t="str">
        <f ca="1">IF($A439="","",IFERROR(SUMIF(INDIRECT("'"&amp;'Template Setup'!$C$4&amp;"'!C:C"),$A439,INDIRECT("'"&amp;'Template Setup'!$C$4&amp;"'!A:A")),0))</f>
        <v/>
      </c>
      <c r="H439" s="12" t="str">
        <f ca="1">IF($A439="","",IFERROR(SUMIF(INDIRECT("'"&amp;'Template Setup'!$C$5&amp;"'!C:C"),$A439,INDIRECT("'"&amp;'Template Setup'!$C$5&amp;"'!A:A")),0))</f>
        <v/>
      </c>
      <c r="I439" s="12" t="str">
        <f ca="1">IF($A439="","",IFERROR(SUMIF(INDIRECT("'"&amp;'Template Setup'!$C$6&amp;"'!C:C"),$A439,INDIRECT("'"&amp;'Template Setup'!$C$6&amp;"'!A:A")),0))</f>
        <v/>
      </c>
      <c r="J439" s="12" t="str">
        <f ca="1">IF($A439="","",IFERROR(SUMIF(INDIRECT("'"&amp;'Template Setup'!$C$7&amp;"'!C:C"),$A439,INDIRECT("'"&amp;'Template Setup'!$C$7&amp;"'!A:A")),0))</f>
        <v/>
      </c>
      <c r="K439" s="12" t="str">
        <f ca="1">IF($A439="","",IFERROR(SUMIF(INDIRECT("'"&amp;'Template Setup'!$C$8&amp;"'!C:C"),$A439,INDIRECT("'"&amp;'Template Setup'!$C$8&amp;"'!A:A")),0))</f>
        <v/>
      </c>
      <c r="L439" s="11" t="str">
        <f>IF($A439="","",IFERROR(VALUE(MID(TRIM('Template Setup'!$C$4),FIND("-",TRIM('Template Setup'!$C$4))+1,10)),0))</f>
        <v/>
      </c>
      <c r="M439" s="11" t="str">
        <f>IF($A439="","",IFERROR(VALUE(MID(TRIM('Template Setup'!$C$5),FIND("-",TRIM('Template Setup'!$C$5))+1,10)),0))</f>
        <v/>
      </c>
      <c r="N439" s="11" t="str">
        <f>IF($A439="","",IFERROR(VALUE(MID(TRIM('Template Setup'!$C$6),FIND("-",TRIM('Template Setup'!$C$6))+1,10)),0))</f>
        <v/>
      </c>
      <c r="O439" s="11" t="str">
        <f>IF($A439="","",IFERROR(VALUE(MID(TRIM('Template Setup'!$C$7),FIND("-",TRIM('Template Setup'!$C$7))+1,10)),0))</f>
        <v/>
      </c>
      <c r="P439" s="11" t="str">
        <f>IF($A439="","",IFERROR(VALUE(MID(TRIM('Template Setup'!$C$8),FIND("-",TRIM('Template Setup'!$C$8))+1,10)),0))</f>
        <v/>
      </c>
      <c r="Q439" s="9" t="str">
        <f>IF($A439="","",$A439&amp;"-"&amp;'Template Setup'!$C$16)</f>
        <v/>
      </c>
      <c r="R439" s="24" t="str">
        <f t="shared" si="25"/>
        <v/>
      </c>
      <c r="S439" s="24"/>
      <c r="T439" s="24" t="str">
        <f t="shared" si="26"/>
        <v/>
      </c>
      <c r="U439" s="6" t="str">
        <f t="shared" si="28"/>
        <v/>
      </c>
    </row>
    <row r="440" spans="1:21">
      <c r="A440" s="11"/>
      <c r="B440" s="11"/>
      <c r="C440" s="11"/>
      <c r="D440" s="11" t="str">
        <f>IF($A440="","",_xlfn.TEXTJOIN(", ",TRUE,IF($G440&gt;0,'Template Setup'!$C$4,""),IF($H440&gt;0,'Template Setup'!$C$5,""),IF($I440&gt;0,'Template Setup'!$C$6,""),IF($J440&gt;0,'Template Setup'!$C$7,""),IF($K440&gt;0,'Template Setup'!$C$8,"")))</f>
        <v/>
      </c>
      <c r="E440" s="6" t="str" cm="1">
        <f t="array" ref="E440">IF($A440="","",_xlfn.LET(_xlpm.sheets,CHOOSE({1,2,3,4,5},'Template Setup'!$C$4,'Template Setup'!$C$5,'Template Setup'!$C$6,'Template Setup'!$C$7,'Template Setup'!$C$8),_xlpm.nums,CHOOSE({1,2,3,4,5},$L440,$M440,$N440,$O440,$P440),_xlpm.qtys,CHOOSE({1,2,3,4,5},$G440,$H440,$I440,$J440,$K440),_xlpm.validNums,_xlfn._xlws.FILTER(_xlpm.nums,_xlpm.qtys&gt;0),_xlpm.validSheets,_xlfn._xlws.FILTER(_xlpm.sheets,_xlpm.qtys&gt;0),_xlpm.mx,IFERROR(MAX(_xlpm.validNums),0),IF(_xlpm.mx=0,"",INDEX(_xlpm.validSheets,MATCH(_xlpm.mx,_xlpm.validNums,0))&amp;" (+"&amp;$R440&amp;")")))</f>
        <v/>
      </c>
      <c r="F440" s="11" t="str">
        <f t="shared" si="27"/>
        <v/>
      </c>
      <c r="G440" s="12" t="str">
        <f ca="1">IF($A440="","",IFERROR(SUMIF(INDIRECT("'"&amp;'Template Setup'!$C$4&amp;"'!C:C"),$A440,INDIRECT("'"&amp;'Template Setup'!$C$4&amp;"'!A:A")),0))</f>
        <v/>
      </c>
      <c r="H440" s="12" t="str">
        <f ca="1">IF($A440="","",IFERROR(SUMIF(INDIRECT("'"&amp;'Template Setup'!$C$5&amp;"'!C:C"),$A440,INDIRECT("'"&amp;'Template Setup'!$C$5&amp;"'!A:A")),0))</f>
        <v/>
      </c>
      <c r="I440" s="12" t="str">
        <f ca="1">IF($A440="","",IFERROR(SUMIF(INDIRECT("'"&amp;'Template Setup'!$C$6&amp;"'!C:C"),$A440,INDIRECT("'"&amp;'Template Setup'!$C$6&amp;"'!A:A")),0))</f>
        <v/>
      </c>
      <c r="J440" s="12" t="str">
        <f ca="1">IF($A440="","",IFERROR(SUMIF(INDIRECT("'"&amp;'Template Setup'!$C$7&amp;"'!C:C"),$A440,INDIRECT("'"&amp;'Template Setup'!$C$7&amp;"'!A:A")),0))</f>
        <v/>
      </c>
      <c r="K440" s="12" t="str">
        <f ca="1">IF($A440="","",IFERROR(SUMIF(INDIRECT("'"&amp;'Template Setup'!$C$8&amp;"'!C:C"),$A440,INDIRECT("'"&amp;'Template Setup'!$C$8&amp;"'!A:A")),0))</f>
        <v/>
      </c>
      <c r="L440" s="11" t="str">
        <f>IF($A440="","",IFERROR(VALUE(MID(TRIM('Template Setup'!$C$4),FIND("-",TRIM('Template Setup'!$C$4))+1,10)),0))</f>
        <v/>
      </c>
      <c r="M440" s="11" t="str">
        <f>IF($A440="","",IFERROR(VALUE(MID(TRIM('Template Setup'!$C$5),FIND("-",TRIM('Template Setup'!$C$5))+1,10)),0))</f>
        <v/>
      </c>
      <c r="N440" s="11" t="str">
        <f>IF($A440="","",IFERROR(VALUE(MID(TRIM('Template Setup'!$C$6),FIND("-",TRIM('Template Setup'!$C$6))+1,10)),0))</f>
        <v/>
      </c>
      <c r="O440" s="11" t="str">
        <f>IF($A440="","",IFERROR(VALUE(MID(TRIM('Template Setup'!$C$7),FIND("-",TRIM('Template Setup'!$C$7))+1,10)),0))</f>
        <v/>
      </c>
      <c r="P440" s="11" t="str">
        <f>IF($A440="","",IFERROR(VALUE(MID(TRIM('Template Setup'!$C$8),FIND("-",TRIM('Template Setup'!$C$8))+1,10)),0))</f>
        <v/>
      </c>
      <c r="Q440" s="9" t="str">
        <f>IF($A440="","",$A440&amp;"-"&amp;'Template Setup'!$C$16)</f>
        <v/>
      </c>
      <c r="R440" s="24" t="str">
        <f t="shared" si="25"/>
        <v/>
      </c>
      <c r="S440" s="24"/>
      <c r="T440" s="24" t="str">
        <f t="shared" si="26"/>
        <v/>
      </c>
      <c r="U440" s="6" t="str">
        <f t="shared" si="28"/>
        <v/>
      </c>
    </row>
    <row r="441" spans="1:21">
      <c r="A441" s="11"/>
      <c r="B441" s="11"/>
      <c r="C441" s="11"/>
      <c r="D441" s="11" t="str">
        <f>IF($A441="","",_xlfn.TEXTJOIN(", ",TRUE,IF($G441&gt;0,'Template Setup'!$C$4,""),IF($H441&gt;0,'Template Setup'!$C$5,""),IF($I441&gt;0,'Template Setup'!$C$6,""),IF($J441&gt;0,'Template Setup'!$C$7,""),IF($K441&gt;0,'Template Setup'!$C$8,"")))</f>
        <v/>
      </c>
      <c r="E441" s="6" t="str" cm="1">
        <f t="array" ref="E441">IF($A441="","",_xlfn.LET(_xlpm.sheets,CHOOSE({1,2,3,4,5},'Template Setup'!$C$4,'Template Setup'!$C$5,'Template Setup'!$C$6,'Template Setup'!$C$7,'Template Setup'!$C$8),_xlpm.nums,CHOOSE({1,2,3,4,5},$L441,$M441,$N441,$O441,$P441),_xlpm.qtys,CHOOSE({1,2,3,4,5},$G441,$H441,$I441,$J441,$K441),_xlpm.validNums,_xlfn._xlws.FILTER(_xlpm.nums,_xlpm.qtys&gt;0),_xlpm.validSheets,_xlfn._xlws.FILTER(_xlpm.sheets,_xlpm.qtys&gt;0),_xlpm.mx,IFERROR(MAX(_xlpm.validNums),0),IF(_xlpm.mx=0,"",INDEX(_xlpm.validSheets,MATCH(_xlpm.mx,_xlpm.validNums,0))&amp;" (+"&amp;$R441&amp;")")))</f>
        <v/>
      </c>
      <c r="F441" s="11" t="str">
        <f t="shared" si="27"/>
        <v/>
      </c>
      <c r="G441" s="12" t="str">
        <f ca="1">IF($A441="","",IFERROR(SUMIF(INDIRECT("'"&amp;'Template Setup'!$C$4&amp;"'!C:C"),$A441,INDIRECT("'"&amp;'Template Setup'!$C$4&amp;"'!A:A")),0))</f>
        <v/>
      </c>
      <c r="H441" s="12" t="str">
        <f ca="1">IF($A441="","",IFERROR(SUMIF(INDIRECT("'"&amp;'Template Setup'!$C$5&amp;"'!C:C"),$A441,INDIRECT("'"&amp;'Template Setup'!$C$5&amp;"'!A:A")),0))</f>
        <v/>
      </c>
      <c r="I441" s="12" t="str">
        <f ca="1">IF($A441="","",IFERROR(SUMIF(INDIRECT("'"&amp;'Template Setup'!$C$6&amp;"'!C:C"),$A441,INDIRECT("'"&amp;'Template Setup'!$C$6&amp;"'!A:A")),0))</f>
        <v/>
      </c>
      <c r="J441" s="12" t="str">
        <f ca="1">IF($A441="","",IFERROR(SUMIF(INDIRECT("'"&amp;'Template Setup'!$C$7&amp;"'!C:C"),$A441,INDIRECT("'"&amp;'Template Setup'!$C$7&amp;"'!A:A")),0))</f>
        <v/>
      </c>
      <c r="K441" s="12" t="str">
        <f ca="1">IF($A441="","",IFERROR(SUMIF(INDIRECT("'"&amp;'Template Setup'!$C$8&amp;"'!C:C"),$A441,INDIRECT("'"&amp;'Template Setup'!$C$8&amp;"'!A:A")),0))</f>
        <v/>
      </c>
      <c r="L441" s="11" t="str">
        <f>IF($A441="","",IFERROR(VALUE(MID(TRIM('Template Setup'!$C$4),FIND("-",TRIM('Template Setup'!$C$4))+1,10)),0))</f>
        <v/>
      </c>
      <c r="M441" s="11" t="str">
        <f>IF($A441="","",IFERROR(VALUE(MID(TRIM('Template Setup'!$C$5),FIND("-",TRIM('Template Setup'!$C$5))+1,10)),0))</f>
        <v/>
      </c>
      <c r="N441" s="11" t="str">
        <f>IF($A441="","",IFERROR(VALUE(MID(TRIM('Template Setup'!$C$6),FIND("-",TRIM('Template Setup'!$C$6))+1,10)),0))</f>
        <v/>
      </c>
      <c r="O441" s="11" t="str">
        <f>IF($A441="","",IFERROR(VALUE(MID(TRIM('Template Setup'!$C$7),FIND("-",TRIM('Template Setup'!$C$7))+1,10)),0))</f>
        <v/>
      </c>
      <c r="P441" s="11" t="str">
        <f>IF($A441="","",IFERROR(VALUE(MID(TRIM('Template Setup'!$C$8),FIND("-",TRIM('Template Setup'!$C$8))+1,10)),0))</f>
        <v/>
      </c>
      <c r="Q441" s="9" t="str">
        <f>IF($A441="","",$A441&amp;"-"&amp;'Template Setup'!$C$16)</f>
        <v/>
      </c>
      <c r="R441" s="24" t="str">
        <f t="shared" si="25"/>
        <v/>
      </c>
      <c r="S441" s="24"/>
      <c r="T441" s="24" t="str">
        <f t="shared" si="26"/>
        <v/>
      </c>
      <c r="U441" s="6" t="str">
        <f t="shared" si="28"/>
        <v/>
      </c>
    </row>
    <row r="442" spans="1:21">
      <c r="A442" s="11"/>
      <c r="B442" s="11"/>
      <c r="C442" s="11"/>
      <c r="D442" s="11" t="str">
        <f>IF($A442="","",_xlfn.TEXTJOIN(", ",TRUE,IF($G442&gt;0,'Template Setup'!$C$4,""),IF($H442&gt;0,'Template Setup'!$C$5,""),IF($I442&gt;0,'Template Setup'!$C$6,""),IF($J442&gt;0,'Template Setup'!$C$7,""),IF($K442&gt;0,'Template Setup'!$C$8,"")))</f>
        <v/>
      </c>
      <c r="E442" s="6" t="str" cm="1">
        <f t="array" ref="E442">IF($A442="","",_xlfn.LET(_xlpm.sheets,CHOOSE({1,2,3,4,5},'Template Setup'!$C$4,'Template Setup'!$C$5,'Template Setup'!$C$6,'Template Setup'!$C$7,'Template Setup'!$C$8),_xlpm.nums,CHOOSE({1,2,3,4,5},$L442,$M442,$N442,$O442,$P442),_xlpm.qtys,CHOOSE({1,2,3,4,5},$G442,$H442,$I442,$J442,$K442),_xlpm.validNums,_xlfn._xlws.FILTER(_xlpm.nums,_xlpm.qtys&gt;0),_xlpm.validSheets,_xlfn._xlws.FILTER(_xlpm.sheets,_xlpm.qtys&gt;0),_xlpm.mx,IFERROR(MAX(_xlpm.validNums),0),IF(_xlpm.mx=0,"",INDEX(_xlpm.validSheets,MATCH(_xlpm.mx,_xlpm.validNums,0))&amp;" (+"&amp;$R442&amp;")")))</f>
        <v/>
      </c>
      <c r="F442" s="11" t="str">
        <f t="shared" si="27"/>
        <v/>
      </c>
      <c r="G442" s="12" t="str">
        <f ca="1">IF($A442="","",IFERROR(SUMIF(INDIRECT("'"&amp;'Template Setup'!$C$4&amp;"'!C:C"),$A442,INDIRECT("'"&amp;'Template Setup'!$C$4&amp;"'!A:A")),0))</f>
        <v/>
      </c>
      <c r="H442" s="12" t="str">
        <f ca="1">IF($A442="","",IFERROR(SUMIF(INDIRECT("'"&amp;'Template Setup'!$C$5&amp;"'!C:C"),$A442,INDIRECT("'"&amp;'Template Setup'!$C$5&amp;"'!A:A")),0))</f>
        <v/>
      </c>
      <c r="I442" s="12" t="str">
        <f ca="1">IF($A442="","",IFERROR(SUMIF(INDIRECT("'"&amp;'Template Setup'!$C$6&amp;"'!C:C"),$A442,INDIRECT("'"&amp;'Template Setup'!$C$6&amp;"'!A:A")),0))</f>
        <v/>
      </c>
      <c r="J442" s="12" t="str">
        <f ca="1">IF($A442="","",IFERROR(SUMIF(INDIRECT("'"&amp;'Template Setup'!$C$7&amp;"'!C:C"),$A442,INDIRECT("'"&amp;'Template Setup'!$C$7&amp;"'!A:A")),0))</f>
        <v/>
      </c>
      <c r="K442" s="12" t="str">
        <f ca="1">IF($A442="","",IFERROR(SUMIF(INDIRECT("'"&amp;'Template Setup'!$C$8&amp;"'!C:C"),$A442,INDIRECT("'"&amp;'Template Setup'!$C$8&amp;"'!A:A")),0))</f>
        <v/>
      </c>
      <c r="L442" s="11" t="str">
        <f>IF($A442="","",IFERROR(VALUE(MID(TRIM('Template Setup'!$C$4),FIND("-",TRIM('Template Setup'!$C$4))+1,10)),0))</f>
        <v/>
      </c>
      <c r="M442" s="11" t="str">
        <f>IF($A442="","",IFERROR(VALUE(MID(TRIM('Template Setup'!$C$5),FIND("-",TRIM('Template Setup'!$C$5))+1,10)),0))</f>
        <v/>
      </c>
      <c r="N442" s="11" t="str">
        <f>IF($A442="","",IFERROR(VALUE(MID(TRIM('Template Setup'!$C$6),FIND("-",TRIM('Template Setup'!$C$6))+1,10)),0))</f>
        <v/>
      </c>
      <c r="O442" s="11" t="str">
        <f>IF($A442="","",IFERROR(VALUE(MID(TRIM('Template Setup'!$C$7),FIND("-",TRIM('Template Setup'!$C$7))+1,10)),0))</f>
        <v/>
      </c>
      <c r="P442" s="11" t="str">
        <f>IF($A442="","",IFERROR(VALUE(MID(TRIM('Template Setup'!$C$8),FIND("-",TRIM('Template Setup'!$C$8))+1,10)),0))</f>
        <v/>
      </c>
      <c r="Q442" s="9" t="str">
        <f>IF($A442="","",$A442&amp;"-"&amp;'Template Setup'!$C$16)</f>
        <v/>
      </c>
      <c r="R442" s="24" t="str">
        <f t="shared" si="25"/>
        <v/>
      </c>
      <c r="S442" s="24"/>
      <c r="T442" s="24" t="str">
        <f t="shared" si="26"/>
        <v/>
      </c>
      <c r="U442" s="6" t="str">
        <f t="shared" si="28"/>
        <v/>
      </c>
    </row>
    <row r="443" spans="1:21">
      <c r="A443" s="11"/>
      <c r="B443" s="11"/>
      <c r="C443" s="11"/>
      <c r="D443" s="11" t="str">
        <f>IF($A443="","",_xlfn.TEXTJOIN(", ",TRUE,IF($G443&gt;0,'Template Setup'!$C$4,""),IF($H443&gt;0,'Template Setup'!$C$5,""),IF($I443&gt;0,'Template Setup'!$C$6,""),IF($J443&gt;0,'Template Setup'!$C$7,""),IF($K443&gt;0,'Template Setup'!$C$8,"")))</f>
        <v/>
      </c>
      <c r="E443" s="6" t="str" cm="1">
        <f t="array" ref="E443">IF($A443="","",_xlfn.LET(_xlpm.sheets,CHOOSE({1,2,3,4,5},'Template Setup'!$C$4,'Template Setup'!$C$5,'Template Setup'!$C$6,'Template Setup'!$C$7,'Template Setup'!$C$8),_xlpm.nums,CHOOSE({1,2,3,4,5},$L443,$M443,$N443,$O443,$P443),_xlpm.qtys,CHOOSE({1,2,3,4,5},$G443,$H443,$I443,$J443,$K443),_xlpm.validNums,_xlfn._xlws.FILTER(_xlpm.nums,_xlpm.qtys&gt;0),_xlpm.validSheets,_xlfn._xlws.FILTER(_xlpm.sheets,_xlpm.qtys&gt;0),_xlpm.mx,IFERROR(MAX(_xlpm.validNums),0),IF(_xlpm.mx=0,"",INDEX(_xlpm.validSheets,MATCH(_xlpm.mx,_xlpm.validNums,0))&amp;" (+"&amp;$R443&amp;")")))</f>
        <v/>
      </c>
      <c r="F443" s="11" t="str">
        <f t="shared" si="27"/>
        <v/>
      </c>
      <c r="G443" s="12" t="str">
        <f ca="1">IF($A443="","",IFERROR(SUMIF(INDIRECT("'"&amp;'Template Setup'!$C$4&amp;"'!C:C"),$A443,INDIRECT("'"&amp;'Template Setup'!$C$4&amp;"'!A:A")),0))</f>
        <v/>
      </c>
      <c r="H443" s="12" t="str">
        <f ca="1">IF($A443="","",IFERROR(SUMIF(INDIRECT("'"&amp;'Template Setup'!$C$5&amp;"'!C:C"),$A443,INDIRECT("'"&amp;'Template Setup'!$C$5&amp;"'!A:A")),0))</f>
        <v/>
      </c>
      <c r="I443" s="12" t="str">
        <f ca="1">IF($A443="","",IFERROR(SUMIF(INDIRECT("'"&amp;'Template Setup'!$C$6&amp;"'!C:C"),$A443,INDIRECT("'"&amp;'Template Setup'!$C$6&amp;"'!A:A")),0))</f>
        <v/>
      </c>
      <c r="J443" s="12" t="str">
        <f ca="1">IF($A443="","",IFERROR(SUMIF(INDIRECT("'"&amp;'Template Setup'!$C$7&amp;"'!C:C"),$A443,INDIRECT("'"&amp;'Template Setup'!$C$7&amp;"'!A:A")),0))</f>
        <v/>
      </c>
      <c r="K443" s="12" t="str">
        <f ca="1">IF($A443="","",IFERROR(SUMIF(INDIRECT("'"&amp;'Template Setup'!$C$8&amp;"'!C:C"),$A443,INDIRECT("'"&amp;'Template Setup'!$C$8&amp;"'!A:A")),0))</f>
        <v/>
      </c>
      <c r="L443" s="11" t="str">
        <f>IF($A443="","",IFERROR(VALUE(MID(TRIM('Template Setup'!$C$4),FIND("-",TRIM('Template Setup'!$C$4))+1,10)),0))</f>
        <v/>
      </c>
      <c r="M443" s="11" t="str">
        <f>IF($A443="","",IFERROR(VALUE(MID(TRIM('Template Setup'!$C$5),FIND("-",TRIM('Template Setup'!$C$5))+1,10)),0))</f>
        <v/>
      </c>
      <c r="N443" s="11" t="str">
        <f>IF($A443="","",IFERROR(VALUE(MID(TRIM('Template Setup'!$C$6),FIND("-",TRIM('Template Setup'!$C$6))+1,10)),0))</f>
        <v/>
      </c>
      <c r="O443" s="11" t="str">
        <f>IF($A443="","",IFERROR(VALUE(MID(TRIM('Template Setup'!$C$7),FIND("-",TRIM('Template Setup'!$C$7))+1,10)),0))</f>
        <v/>
      </c>
      <c r="P443" s="11" t="str">
        <f>IF($A443="","",IFERROR(VALUE(MID(TRIM('Template Setup'!$C$8),FIND("-",TRIM('Template Setup'!$C$8))+1,10)),0))</f>
        <v/>
      </c>
      <c r="Q443" s="9" t="str">
        <f>IF($A443="","",$A443&amp;"-"&amp;'Template Setup'!$C$16)</f>
        <v/>
      </c>
      <c r="R443" s="24" t="str">
        <f t="shared" si="25"/>
        <v/>
      </c>
      <c r="S443" s="24"/>
      <c r="T443" s="24" t="str">
        <f t="shared" si="26"/>
        <v/>
      </c>
      <c r="U443" s="6" t="str">
        <f t="shared" si="28"/>
        <v/>
      </c>
    </row>
    <row r="444" spans="1:21">
      <c r="A444" s="11"/>
      <c r="B444" s="11"/>
      <c r="C444" s="11"/>
      <c r="D444" s="11" t="str">
        <f>IF($A444="","",_xlfn.TEXTJOIN(", ",TRUE,IF($G444&gt;0,'Template Setup'!$C$4,""),IF($H444&gt;0,'Template Setup'!$C$5,""),IF($I444&gt;0,'Template Setup'!$C$6,""),IF($J444&gt;0,'Template Setup'!$C$7,""),IF($K444&gt;0,'Template Setup'!$C$8,"")))</f>
        <v/>
      </c>
      <c r="E444" s="6" t="str" cm="1">
        <f t="array" ref="E444">IF($A444="","",_xlfn.LET(_xlpm.sheets,CHOOSE({1,2,3,4,5},'Template Setup'!$C$4,'Template Setup'!$C$5,'Template Setup'!$C$6,'Template Setup'!$C$7,'Template Setup'!$C$8),_xlpm.nums,CHOOSE({1,2,3,4,5},$L444,$M444,$N444,$O444,$P444),_xlpm.qtys,CHOOSE({1,2,3,4,5},$G444,$H444,$I444,$J444,$K444),_xlpm.validNums,_xlfn._xlws.FILTER(_xlpm.nums,_xlpm.qtys&gt;0),_xlpm.validSheets,_xlfn._xlws.FILTER(_xlpm.sheets,_xlpm.qtys&gt;0),_xlpm.mx,IFERROR(MAX(_xlpm.validNums),0),IF(_xlpm.mx=0,"",INDEX(_xlpm.validSheets,MATCH(_xlpm.mx,_xlpm.validNums,0))&amp;" (+"&amp;$R444&amp;")")))</f>
        <v/>
      </c>
      <c r="F444" s="11" t="str">
        <f t="shared" si="27"/>
        <v/>
      </c>
      <c r="G444" s="12" t="str">
        <f ca="1">IF($A444="","",IFERROR(SUMIF(INDIRECT("'"&amp;'Template Setup'!$C$4&amp;"'!C:C"),$A444,INDIRECT("'"&amp;'Template Setup'!$C$4&amp;"'!A:A")),0))</f>
        <v/>
      </c>
      <c r="H444" s="12" t="str">
        <f ca="1">IF($A444="","",IFERROR(SUMIF(INDIRECT("'"&amp;'Template Setup'!$C$5&amp;"'!C:C"),$A444,INDIRECT("'"&amp;'Template Setup'!$C$5&amp;"'!A:A")),0))</f>
        <v/>
      </c>
      <c r="I444" s="12" t="str">
        <f ca="1">IF($A444="","",IFERROR(SUMIF(INDIRECT("'"&amp;'Template Setup'!$C$6&amp;"'!C:C"),$A444,INDIRECT("'"&amp;'Template Setup'!$C$6&amp;"'!A:A")),0))</f>
        <v/>
      </c>
      <c r="J444" s="12" t="str">
        <f ca="1">IF($A444="","",IFERROR(SUMIF(INDIRECT("'"&amp;'Template Setup'!$C$7&amp;"'!C:C"),$A444,INDIRECT("'"&amp;'Template Setup'!$C$7&amp;"'!A:A")),0))</f>
        <v/>
      </c>
      <c r="K444" s="12" t="str">
        <f ca="1">IF($A444="","",IFERROR(SUMIF(INDIRECT("'"&amp;'Template Setup'!$C$8&amp;"'!C:C"),$A444,INDIRECT("'"&amp;'Template Setup'!$C$8&amp;"'!A:A")),0))</f>
        <v/>
      </c>
      <c r="L444" s="11" t="str">
        <f>IF($A444="","",IFERROR(VALUE(MID(TRIM('Template Setup'!$C$4),FIND("-",TRIM('Template Setup'!$C$4))+1,10)),0))</f>
        <v/>
      </c>
      <c r="M444" s="11" t="str">
        <f>IF($A444="","",IFERROR(VALUE(MID(TRIM('Template Setup'!$C$5),FIND("-",TRIM('Template Setup'!$C$5))+1,10)),0))</f>
        <v/>
      </c>
      <c r="N444" s="11" t="str">
        <f>IF($A444="","",IFERROR(VALUE(MID(TRIM('Template Setup'!$C$6),FIND("-",TRIM('Template Setup'!$C$6))+1,10)),0))</f>
        <v/>
      </c>
      <c r="O444" s="11" t="str">
        <f>IF($A444="","",IFERROR(VALUE(MID(TRIM('Template Setup'!$C$7),FIND("-",TRIM('Template Setup'!$C$7))+1,10)),0))</f>
        <v/>
      </c>
      <c r="P444" s="11" t="str">
        <f>IF($A444="","",IFERROR(VALUE(MID(TRIM('Template Setup'!$C$8),FIND("-",TRIM('Template Setup'!$C$8))+1,10)),0))</f>
        <v/>
      </c>
      <c r="Q444" s="9" t="str">
        <f>IF($A444="","",$A444&amp;"-"&amp;'Template Setup'!$C$16)</f>
        <v/>
      </c>
      <c r="R444" s="24" t="str">
        <f t="shared" si="25"/>
        <v/>
      </c>
      <c r="S444" s="24"/>
      <c r="T444" s="24" t="str">
        <f t="shared" si="26"/>
        <v/>
      </c>
      <c r="U444" s="6" t="str">
        <f t="shared" si="28"/>
        <v/>
      </c>
    </row>
    <row r="445" spans="1:21">
      <c r="A445" s="11"/>
      <c r="B445" s="11"/>
      <c r="C445" s="11"/>
      <c r="D445" s="11" t="str">
        <f>IF($A445="","",_xlfn.TEXTJOIN(", ",TRUE,IF($G445&gt;0,'Template Setup'!$C$4,""),IF($H445&gt;0,'Template Setup'!$C$5,""),IF($I445&gt;0,'Template Setup'!$C$6,""),IF($J445&gt;0,'Template Setup'!$C$7,""),IF($K445&gt;0,'Template Setup'!$C$8,"")))</f>
        <v/>
      </c>
      <c r="E445" s="6" t="str" cm="1">
        <f t="array" ref="E445">IF($A445="","",_xlfn.LET(_xlpm.sheets,CHOOSE({1,2,3,4,5},'Template Setup'!$C$4,'Template Setup'!$C$5,'Template Setup'!$C$6,'Template Setup'!$C$7,'Template Setup'!$C$8),_xlpm.nums,CHOOSE({1,2,3,4,5},$L445,$M445,$N445,$O445,$P445),_xlpm.qtys,CHOOSE({1,2,3,4,5},$G445,$H445,$I445,$J445,$K445),_xlpm.validNums,_xlfn._xlws.FILTER(_xlpm.nums,_xlpm.qtys&gt;0),_xlpm.validSheets,_xlfn._xlws.FILTER(_xlpm.sheets,_xlpm.qtys&gt;0),_xlpm.mx,IFERROR(MAX(_xlpm.validNums),0),IF(_xlpm.mx=0,"",INDEX(_xlpm.validSheets,MATCH(_xlpm.mx,_xlpm.validNums,0))&amp;" (+"&amp;$R445&amp;")")))</f>
        <v/>
      </c>
      <c r="F445" s="11" t="str">
        <f t="shared" si="27"/>
        <v/>
      </c>
      <c r="G445" s="12" t="str">
        <f ca="1">IF($A445="","",IFERROR(SUMIF(INDIRECT("'"&amp;'Template Setup'!$C$4&amp;"'!C:C"),$A445,INDIRECT("'"&amp;'Template Setup'!$C$4&amp;"'!A:A")),0))</f>
        <v/>
      </c>
      <c r="H445" s="12" t="str">
        <f ca="1">IF($A445="","",IFERROR(SUMIF(INDIRECT("'"&amp;'Template Setup'!$C$5&amp;"'!C:C"),$A445,INDIRECT("'"&amp;'Template Setup'!$C$5&amp;"'!A:A")),0))</f>
        <v/>
      </c>
      <c r="I445" s="12" t="str">
        <f ca="1">IF($A445="","",IFERROR(SUMIF(INDIRECT("'"&amp;'Template Setup'!$C$6&amp;"'!C:C"),$A445,INDIRECT("'"&amp;'Template Setup'!$C$6&amp;"'!A:A")),0))</f>
        <v/>
      </c>
      <c r="J445" s="12" t="str">
        <f ca="1">IF($A445="","",IFERROR(SUMIF(INDIRECT("'"&amp;'Template Setup'!$C$7&amp;"'!C:C"),$A445,INDIRECT("'"&amp;'Template Setup'!$C$7&amp;"'!A:A")),0))</f>
        <v/>
      </c>
      <c r="K445" s="12" t="str">
        <f ca="1">IF($A445="","",IFERROR(SUMIF(INDIRECT("'"&amp;'Template Setup'!$C$8&amp;"'!C:C"),$A445,INDIRECT("'"&amp;'Template Setup'!$C$8&amp;"'!A:A")),0))</f>
        <v/>
      </c>
      <c r="L445" s="11" t="str">
        <f>IF($A445="","",IFERROR(VALUE(MID(TRIM('Template Setup'!$C$4),FIND("-",TRIM('Template Setup'!$C$4))+1,10)),0))</f>
        <v/>
      </c>
      <c r="M445" s="11" t="str">
        <f>IF($A445="","",IFERROR(VALUE(MID(TRIM('Template Setup'!$C$5),FIND("-",TRIM('Template Setup'!$C$5))+1,10)),0))</f>
        <v/>
      </c>
      <c r="N445" s="11" t="str">
        <f>IF($A445="","",IFERROR(VALUE(MID(TRIM('Template Setup'!$C$6),FIND("-",TRIM('Template Setup'!$C$6))+1,10)),0))</f>
        <v/>
      </c>
      <c r="O445" s="11" t="str">
        <f>IF($A445="","",IFERROR(VALUE(MID(TRIM('Template Setup'!$C$7),FIND("-",TRIM('Template Setup'!$C$7))+1,10)),0))</f>
        <v/>
      </c>
      <c r="P445" s="11" t="str">
        <f>IF($A445="","",IFERROR(VALUE(MID(TRIM('Template Setup'!$C$8),FIND("-",TRIM('Template Setup'!$C$8))+1,10)),0))</f>
        <v/>
      </c>
      <c r="Q445" s="9" t="str">
        <f>IF($A445="","",$A445&amp;"-"&amp;'Template Setup'!$C$16)</f>
        <v/>
      </c>
      <c r="R445" s="24" t="str">
        <f t="shared" si="25"/>
        <v/>
      </c>
      <c r="S445" s="24"/>
      <c r="T445" s="24" t="str">
        <f t="shared" si="26"/>
        <v/>
      </c>
      <c r="U445" s="6" t="str">
        <f t="shared" si="28"/>
        <v/>
      </c>
    </row>
    <row r="446" spans="1:21">
      <c r="A446" s="11"/>
      <c r="B446" s="11"/>
      <c r="C446" s="11"/>
      <c r="D446" s="11" t="str">
        <f>IF($A446="","",_xlfn.TEXTJOIN(", ",TRUE,IF($G446&gt;0,'Template Setup'!$C$4,""),IF($H446&gt;0,'Template Setup'!$C$5,""),IF($I446&gt;0,'Template Setup'!$C$6,""),IF($J446&gt;0,'Template Setup'!$C$7,""),IF($K446&gt;0,'Template Setup'!$C$8,"")))</f>
        <v/>
      </c>
      <c r="E446" s="6" t="str" cm="1">
        <f t="array" ref="E446">IF($A446="","",_xlfn.LET(_xlpm.sheets,CHOOSE({1,2,3,4,5},'Template Setup'!$C$4,'Template Setup'!$C$5,'Template Setup'!$C$6,'Template Setup'!$C$7,'Template Setup'!$C$8),_xlpm.nums,CHOOSE({1,2,3,4,5},$L446,$M446,$N446,$O446,$P446),_xlpm.qtys,CHOOSE({1,2,3,4,5},$G446,$H446,$I446,$J446,$K446),_xlpm.validNums,_xlfn._xlws.FILTER(_xlpm.nums,_xlpm.qtys&gt;0),_xlpm.validSheets,_xlfn._xlws.FILTER(_xlpm.sheets,_xlpm.qtys&gt;0),_xlpm.mx,IFERROR(MAX(_xlpm.validNums),0),IF(_xlpm.mx=0,"",INDEX(_xlpm.validSheets,MATCH(_xlpm.mx,_xlpm.validNums,0))&amp;" (+"&amp;$R446&amp;")")))</f>
        <v/>
      </c>
      <c r="F446" s="11" t="str">
        <f t="shared" si="27"/>
        <v/>
      </c>
      <c r="G446" s="12" t="str">
        <f ca="1">IF($A446="","",IFERROR(SUMIF(INDIRECT("'"&amp;'Template Setup'!$C$4&amp;"'!C:C"),$A446,INDIRECT("'"&amp;'Template Setup'!$C$4&amp;"'!A:A")),0))</f>
        <v/>
      </c>
      <c r="H446" s="12" t="str">
        <f ca="1">IF($A446="","",IFERROR(SUMIF(INDIRECT("'"&amp;'Template Setup'!$C$5&amp;"'!C:C"),$A446,INDIRECT("'"&amp;'Template Setup'!$C$5&amp;"'!A:A")),0))</f>
        <v/>
      </c>
      <c r="I446" s="12" t="str">
        <f ca="1">IF($A446="","",IFERROR(SUMIF(INDIRECT("'"&amp;'Template Setup'!$C$6&amp;"'!C:C"),$A446,INDIRECT("'"&amp;'Template Setup'!$C$6&amp;"'!A:A")),0))</f>
        <v/>
      </c>
      <c r="J446" s="12" t="str">
        <f ca="1">IF($A446="","",IFERROR(SUMIF(INDIRECT("'"&amp;'Template Setup'!$C$7&amp;"'!C:C"),$A446,INDIRECT("'"&amp;'Template Setup'!$C$7&amp;"'!A:A")),0))</f>
        <v/>
      </c>
      <c r="K446" s="12" t="str">
        <f ca="1">IF($A446="","",IFERROR(SUMIF(INDIRECT("'"&amp;'Template Setup'!$C$8&amp;"'!C:C"),$A446,INDIRECT("'"&amp;'Template Setup'!$C$8&amp;"'!A:A")),0))</f>
        <v/>
      </c>
      <c r="L446" s="11" t="str">
        <f>IF($A446="","",IFERROR(VALUE(MID(TRIM('Template Setup'!$C$4),FIND("-",TRIM('Template Setup'!$C$4))+1,10)),0))</f>
        <v/>
      </c>
      <c r="M446" s="11" t="str">
        <f>IF($A446="","",IFERROR(VALUE(MID(TRIM('Template Setup'!$C$5),FIND("-",TRIM('Template Setup'!$C$5))+1,10)),0))</f>
        <v/>
      </c>
      <c r="N446" s="11" t="str">
        <f>IF($A446="","",IFERROR(VALUE(MID(TRIM('Template Setup'!$C$6),FIND("-",TRIM('Template Setup'!$C$6))+1,10)),0))</f>
        <v/>
      </c>
      <c r="O446" s="11" t="str">
        <f>IF($A446="","",IFERROR(VALUE(MID(TRIM('Template Setup'!$C$7),FIND("-",TRIM('Template Setup'!$C$7))+1,10)),0))</f>
        <v/>
      </c>
      <c r="P446" s="11" t="str">
        <f>IF($A446="","",IFERROR(VALUE(MID(TRIM('Template Setup'!$C$8),FIND("-",TRIM('Template Setup'!$C$8))+1,10)),0))</f>
        <v/>
      </c>
      <c r="Q446" s="9" t="str">
        <f>IF($A446="","",$A446&amp;"-"&amp;'Template Setup'!$C$16)</f>
        <v/>
      </c>
      <c r="R446" s="24" t="str">
        <f t="shared" si="25"/>
        <v/>
      </c>
      <c r="S446" s="24"/>
      <c r="T446" s="24" t="str">
        <f t="shared" si="26"/>
        <v/>
      </c>
      <c r="U446" s="6" t="str">
        <f t="shared" si="28"/>
        <v/>
      </c>
    </row>
    <row r="447" spans="1:21">
      <c r="A447" s="11"/>
      <c r="B447" s="11"/>
      <c r="C447" s="11"/>
      <c r="D447" s="11" t="str">
        <f>IF($A447="","",_xlfn.TEXTJOIN(", ",TRUE,IF($G447&gt;0,'Template Setup'!$C$4,""),IF($H447&gt;0,'Template Setup'!$C$5,""),IF($I447&gt;0,'Template Setup'!$C$6,""),IF($J447&gt;0,'Template Setup'!$C$7,""),IF($K447&gt;0,'Template Setup'!$C$8,"")))</f>
        <v/>
      </c>
      <c r="E447" s="6" t="str" cm="1">
        <f t="array" ref="E447">IF($A447="","",_xlfn.LET(_xlpm.sheets,CHOOSE({1,2,3,4,5},'Template Setup'!$C$4,'Template Setup'!$C$5,'Template Setup'!$C$6,'Template Setup'!$C$7,'Template Setup'!$C$8),_xlpm.nums,CHOOSE({1,2,3,4,5},$L447,$M447,$N447,$O447,$P447),_xlpm.qtys,CHOOSE({1,2,3,4,5},$G447,$H447,$I447,$J447,$K447),_xlpm.validNums,_xlfn._xlws.FILTER(_xlpm.nums,_xlpm.qtys&gt;0),_xlpm.validSheets,_xlfn._xlws.FILTER(_xlpm.sheets,_xlpm.qtys&gt;0),_xlpm.mx,IFERROR(MAX(_xlpm.validNums),0),IF(_xlpm.mx=0,"",INDEX(_xlpm.validSheets,MATCH(_xlpm.mx,_xlpm.validNums,0))&amp;" (+"&amp;$R447&amp;")")))</f>
        <v/>
      </c>
      <c r="F447" s="11" t="str">
        <f t="shared" si="27"/>
        <v/>
      </c>
      <c r="G447" s="12" t="str">
        <f ca="1">IF($A447="","",IFERROR(SUMIF(INDIRECT("'"&amp;'Template Setup'!$C$4&amp;"'!C:C"),$A447,INDIRECT("'"&amp;'Template Setup'!$C$4&amp;"'!A:A")),0))</f>
        <v/>
      </c>
      <c r="H447" s="12" t="str">
        <f ca="1">IF($A447="","",IFERROR(SUMIF(INDIRECT("'"&amp;'Template Setup'!$C$5&amp;"'!C:C"),$A447,INDIRECT("'"&amp;'Template Setup'!$C$5&amp;"'!A:A")),0))</f>
        <v/>
      </c>
      <c r="I447" s="12" t="str">
        <f ca="1">IF($A447="","",IFERROR(SUMIF(INDIRECT("'"&amp;'Template Setup'!$C$6&amp;"'!C:C"),$A447,INDIRECT("'"&amp;'Template Setup'!$C$6&amp;"'!A:A")),0))</f>
        <v/>
      </c>
      <c r="J447" s="12" t="str">
        <f ca="1">IF($A447="","",IFERROR(SUMIF(INDIRECT("'"&amp;'Template Setup'!$C$7&amp;"'!C:C"),$A447,INDIRECT("'"&amp;'Template Setup'!$C$7&amp;"'!A:A")),0))</f>
        <v/>
      </c>
      <c r="K447" s="12" t="str">
        <f ca="1">IF($A447="","",IFERROR(SUMIF(INDIRECT("'"&amp;'Template Setup'!$C$8&amp;"'!C:C"),$A447,INDIRECT("'"&amp;'Template Setup'!$C$8&amp;"'!A:A")),0))</f>
        <v/>
      </c>
      <c r="L447" s="11" t="str">
        <f>IF($A447="","",IFERROR(VALUE(MID(TRIM('Template Setup'!$C$4),FIND("-",TRIM('Template Setup'!$C$4))+1,10)),0))</f>
        <v/>
      </c>
      <c r="M447" s="11" t="str">
        <f>IF($A447="","",IFERROR(VALUE(MID(TRIM('Template Setup'!$C$5),FIND("-",TRIM('Template Setup'!$C$5))+1,10)),0))</f>
        <v/>
      </c>
      <c r="N447" s="11" t="str">
        <f>IF($A447="","",IFERROR(VALUE(MID(TRIM('Template Setup'!$C$6),FIND("-",TRIM('Template Setup'!$C$6))+1,10)),0))</f>
        <v/>
      </c>
      <c r="O447" s="11" t="str">
        <f>IF($A447="","",IFERROR(VALUE(MID(TRIM('Template Setup'!$C$7),FIND("-",TRIM('Template Setup'!$C$7))+1,10)),0))</f>
        <v/>
      </c>
      <c r="P447" s="11" t="str">
        <f>IF($A447="","",IFERROR(VALUE(MID(TRIM('Template Setup'!$C$8),FIND("-",TRIM('Template Setup'!$C$8))+1,10)),0))</f>
        <v/>
      </c>
      <c r="Q447" s="9" t="str">
        <f>IF($A447="","",$A447&amp;"-"&amp;'Template Setup'!$C$16)</f>
        <v/>
      </c>
      <c r="R447" s="24" t="str">
        <f t="shared" si="25"/>
        <v/>
      </c>
      <c r="S447" s="24"/>
      <c r="T447" s="24" t="str">
        <f t="shared" si="26"/>
        <v/>
      </c>
      <c r="U447" s="6" t="str">
        <f t="shared" si="28"/>
        <v/>
      </c>
    </row>
    <row r="448" spans="1:21">
      <c r="A448" s="11"/>
      <c r="B448" s="11"/>
      <c r="C448" s="11"/>
      <c r="D448" s="11" t="str">
        <f>IF($A448="","",_xlfn.TEXTJOIN(", ",TRUE,IF($G448&gt;0,'Template Setup'!$C$4,""),IF($H448&gt;0,'Template Setup'!$C$5,""),IF($I448&gt;0,'Template Setup'!$C$6,""),IF($J448&gt;0,'Template Setup'!$C$7,""),IF($K448&gt;0,'Template Setup'!$C$8,"")))</f>
        <v/>
      </c>
      <c r="E448" s="6" t="str" cm="1">
        <f t="array" ref="E448">IF($A448="","",_xlfn.LET(_xlpm.sheets,CHOOSE({1,2,3,4,5},'Template Setup'!$C$4,'Template Setup'!$C$5,'Template Setup'!$C$6,'Template Setup'!$C$7,'Template Setup'!$C$8),_xlpm.nums,CHOOSE({1,2,3,4,5},$L448,$M448,$N448,$O448,$P448),_xlpm.qtys,CHOOSE({1,2,3,4,5},$G448,$H448,$I448,$J448,$K448),_xlpm.validNums,_xlfn._xlws.FILTER(_xlpm.nums,_xlpm.qtys&gt;0),_xlpm.validSheets,_xlfn._xlws.FILTER(_xlpm.sheets,_xlpm.qtys&gt;0),_xlpm.mx,IFERROR(MAX(_xlpm.validNums),0),IF(_xlpm.mx=0,"",INDEX(_xlpm.validSheets,MATCH(_xlpm.mx,_xlpm.validNums,0))&amp;" (+"&amp;$R448&amp;")")))</f>
        <v/>
      </c>
      <c r="F448" s="11" t="str">
        <f t="shared" si="27"/>
        <v/>
      </c>
      <c r="G448" s="12" t="str">
        <f ca="1">IF($A448="","",IFERROR(SUMIF(INDIRECT("'"&amp;'Template Setup'!$C$4&amp;"'!C:C"),$A448,INDIRECT("'"&amp;'Template Setup'!$C$4&amp;"'!A:A")),0))</f>
        <v/>
      </c>
      <c r="H448" s="12" t="str">
        <f ca="1">IF($A448="","",IFERROR(SUMIF(INDIRECT("'"&amp;'Template Setup'!$C$5&amp;"'!C:C"),$A448,INDIRECT("'"&amp;'Template Setup'!$C$5&amp;"'!A:A")),0))</f>
        <v/>
      </c>
      <c r="I448" s="12" t="str">
        <f ca="1">IF($A448="","",IFERROR(SUMIF(INDIRECT("'"&amp;'Template Setup'!$C$6&amp;"'!C:C"),$A448,INDIRECT("'"&amp;'Template Setup'!$C$6&amp;"'!A:A")),0))</f>
        <v/>
      </c>
      <c r="J448" s="12" t="str">
        <f ca="1">IF($A448="","",IFERROR(SUMIF(INDIRECT("'"&amp;'Template Setup'!$C$7&amp;"'!C:C"),$A448,INDIRECT("'"&amp;'Template Setup'!$C$7&amp;"'!A:A")),0))</f>
        <v/>
      </c>
      <c r="K448" s="12" t="str">
        <f ca="1">IF($A448="","",IFERROR(SUMIF(INDIRECT("'"&amp;'Template Setup'!$C$8&amp;"'!C:C"),$A448,INDIRECT("'"&amp;'Template Setup'!$C$8&amp;"'!A:A")),0))</f>
        <v/>
      </c>
      <c r="L448" s="11" t="str">
        <f>IF($A448="","",IFERROR(VALUE(MID(TRIM('Template Setup'!$C$4),FIND("-",TRIM('Template Setup'!$C$4))+1,10)),0))</f>
        <v/>
      </c>
      <c r="M448" s="11" t="str">
        <f>IF($A448="","",IFERROR(VALUE(MID(TRIM('Template Setup'!$C$5),FIND("-",TRIM('Template Setup'!$C$5))+1,10)),0))</f>
        <v/>
      </c>
      <c r="N448" s="11" t="str">
        <f>IF($A448="","",IFERROR(VALUE(MID(TRIM('Template Setup'!$C$6),FIND("-",TRIM('Template Setup'!$C$6))+1,10)),0))</f>
        <v/>
      </c>
      <c r="O448" s="11" t="str">
        <f>IF($A448="","",IFERROR(VALUE(MID(TRIM('Template Setup'!$C$7),FIND("-",TRIM('Template Setup'!$C$7))+1,10)),0))</f>
        <v/>
      </c>
      <c r="P448" s="11" t="str">
        <f>IF($A448="","",IFERROR(VALUE(MID(TRIM('Template Setup'!$C$8),FIND("-",TRIM('Template Setup'!$C$8))+1,10)),0))</f>
        <v/>
      </c>
      <c r="Q448" s="9" t="str">
        <f>IF($A448="","",$A448&amp;"-"&amp;'Template Setup'!$C$16)</f>
        <v/>
      </c>
      <c r="R448" s="24" t="str">
        <f t="shared" si="25"/>
        <v/>
      </c>
      <c r="S448" s="24"/>
      <c r="T448" s="24" t="str">
        <f t="shared" si="26"/>
        <v/>
      </c>
      <c r="U448" s="6" t="str">
        <f t="shared" si="28"/>
        <v/>
      </c>
    </row>
    <row r="449" spans="1:21">
      <c r="A449" s="11"/>
      <c r="B449" s="11"/>
      <c r="C449" s="11"/>
      <c r="D449" s="11" t="str">
        <f>IF($A449="","",_xlfn.TEXTJOIN(", ",TRUE,IF($G449&gt;0,'Template Setup'!$C$4,""),IF($H449&gt;0,'Template Setup'!$C$5,""),IF($I449&gt;0,'Template Setup'!$C$6,""),IF($J449&gt;0,'Template Setup'!$C$7,""),IF($K449&gt;0,'Template Setup'!$C$8,"")))</f>
        <v/>
      </c>
      <c r="E449" s="6" t="str" cm="1">
        <f t="array" ref="E449">IF($A449="","",_xlfn.LET(_xlpm.sheets,CHOOSE({1,2,3,4,5},'Template Setup'!$C$4,'Template Setup'!$C$5,'Template Setup'!$C$6,'Template Setup'!$C$7,'Template Setup'!$C$8),_xlpm.nums,CHOOSE({1,2,3,4,5},$L449,$M449,$N449,$O449,$P449),_xlpm.qtys,CHOOSE({1,2,3,4,5},$G449,$H449,$I449,$J449,$K449),_xlpm.validNums,_xlfn._xlws.FILTER(_xlpm.nums,_xlpm.qtys&gt;0),_xlpm.validSheets,_xlfn._xlws.FILTER(_xlpm.sheets,_xlpm.qtys&gt;0),_xlpm.mx,IFERROR(MAX(_xlpm.validNums),0),IF(_xlpm.mx=0,"",INDEX(_xlpm.validSheets,MATCH(_xlpm.mx,_xlpm.validNums,0))&amp;" (+"&amp;$R449&amp;")")))</f>
        <v/>
      </c>
      <c r="F449" s="11" t="str">
        <f t="shared" si="27"/>
        <v/>
      </c>
      <c r="G449" s="12" t="str">
        <f ca="1">IF($A449="","",IFERROR(SUMIF(INDIRECT("'"&amp;'Template Setup'!$C$4&amp;"'!C:C"),$A449,INDIRECT("'"&amp;'Template Setup'!$C$4&amp;"'!A:A")),0))</f>
        <v/>
      </c>
      <c r="H449" s="12" t="str">
        <f ca="1">IF($A449="","",IFERROR(SUMIF(INDIRECT("'"&amp;'Template Setup'!$C$5&amp;"'!C:C"),$A449,INDIRECT("'"&amp;'Template Setup'!$C$5&amp;"'!A:A")),0))</f>
        <v/>
      </c>
      <c r="I449" s="12" t="str">
        <f ca="1">IF($A449="","",IFERROR(SUMIF(INDIRECT("'"&amp;'Template Setup'!$C$6&amp;"'!C:C"),$A449,INDIRECT("'"&amp;'Template Setup'!$C$6&amp;"'!A:A")),0))</f>
        <v/>
      </c>
      <c r="J449" s="12" t="str">
        <f ca="1">IF($A449="","",IFERROR(SUMIF(INDIRECT("'"&amp;'Template Setup'!$C$7&amp;"'!C:C"),$A449,INDIRECT("'"&amp;'Template Setup'!$C$7&amp;"'!A:A")),0))</f>
        <v/>
      </c>
      <c r="K449" s="12" t="str">
        <f ca="1">IF($A449="","",IFERROR(SUMIF(INDIRECT("'"&amp;'Template Setup'!$C$8&amp;"'!C:C"),$A449,INDIRECT("'"&amp;'Template Setup'!$C$8&amp;"'!A:A")),0))</f>
        <v/>
      </c>
      <c r="L449" s="11" t="str">
        <f>IF($A449="","",IFERROR(VALUE(MID(TRIM('Template Setup'!$C$4),FIND("-",TRIM('Template Setup'!$C$4))+1,10)),0))</f>
        <v/>
      </c>
      <c r="M449" s="11" t="str">
        <f>IF($A449="","",IFERROR(VALUE(MID(TRIM('Template Setup'!$C$5),FIND("-",TRIM('Template Setup'!$C$5))+1,10)),0))</f>
        <v/>
      </c>
      <c r="N449" s="11" t="str">
        <f>IF($A449="","",IFERROR(VALUE(MID(TRIM('Template Setup'!$C$6),FIND("-",TRIM('Template Setup'!$C$6))+1,10)),0))</f>
        <v/>
      </c>
      <c r="O449" s="11" t="str">
        <f>IF($A449="","",IFERROR(VALUE(MID(TRIM('Template Setup'!$C$7),FIND("-",TRIM('Template Setup'!$C$7))+1,10)),0))</f>
        <v/>
      </c>
      <c r="P449" s="11" t="str">
        <f>IF($A449="","",IFERROR(VALUE(MID(TRIM('Template Setup'!$C$8),FIND("-",TRIM('Template Setup'!$C$8))+1,10)),0))</f>
        <v/>
      </c>
      <c r="Q449" s="9" t="str">
        <f>IF($A449="","",$A449&amp;"-"&amp;'Template Setup'!$C$16)</f>
        <v/>
      </c>
      <c r="R449" s="24" t="str">
        <f t="shared" si="25"/>
        <v/>
      </c>
      <c r="S449" s="24"/>
      <c r="T449" s="24" t="str">
        <f t="shared" si="26"/>
        <v/>
      </c>
      <c r="U449" s="6" t="str">
        <f t="shared" si="28"/>
        <v/>
      </c>
    </row>
    <row r="450" spans="1:21">
      <c r="A450" s="11"/>
      <c r="B450" s="11"/>
      <c r="C450" s="11"/>
      <c r="D450" s="11" t="str">
        <f>IF($A450="","",_xlfn.TEXTJOIN(", ",TRUE,IF($G450&gt;0,'Template Setup'!$C$4,""),IF($H450&gt;0,'Template Setup'!$C$5,""),IF($I450&gt;0,'Template Setup'!$C$6,""),IF($J450&gt;0,'Template Setup'!$C$7,""),IF($K450&gt;0,'Template Setup'!$C$8,"")))</f>
        <v/>
      </c>
      <c r="E450" s="6" t="str" cm="1">
        <f t="array" ref="E450">IF($A450="","",_xlfn.LET(_xlpm.sheets,CHOOSE({1,2,3,4,5},'Template Setup'!$C$4,'Template Setup'!$C$5,'Template Setup'!$C$6,'Template Setup'!$C$7,'Template Setup'!$C$8),_xlpm.nums,CHOOSE({1,2,3,4,5},$L450,$M450,$N450,$O450,$P450),_xlpm.qtys,CHOOSE({1,2,3,4,5},$G450,$H450,$I450,$J450,$K450),_xlpm.validNums,_xlfn._xlws.FILTER(_xlpm.nums,_xlpm.qtys&gt;0),_xlpm.validSheets,_xlfn._xlws.FILTER(_xlpm.sheets,_xlpm.qtys&gt;0),_xlpm.mx,IFERROR(MAX(_xlpm.validNums),0),IF(_xlpm.mx=0,"",INDEX(_xlpm.validSheets,MATCH(_xlpm.mx,_xlpm.validNums,0))&amp;" (+"&amp;$R450&amp;")")))</f>
        <v/>
      </c>
      <c r="F450" s="11" t="str">
        <f t="shared" si="27"/>
        <v/>
      </c>
      <c r="G450" s="12" t="str">
        <f ca="1">IF($A450="","",IFERROR(SUMIF(INDIRECT("'"&amp;'Template Setup'!$C$4&amp;"'!C:C"),$A450,INDIRECT("'"&amp;'Template Setup'!$C$4&amp;"'!A:A")),0))</f>
        <v/>
      </c>
      <c r="H450" s="12" t="str">
        <f ca="1">IF($A450="","",IFERROR(SUMIF(INDIRECT("'"&amp;'Template Setup'!$C$5&amp;"'!C:C"),$A450,INDIRECT("'"&amp;'Template Setup'!$C$5&amp;"'!A:A")),0))</f>
        <v/>
      </c>
      <c r="I450" s="12" t="str">
        <f ca="1">IF($A450="","",IFERROR(SUMIF(INDIRECT("'"&amp;'Template Setup'!$C$6&amp;"'!C:C"),$A450,INDIRECT("'"&amp;'Template Setup'!$C$6&amp;"'!A:A")),0))</f>
        <v/>
      </c>
      <c r="J450" s="12" t="str">
        <f ca="1">IF($A450="","",IFERROR(SUMIF(INDIRECT("'"&amp;'Template Setup'!$C$7&amp;"'!C:C"),$A450,INDIRECT("'"&amp;'Template Setup'!$C$7&amp;"'!A:A")),0))</f>
        <v/>
      </c>
      <c r="K450" s="12" t="str">
        <f ca="1">IF($A450="","",IFERROR(SUMIF(INDIRECT("'"&amp;'Template Setup'!$C$8&amp;"'!C:C"),$A450,INDIRECT("'"&amp;'Template Setup'!$C$8&amp;"'!A:A")),0))</f>
        <v/>
      </c>
      <c r="L450" s="11" t="str">
        <f>IF($A450="","",IFERROR(VALUE(MID(TRIM('Template Setup'!$C$4),FIND("-",TRIM('Template Setup'!$C$4))+1,10)),0))</f>
        <v/>
      </c>
      <c r="M450" s="11" t="str">
        <f>IF($A450="","",IFERROR(VALUE(MID(TRIM('Template Setup'!$C$5),FIND("-",TRIM('Template Setup'!$C$5))+1,10)),0))</f>
        <v/>
      </c>
      <c r="N450" s="11" t="str">
        <f>IF($A450="","",IFERROR(VALUE(MID(TRIM('Template Setup'!$C$6),FIND("-",TRIM('Template Setup'!$C$6))+1,10)),0))</f>
        <v/>
      </c>
      <c r="O450" s="11" t="str">
        <f>IF($A450="","",IFERROR(VALUE(MID(TRIM('Template Setup'!$C$7),FIND("-",TRIM('Template Setup'!$C$7))+1,10)),0))</f>
        <v/>
      </c>
      <c r="P450" s="11" t="str">
        <f>IF($A450="","",IFERROR(VALUE(MID(TRIM('Template Setup'!$C$8),FIND("-",TRIM('Template Setup'!$C$8))+1,10)),0))</f>
        <v/>
      </c>
      <c r="Q450" s="9" t="str">
        <f>IF($A450="","",$A450&amp;"-"&amp;'Template Setup'!$C$16)</f>
        <v/>
      </c>
      <c r="R450" s="24" t="str">
        <f t="shared" ref="R450:R513" si="29">IF($A450="","",SUM($G450:$K450))</f>
        <v/>
      </c>
      <c r="S450" s="24"/>
      <c r="T450" s="24" t="str">
        <f t="shared" ref="T450:T513" si="30">IF($A450="","",IF(ISBLANK(S450),"",N(R450)+S450))</f>
        <v/>
      </c>
      <c r="U450" s="6" t="str">
        <f t="shared" si="28"/>
        <v/>
      </c>
    </row>
    <row r="451" spans="1:21">
      <c r="A451" s="11"/>
      <c r="B451" s="11"/>
      <c r="C451" s="11"/>
      <c r="D451" s="11" t="str">
        <f>IF($A451="","",_xlfn.TEXTJOIN(", ",TRUE,IF($G451&gt;0,'Template Setup'!$C$4,""),IF($H451&gt;0,'Template Setup'!$C$5,""),IF($I451&gt;0,'Template Setup'!$C$6,""),IF($J451&gt;0,'Template Setup'!$C$7,""),IF($K451&gt;0,'Template Setup'!$C$8,"")))</f>
        <v/>
      </c>
      <c r="E451" s="6" t="str" cm="1">
        <f t="array" ref="E451">IF($A451="","",_xlfn.LET(_xlpm.sheets,CHOOSE({1,2,3,4,5},'Template Setup'!$C$4,'Template Setup'!$C$5,'Template Setup'!$C$6,'Template Setup'!$C$7,'Template Setup'!$C$8),_xlpm.nums,CHOOSE({1,2,3,4,5},$L451,$M451,$N451,$O451,$P451),_xlpm.qtys,CHOOSE({1,2,3,4,5},$G451,$H451,$I451,$J451,$K451),_xlpm.validNums,_xlfn._xlws.FILTER(_xlpm.nums,_xlpm.qtys&gt;0),_xlpm.validSheets,_xlfn._xlws.FILTER(_xlpm.sheets,_xlpm.qtys&gt;0),_xlpm.mx,IFERROR(MAX(_xlpm.validNums),0),IF(_xlpm.mx=0,"",INDEX(_xlpm.validSheets,MATCH(_xlpm.mx,_xlpm.validNums,0))&amp;" (+"&amp;$R451&amp;")")))</f>
        <v/>
      </c>
      <c r="F451" s="11" t="str">
        <f t="shared" ref="F451:F514" si="31">IF($E451="","","PACP-"&amp;LEFT($E451,FIND("-",$E451)-1)&amp;"-000"&amp;MID($E451,FIND("-",$E451)+1,3))</f>
        <v/>
      </c>
      <c r="G451" s="12" t="str">
        <f ca="1">IF($A451="","",IFERROR(SUMIF(INDIRECT("'"&amp;'Template Setup'!$C$4&amp;"'!C:C"),$A451,INDIRECT("'"&amp;'Template Setup'!$C$4&amp;"'!A:A")),0))</f>
        <v/>
      </c>
      <c r="H451" s="12" t="str">
        <f ca="1">IF($A451="","",IFERROR(SUMIF(INDIRECT("'"&amp;'Template Setup'!$C$5&amp;"'!C:C"),$A451,INDIRECT("'"&amp;'Template Setup'!$C$5&amp;"'!A:A")),0))</f>
        <v/>
      </c>
      <c r="I451" s="12" t="str">
        <f ca="1">IF($A451="","",IFERROR(SUMIF(INDIRECT("'"&amp;'Template Setup'!$C$6&amp;"'!C:C"),$A451,INDIRECT("'"&amp;'Template Setup'!$C$6&amp;"'!A:A")),0))</f>
        <v/>
      </c>
      <c r="J451" s="12" t="str">
        <f ca="1">IF($A451="","",IFERROR(SUMIF(INDIRECT("'"&amp;'Template Setup'!$C$7&amp;"'!C:C"),$A451,INDIRECT("'"&amp;'Template Setup'!$C$7&amp;"'!A:A")),0))</f>
        <v/>
      </c>
      <c r="K451" s="12" t="str">
        <f ca="1">IF($A451="","",IFERROR(SUMIF(INDIRECT("'"&amp;'Template Setup'!$C$8&amp;"'!C:C"),$A451,INDIRECT("'"&amp;'Template Setup'!$C$8&amp;"'!A:A")),0))</f>
        <v/>
      </c>
      <c r="L451" s="11" t="str">
        <f>IF($A451="","",IFERROR(VALUE(MID(TRIM('Template Setup'!$C$4),FIND("-",TRIM('Template Setup'!$C$4))+1,10)),0))</f>
        <v/>
      </c>
      <c r="M451" s="11" t="str">
        <f>IF($A451="","",IFERROR(VALUE(MID(TRIM('Template Setup'!$C$5),FIND("-",TRIM('Template Setup'!$C$5))+1,10)),0))</f>
        <v/>
      </c>
      <c r="N451" s="11" t="str">
        <f>IF($A451="","",IFERROR(VALUE(MID(TRIM('Template Setup'!$C$6),FIND("-",TRIM('Template Setup'!$C$6))+1,10)),0))</f>
        <v/>
      </c>
      <c r="O451" s="11" t="str">
        <f>IF($A451="","",IFERROR(VALUE(MID(TRIM('Template Setup'!$C$7),FIND("-",TRIM('Template Setup'!$C$7))+1,10)),0))</f>
        <v/>
      </c>
      <c r="P451" s="11" t="str">
        <f>IF($A451="","",IFERROR(VALUE(MID(TRIM('Template Setup'!$C$8),FIND("-",TRIM('Template Setup'!$C$8))+1,10)),0))</f>
        <v/>
      </c>
      <c r="Q451" s="9" t="str">
        <f>IF($A451="","",$A451&amp;"-"&amp;'Template Setup'!$C$16)</f>
        <v/>
      </c>
      <c r="R451" s="24" t="str">
        <f t="shared" si="29"/>
        <v/>
      </c>
      <c r="S451" s="24"/>
      <c r="T451" s="24" t="str">
        <f t="shared" si="30"/>
        <v/>
      </c>
      <c r="U451" s="6" t="str">
        <f t="shared" si="28"/>
        <v/>
      </c>
    </row>
    <row r="452" spans="1:21">
      <c r="A452" s="11"/>
      <c r="B452" s="11"/>
      <c r="C452" s="11"/>
      <c r="D452" s="11" t="str">
        <f>IF($A452="","",_xlfn.TEXTJOIN(", ",TRUE,IF($G452&gt;0,'Template Setup'!$C$4,""),IF($H452&gt;0,'Template Setup'!$C$5,""),IF($I452&gt;0,'Template Setup'!$C$6,""),IF($J452&gt;0,'Template Setup'!$C$7,""),IF($K452&gt;0,'Template Setup'!$C$8,"")))</f>
        <v/>
      </c>
      <c r="E452" s="6" t="str" cm="1">
        <f t="array" ref="E452">IF($A452="","",_xlfn.LET(_xlpm.sheets,CHOOSE({1,2,3,4,5},'Template Setup'!$C$4,'Template Setup'!$C$5,'Template Setup'!$C$6,'Template Setup'!$C$7,'Template Setup'!$C$8),_xlpm.nums,CHOOSE({1,2,3,4,5},$L452,$M452,$N452,$O452,$P452),_xlpm.qtys,CHOOSE({1,2,3,4,5},$G452,$H452,$I452,$J452,$K452),_xlpm.validNums,_xlfn._xlws.FILTER(_xlpm.nums,_xlpm.qtys&gt;0),_xlpm.validSheets,_xlfn._xlws.FILTER(_xlpm.sheets,_xlpm.qtys&gt;0),_xlpm.mx,IFERROR(MAX(_xlpm.validNums),0),IF(_xlpm.mx=0,"",INDEX(_xlpm.validSheets,MATCH(_xlpm.mx,_xlpm.validNums,0))&amp;" (+"&amp;$R452&amp;")")))</f>
        <v/>
      </c>
      <c r="F452" s="11" t="str">
        <f t="shared" si="31"/>
        <v/>
      </c>
      <c r="G452" s="12" t="str">
        <f ca="1">IF($A452="","",IFERROR(SUMIF(INDIRECT("'"&amp;'Template Setup'!$C$4&amp;"'!C:C"),$A452,INDIRECT("'"&amp;'Template Setup'!$C$4&amp;"'!A:A")),0))</f>
        <v/>
      </c>
      <c r="H452" s="12" t="str">
        <f ca="1">IF($A452="","",IFERROR(SUMIF(INDIRECT("'"&amp;'Template Setup'!$C$5&amp;"'!C:C"),$A452,INDIRECT("'"&amp;'Template Setup'!$C$5&amp;"'!A:A")),0))</f>
        <v/>
      </c>
      <c r="I452" s="12" t="str">
        <f ca="1">IF($A452="","",IFERROR(SUMIF(INDIRECT("'"&amp;'Template Setup'!$C$6&amp;"'!C:C"),$A452,INDIRECT("'"&amp;'Template Setup'!$C$6&amp;"'!A:A")),0))</f>
        <v/>
      </c>
      <c r="J452" s="12" t="str">
        <f ca="1">IF($A452="","",IFERROR(SUMIF(INDIRECT("'"&amp;'Template Setup'!$C$7&amp;"'!C:C"),$A452,INDIRECT("'"&amp;'Template Setup'!$C$7&amp;"'!A:A")),0))</f>
        <v/>
      </c>
      <c r="K452" s="12" t="str">
        <f ca="1">IF($A452="","",IFERROR(SUMIF(INDIRECT("'"&amp;'Template Setup'!$C$8&amp;"'!C:C"),$A452,INDIRECT("'"&amp;'Template Setup'!$C$8&amp;"'!A:A")),0))</f>
        <v/>
      </c>
      <c r="L452" s="11" t="str">
        <f>IF($A452="","",IFERROR(VALUE(MID(TRIM('Template Setup'!$C$4),FIND("-",TRIM('Template Setup'!$C$4))+1,10)),0))</f>
        <v/>
      </c>
      <c r="M452" s="11" t="str">
        <f>IF($A452="","",IFERROR(VALUE(MID(TRIM('Template Setup'!$C$5),FIND("-",TRIM('Template Setup'!$C$5))+1,10)),0))</f>
        <v/>
      </c>
      <c r="N452" s="11" t="str">
        <f>IF($A452="","",IFERROR(VALUE(MID(TRIM('Template Setup'!$C$6),FIND("-",TRIM('Template Setup'!$C$6))+1,10)),0))</f>
        <v/>
      </c>
      <c r="O452" s="11" t="str">
        <f>IF($A452="","",IFERROR(VALUE(MID(TRIM('Template Setup'!$C$7),FIND("-",TRIM('Template Setup'!$C$7))+1,10)),0))</f>
        <v/>
      </c>
      <c r="P452" s="11" t="str">
        <f>IF($A452="","",IFERROR(VALUE(MID(TRIM('Template Setup'!$C$8),FIND("-",TRIM('Template Setup'!$C$8))+1,10)),0))</f>
        <v/>
      </c>
      <c r="Q452" s="9" t="str">
        <f>IF($A452="","",$A452&amp;"-"&amp;'Template Setup'!$C$16)</f>
        <v/>
      </c>
      <c r="R452" s="24" t="str">
        <f t="shared" si="29"/>
        <v/>
      </c>
      <c r="S452" s="24"/>
      <c r="T452" s="24" t="str">
        <f t="shared" si="30"/>
        <v/>
      </c>
      <c r="U452" s="6" t="str">
        <f t="shared" si="28"/>
        <v/>
      </c>
    </row>
    <row r="453" spans="1:21">
      <c r="A453" s="11"/>
      <c r="B453" s="11"/>
      <c r="C453" s="11"/>
      <c r="D453" s="11" t="str">
        <f>IF($A453="","",_xlfn.TEXTJOIN(", ",TRUE,IF($G453&gt;0,'Template Setup'!$C$4,""),IF($H453&gt;0,'Template Setup'!$C$5,""),IF($I453&gt;0,'Template Setup'!$C$6,""),IF($J453&gt;0,'Template Setup'!$C$7,""),IF($K453&gt;0,'Template Setup'!$C$8,"")))</f>
        <v/>
      </c>
      <c r="E453" s="6" t="str" cm="1">
        <f t="array" ref="E453">IF($A453="","",_xlfn.LET(_xlpm.sheets,CHOOSE({1,2,3,4,5},'Template Setup'!$C$4,'Template Setup'!$C$5,'Template Setup'!$C$6,'Template Setup'!$C$7,'Template Setup'!$C$8),_xlpm.nums,CHOOSE({1,2,3,4,5},$L453,$M453,$N453,$O453,$P453),_xlpm.qtys,CHOOSE({1,2,3,4,5},$G453,$H453,$I453,$J453,$K453),_xlpm.validNums,_xlfn._xlws.FILTER(_xlpm.nums,_xlpm.qtys&gt;0),_xlpm.validSheets,_xlfn._xlws.FILTER(_xlpm.sheets,_xlpm.qtys&gt;0),_xlpm.mx,IFERROR(MAX(_xlpm.validNums),0),IF(_xlpm.mx=0,"",INDEX(_xlpm.validSheets,MATCH(_xlpm.mx,_xlpm.validNums,0))&amp;" (+"&amp;$R453&amp;")")))</f>
        <v/>
      </c>
      <c r="F453" s="11" t="str">
        <f t="shared" si="31"/>
        <v/>
      </c>
      <c r="G453" s="12" t="str">
        <f ca="1">IF($A453="","",IFERROR(SUMIF(INDIRECT("'"&amp;'Template Setup'!$C$4&amp;"'!C:C"),$A453,INDIRECT("'"&amp;'Template Setup'!$C$4&amp;"'!A:A")),0))</f>
        <v/>
      </c>
      <c r="H453" s="12" t="str">
        <f ca="1">IF($A453="","",IFERROR(SUMIF(INDIRECT("'"&amp;'Template Setup'!$C$5&amp;"'!C:C"),$A453,INDIRECT("'"&amp;'Template Setup'!$C$5&amp;"'!A:A")),0))</f>
        <v/>
      </c>
      <c r="I453" s="12" t="str">
        <f ca="1">IF($A453="","",IFERROR(SUMIF(INDIRECT("'"&amp;'Template Setup'!$C$6&amp;"'!C:C"),$A453,INDIRECT("'"&amp;'Template Setup'!$C$6&amp;"'!A:A")),0))</f>
        <v/>
      </c>
      <c r="J453" s="12" t="str">
        <f ca="1">IF($A453="","",IFERROR(SUMIF(INDIRECT("'"&amp;'Template Setup'!$C$7&amp;"'!C:C"),$A453,INDIRECT("'"&amp;'Template Setup'!$C$7&amp;"'!A:A")),0))</f>
        <v/>
      </c>
      <c r="K453" s="12" t="str">
        <f ca="1">IF($A453="","",IFERROR(SUMIF(INDIRECT("'"&amp;'Template Setup'!$C$8&amp;"'!C:C"),$A453,INDIRECT("'"&amp;'Template Setup'!$C$8&amp;"'!A:A")),0))</f>
        <v/>
      </c>
      <c r="L453" s="11" t="str">
        <f>IF($A453="","",IFERROR(VALUE(MID(TRIM('Template Setup'!$C$4),FIND("-",TRIM('Template Setup'!$C$4))+1,10)),0))</f>
        <v/>
      </c>
      <c r="M453" s="11" t="str">
        <f>IF($A453="","",IFERROR(VALUE(MID(TRIM('Template Setup'!$C$5),FIND("-",TRIM('Template Setup'!$C$5))+1,10)),0))</f>
        <v/>
      </c>
      <c r="N453" s="11" t="str">
        <f>IF($A453="","",IFERROR(VALUE(MID(TRIM('Template Setup'!$C$6),FIND("-",TRIM('Template Setup'!$C$6))+1,10)),0))</f>
        <v/>
      </c>
      <c r="O453" s="11" t="str">
        <f>IF($A453="","",IFERROR(VALUE(MID(TRIM('Template Setup'!$C$7),FIND("-",TRIM('Template Setup'!$C$7))+1,10)),0))</f>
        <v/>
      </c>
      <c r="P453" s="11" t="str">
        <f>IF($A453="","",IFERROR(VALUE(MID(TRIM('Template Setup'!$C$8),FIND("-",TRIM('Template Setup'!$C$8))+1,10)),0))</f>
        <v/>
      </c>
      <c r="Q453" s="9" t="str">
        <f>IF($A453="","",$A453&amp;"-"&amp;'Template Setup'!$C$16)</f>
        <v/>
      </c>
      <c r="R453" s="24" t="str">
        <f t="shared" si="29"/>
        <v/>
      </c>
      <c r="S453" s="24"/>
      <c r="T453" s="24" t="str">
        <f t="shared" si="30"/>
        <v/>
      </c>
      <c r="U453" s="6" t="str">
        <f t="shared" si="28"/>
        <v/>
      </c>
    </row>
    <row r="454" spans="1:21">
      <c r="A454" s="11"/>
      <c r="B454" s="11"/>
      <c r="C454" s="11"/>
      <c r="D454" s="11" t="str">
        <f>IF($A454="","",_xlfn.TEXTJOIN(", ",TRUE,IF($G454&gt;0,'Template Setup'!$C$4,""),IF($H454&gt;0,'Template Setup'!$C$5,""),IF($I454&gt;0,'Template Setup'!$C$6,""),IF($J454&gt;0,'Template Setup'!$C$7,""),IF($K454&gt;0,'Template Setup'!$C$8,"")))</f>
        <v/>
      </c>
      <c r="E454" s="6" t="str" cm="1">
        <f t="array" ref="E454">IF($A454="","",_xlfn.LET(_xlpm.sheets,CHOOSE({1,2,3,4,5},'Template Setup'!$C$4,'Template Setup'!$C$5,'Template Setup'!$C$6,'Template Setup'!$C$7,'Template Setup'!$C$8),_xlpm.nums,CHOOSE({1,2,3,4,5},$L454,$M454,$N454,$O454,$P454),_xlpm.qtys,CHOOSE({1,2,3,4,5},$G454,$H454,$I454,$J454,$K454),_xlpm.validNums,_xlfn._xlws.FILTER(_xlpm.nums,_xlpm.qtys&gt;0),_xlpm.validSheets,_xlfn._xlws.FILTER(_xlpm.sheets,_xlpm.qtys&gt;0),_xlpm.mx,IFERROR(MAX(_xlpm.validNums),0),IF(_xlpm.mx=0,"",INDEX(_xlpm.validSheets,MATCH(_xlpm.mx,_xlpm.validNums,0))&amp;" (+"&amp;$R454&amp;")")))</f>
        <v/>
      </c>
      <c r="F454" s="11" t="str">
        <f t="shared" si="31"/>
        <v/>
      </c>
      <c r="G454" s="12" t="str">
        <f ca="1">IF($A454="","",IFERROR(SUMIF(INDIRECT("'"&amp;'Template Setup'!$C$4&amp;"'!C:C"),$A454,INDIRECT("'"&amp;'Template Setup'!$C$4&amp;"'!A:A")),0))</f>
        <v/>
      </c>
      <c r="H454" s="12" t="str">
        <f ca="1">IF($A454="","",IFERROR(SUMIF(INDIRECT("'"&amp;'Template Setup'!$C$5&amp;"'!C:C"),$A454,INDIRECT("'"&amp;'Template Setup'!$C$5&amp;"'!A:A")),0))</f>
        <v/>
      </c>
      <c r="I454" s="12" t="str">
        <f ca="1">IF($A454="","",IFERROR(SUMIF(INDIRECT("'"&amp;'Template Setup'!$C$6&amp;"'!C:C"),$A454,INDIRECT("'"&amp;'Template Setup'!$C$6&amp;"'!A:A")),0))</f>
        <v/>
      </c>
      <c r="J454" s="12" t="str">
        <f ca="1">IF($A454="","",IFERROR(SUMIF(INDIRECT("'"&amp;'Template Setup'!$C$7&amp;"'!C:C"),$A454,INDIRECT("'"&amp;'Template Setup'!$C$7&amp;"'!A:A")),0))</f>
        <v/>
      </c>
      <c r="K454" s="12" t="str">
        <f ca="1">IF($A454="","",IFERROR(SUMIF(INDIRECT("'"&amp;'Template Setup'!$C$8&amp;"'!C:C"),$A454,INDIRECT("'"&amp;'Template Setup'!$C$8&amp;"'!A:A")),0))</f>
        <v/>
      </c>
      <c r="L454" s="11" t="str">
        <f>IF($A454="","",IFERROR(VALUE(MID(TRIM('Template Setup'!$C$4),FIND("-",TRIM('Template Setup'!$C$4))+1,10)),0))</f>
        <v/>
      </c>
      <c r="M454" s="11" t="str">
        <f>IF($A454="","",IFERROR(VALUE(MID(TRIM('Template Setup'!$C$5),FIND("-",TRIM('Template Setup'!$C$5))+1,10)),0))</f>
        <v/>
      </c>
      <c r="N454" s="11" t="str">
        <f>IF($A454="","",IFERROR(VALUE(MID(TRIM('Template Setup'!$C$6),FIND("-",TRIM('Template Setup'!$C$6))+1,10)),0))</f>
        <v/>
      </c>
      <c r="O454" s="11" t="str">
        <f>IF($A454="","",IFERROR(VALUE(MID(TRIM('Template Setup'!$C$7),FIND("-",TRIM('Template Setup'!$C$7))+1,10)),0))</f>
        <v/>
      </c>
      <c r="P454" s="11" t="str">
        <f>IF($A454="","",IFERROR(VALUE(MID(TRIM('Template Setup'!$C$8),FIND("-",TRIM('Template Setup'!$C$8))+1,10)),0))</f>
        <v/>
      </c>
      <c r="Q454" s="9" t="str">
        <f>IF($A454="","",$A454&amp;"-"&amp;'Template Setup'!$C$16)</f>
        <v/>
      </c>
      <c r="R454" s="24" t="str">
        <f t="shared" si="29"/>
        <v/>
      </c>
      <c r="S454" s="24"/>
      <c r="T454" s="24" t="str">
        <f t="shared" si="30"/>
        <v/>
      </c>
      <c r="U454" s="6" t="str">
        <f t="shared" si="28"/>
        <v/>
      </c>
    </row>
    <row r="455" spans="1:21">
      <c r="A455" s="11"/>
      <c r="B455" s="11"/>
      <c r="C455" s="11"/>
      <c r="D455" s="11" t="str">
        <f>IF($A455="","",_xlfn.TEXTJOIN(", ",TRUE,IF($G455&gt;0,'Template Setup'!$C$4,""),IF($H455&gt;0,'Template Setup'!$C$5,""),IF($I455&gt;0,'Template Setup'!$C$6,""),IF($J455&gt;0,'Template Setup'!$C$7,""),IF($K455&gt;0,'Template Setup'!$C$8,"")))</f>
        <v/>
      </c>
      <c r="E455" s="6" t="str" cm="1">
        <f t="array" ref="E455">IF($A455="","",_xlfn.LET(_xlpm.sheets,CHOOSE({1,2,3,4,5},'Template Setup'!$C$4,'Template Setup'!$C$5,'Template Setup'!$C$6,'Template Setup'!$C$7,'Template Setup'!$C$8),_xlpm.nums,CHOOSE({1,2,3,4,5},$L455,$M455,$N455,$O455,$P455),_xlpm.qtys,CHOOSE({1,2,3,4,5},$G455,$H455,$I455,$J455,$K455),_xlpm.validNums,_xlfn._xlws.FILTER(_xlpm.nums,_xlpm.qtys&gt;0),_xlpm.validSheets,_xlfn._xlws.FILTER(_xlpm.sheets,_xlpm.qtys&gt;0),_xlpm.mx,IFERROR(MAX(_xlpm.validNums),0),IF(_xlpm.mx=0,"",INDEX(_xlpm.validSheets,MATCH(_xlpm.mx,_xlpm.validNums,0))&amp;" (+"&amp;$R455&amp;")")))</f>
        <v/>
      </c>
      <c r="F455" s="11" t="str">
        <f t="shared" si="31"/>
        <v/>
      </c>
      <c r="G455" s="12" t="str">
        <f ca="1">IF($A455="","",IFERROR(SUMIF(INDIRECT("'"&amp;'Template Setup'!$C$4&amp;"'!C:C"),$A455,INDIRECT("'"&amp;'Template Setup'!$C$4&amp;"'!A:A")),0))</f>
        <v/>
      </c>
      <c r="H455" s="12" t="str">
        <f ca="1">IF($A455="","",IFERROR(SUMIF(INDIRECT("'"&amp;'Template Setup'!$C$5&amp;"'!C:C"),$A455,INDIRECT("'"&amp;'Template Setup'!$C$5&amp;"'!A:A")),0))</f>
        <v/>
      </c>
      <c r="I455" s="12" t="str">
        <f ca="1">IF($A455="","",IFERROR(SUMIF(INDIRECT("'"&amp;'Template Setup'!$C$6&amp;"'!C:C"),$A455,INDIRECT("'"&amp;'Template Setup'!$C$6&amp;"'!A:A")),0))</f>
        <v/>
      </c>
      <c r="J455" s="12" t="str">
        <f ca="1">IF($A455="","",IFERROR(SUMIF(INDIRECT("'"&amp;'Template Setup'!$C$7&amp;"'!C:C"),$A455,INDIRECT("'"&amp;'Template Setup'!$C$7&amp;"'!A:A")),0))</f>
        <v/>
      </c>
      <c r="K455" s="12" t="str">
        <f ca="1">IF($A455="","",IFERROR(SUMIF(INDIRECT("'"&amp;'Template Setup'!$C$8&amp;"'!C:C"),$A455,INDIRECT("'"&amp;'Template Setup'!$C$8&amp;"'!A:A")),0))</f>
        <v/>
      </c>
      <c r="L455" s="11" t="str">
        <f>IF($A455="","",IFERROR(VALUE(MID(TRIM('Template Setup'!$C$4),FIND("-",TRIM('Template Setup'!$C$4))+1,10)),0))</f>
        <v/>
      </c>
      <c r="M455" s="11" t="str">
        <f>IF($A455="","",IFERROR(VALUE(MID(TRIM('Template Setup'!$C$5),FIND("-",TRIM('Template Setup'!$C$5))+1,10)),0))</f>
        <v/>
      </c>
      <c r="N455" s="11" t="str">
        <f>IF($A455="","",IFERROR(VALUE(MID(TRIM('Template Setup'!$C$6),FIND("-",TRIM('Template Setup'!$C$6))+1,10)),0))</f>
        <v/>
      </c>
      <c r="O455" s="11" t="str">
        <f>IF($A455="","",IFERROR(VALUE(MID(TRIM('Template Setup'!$C$7),FIND("-",TRIM('Template Setup'!$C$7))+1,10)),0))</f>
        <v/>
      </c>
      <c r="P455" s="11" t="str">
        <f>IF($A455="","",IFERROR(VALUE(MID(TRIM('Template Setup'!$C$8),FIND("-",TRIM('Template Setup'!$C$8))+1,10)),0))</f>
        <v/>
      </c>
      <c r="Q455" s="9" t="str">
        <f>IF($A455="","",$A455&amp;"-"&amp;'Template Setup'!$C$16)</f>
        <v/>
      </c>
      <c r="R455" s="24" t="str">
        <f t="shared" si="29"/>
        <v/>
      </c>
      <c r="S455" s="24"/>
      <c r="T455" s="24" t="str">
        <f t="shared" si="30"/>
        <v/>
      </c>
      <c r="U455" s="6" t="str">
        <f t="shared" si="28"/>
        <v/>
      </c>
    </row>
    <row r="456" spans="1:21">
      <c r="A456" s="11"/>
      <c r="B456" s="11"/>
      <c r="C456" s="11"/>
      <c r="D456" s="11" t="str">
        <f>IF($A456="","",_xlfn.TEXTJOIN(", ",TRUE,IF($G456&gt;0,'Template Setup'!$C$4,""),IF($H456&gt;0,'Template Setup'!$C$5,""),IF($I456&gt;0,'Template Setup'!$C$6,""),IF($J456&gt;0,'Template Setup'!$C$7,""),IF($K456&gt;0,'Template Setup'!$C$8,"")))</f>
        <v/>
      </c>
      <c r="E456" s="6" t="str" cm="1">
        <f t="array" ref="E456">IF($A456="","",_xlfn.LET(_xlpm.sheets,CHOOSE({1,2,3,4,5},'Template Setup'!$C$4,'Template Setup'!$C$5,'Template Setup'!$C$6,'Template Setup'!$C$7,'Template Setup'!$C$8),_xlpm.nums,CHOOSE({1,2,3,4,5},$L456,$M456,$N456,$O456,$P456),_xlpm.qtys,CHOOSE({1,2,3,4,5},$G456,$H456,$I456,$J456,$K456),_xlpm.validNums,_xlfn._xlws.FILTER(_xlpm.nums,_xlpm.qtys&gt;0),_xlpm.validSheets,_xlfn._xlws.FILTER(_xlpm.sheets,_xlpm.qtys&gt;0),_xlpm.mx,IFERROR(MAX(_xlpm.validNums),0),IF(_xlpm.mx=0,"",INDEX(_xlpm.validSheets,MATCH(_xlpm.mx,_xlpm.validNums,0))&amp;" (+"&amp;$R456&amp;")")))</f>
        <v/>
      </c>
      <c r="F456" s="11" t="str">
        <f t="shared" si="31"/>
        <v/>
      </c>
      <c r="G456" s="12" t="str">
        <f ca="1">IF($A456="","",IFERROR(SUMIF(INDIRECT("'"&amp;'Template Setup'!$C$4&amp;"'!C:C"),$A456,INDIRECT("'"&amp;'Template Setup'!$C$4&amp;"'!A:A")),0))</f>
        <v/>
      </c>
      <c r="H456" s="12" t="str">
        <f ca="1">IF($A456="","",IFERROR(SUMIF(INDIRECT("'"&amp;'Template Setup'!$C$5&amp;"'!C:C"),$A456,INDIRECT("'"&amp;'Template Setup'!$C$5&amp;"'!A:A")),0))</f>
        <v/>
      </c>
      <c r="I456" s="12" t="str">
        <f ca="1">IF($A456="","",IFERROR(SUMIF(INDIRECT("'"&amp;'Template Setup'!$C$6&amp;"'!C:C"),$A456,INDIRECT("'"&amp;'Template Setup'!$C$6&amp;"'!A:A")),0))</f>
        <v/>
      </c>
      <c r="J456" s="12" t="str">
        <f ca="1">IF($A456="","",IFERROR(SUMIF(INDIRECT("'"&amp;'Template Setup'!$C$7&amp;"'!C:C"),$A456,INDIRECT("'"&amp;'Template Setup'!$C$7&amp;"'!A:A")),0))</f>
        <v/>
      </c>
      <c r="K456" s="12" t="str">
        <f ca="1">IF($A456="","",IFERROR(SUMIF(INDIRECT("'"&amp;'Template Setup'!$C$8&amp;"'!C:C"),$A456,INDIRECT("'"&amp;'Template Setup'!$C$8&amp;"'!A:A")),0))</f>
        <v/>
      </c>
      <c r="L456" s="11" t="str">
        <f>IF($A456="","",IFERROR(VALUE(MID(TRIM('Template Setup'!$C$4),FIND("-",TRIM('Template Setup'!$C$4))+1,10)),0))</f>
        <v/>
      </c>
      <c r="M456" s="11" t="str">
        <f>IF($A456="","",IFERROR(VALUE(MID(TRIM('Template Setup'!$C$5),FIND("-",TRIM('Template Setup'!$C$5))+1,10)),0))</f>
        <v/>
      </c>
      <c r="N456" s="11" t="str">
        <f>IF($A456="","",IFERROR(VALUE(MID(TRIM('Template Setup'!$C$6),FIND("-",TRIM('Template Setup'!$C$6))+1,10)),0))</f>
        <v/>
      </c>
      <c r="O456" s="11" t="str">
        <f>IF($A456="","",IFERROR(VALUE(MID(TRIM('Template Setup'!$C$7),FIND("-",TRIM('Template Setup'!$C$7))+1,10)),0))</f>
        <v/>
      </c>
      <c r="P456" s="11" t="str">
        <f>IF($A456="","",IFERROR(VALUE(MID(TRIM('Template Setup'!$C$8),FIND("-",TRIM('Template Setup'!$C$8))+1,10)),0))</f>
        <v/>
      </c>
      <c r="Q456" s="9" t="str">
        <f>IF($A456="","",$A456&amp;"-"&amp;'Template Setup'!$C$16)</f>
        <v/>
      </c>
      <c r="R456" s="24" t="str">
        <f t="shared" si="29"/>
        <v/>
      </c>
      <c r="S456" s="24"/>
      <c r="T456" s="24" t="str">
        <f t="shared" si="30"/>
        <v/>
      </c>
      <c r="U456" s="6" t="str">
        <f t="shared" si="28"/>
        <v/>
      </c>
    </row>
    <row r="457" spans="1:21">
      <c r="A457" s="11"/>
      <c r="B457" s="11"/>
      <c r="C457" s="11"/>
      <c r="D457" s="11" t="str">
        <f>IF($A457="","",_xlfn.TEXTJOIN(", ",TRUE,IF($G457&gt;0,'Template Setup'!$C$4,""),IF($H457&gt;0,'Template Setup'!$C$5,""),IF($I457&gt;0,'Template Setup'!$C$6,""),IF($J457&gt;0,'Template Setup'!$C$7,""),IF($K457&gt;0,'Template Setup'!$C$8,"")))</f>
        <v/>
      </c>
      <c r="E457" s="6" t="str" cm="1">
        <f t="array" ref="E457">IF($A457="","",_xlfn.LET(_xlpm.sheets,CHOOSE({1,2,3,4,5},'Template Setup'!$C$4,'Template Setup'!$C$5,'Template Setup'!$C$6,'Template Setup'!$C$7,'Template Setup'!$C$8),_xlpm.nums,CHOOSE({1,2,3,4,5},$L457,$M457,$N457,$O457,$P457),_xlpm.qtys,CHOOSE({1,2,3,4,5},$G457,$H457,$I457,$J457,$K457),_xlpm.validNums,_xlfn._xlws.FILTER(_xlpm.nums,_xlpm.qtys&gt;0),_xlpm.validSheets,_xlfn._xlws.FILTER(_xlpm.sheets,_xlpm.qtys&gt;0),_xlpm.mx,IFERROR(MAX(_xlpm.validNums),0),IF(_xlpm.mx=0,"",INDEX(_xlpm.validSheets,MATCH(_xlpm.mx,_xlpm.validNums,0))&amp;" (+"&amp;$R457&amp;")")))</f>
        <v/>
      </c>
      <c r="F457" s="11" t="str">
        <f t="shared" si="31"/>
        <v/>
      </c>
      <c r="G457" s="12" t="str">
        <f ca="1">IF($A457="","",IFERROR(SUMIF(INDIRECT("'"&amp;'Template Setup'!$C$4&amp;"'!C:C"),$A457,INDIRECT("'"&amp;'Template Setup'!$C$4&amp;"'!A:A")),0))</f>
        <v/>
      </c>
      <c r="H457" s="12" t="str">
        <f ca="1">IF($A457="","",IFERROR(SUMIF(INDIRECT("'"&amp;'Template Setup'!$C$5&amp;"'!C:C"),$A457,INDIRECT("'"&amp;'Template Setup'!$C$5&amp;"'!A:A")),0))</f>
        <v/>
      </c>
      <c r="I457" s="12" t="str">
        <f ca="1">IF($A457="","",IFERROR(SUMIF(INDIRECT("'"&amp;'Template Setup'!$C$6&amp;"'!C:C"),$A457,INDIRECT("'"&amp;'Template Setup'!$C$6&amp;"'!A:A")),0))</f>
        <v/>
      </c>
      <c r="J457" s="12" t="str">
        <f ca="1">IF($A457="","",IFERROR(SUMIF(INDIRECT("'"&amp;'Template Setup'!$C$7&amp;"'!C:C"),$A457,INDIRECT("'"&amp;'Template Setup'!$C$7&amp;"'!A:A")),0))</f>
        <v/>
      </c>
      <c r="K457" s="12" t="str">
        <f ca="1">IF($A457="","",IFERROR(SUMIF(INDIRECT("'"&amp;'Template Setup'!$C$8&amp;"'!C:C"),$A457,INDIRECT("'"&amp;'Template Setup'!$C$8&amp;"'!A:A")),0))</f>
        <v/>
      </c>
      <c r="L457" s="11" t="str">
        <f>IF($A457="","",IFERROR(VALUE(MID(TRIM('Template Setup'!$C$4),FIND("-",TRIM('Template Setup'!$C$4))+1,10)),0))</f>
        <v/>
      </c>
      <c r="M457" s="11" t="str">
        <f>IF($A457="","",IFERROR(VALUE(MID(TRIM('Template Setup'!$C$5),FIND("-",TRIM('Template Setup'!$C$5))+1,10)),0))</f>
        <v/>
      </c>
      <c r="N457" s="11" t="str">
        <f>IF($A457="","",IFERROR(VALUE(MID(TRIM('Template Setup'!$C$6),FIND("-",TRIM('Template Setup'!$C$6))+1,10)),0))</f>
        <v/>
      </c>
      <c r="O457" s="11" t="str">
        <f>IF($A457="","",IFERROR(VALUE(MID(TRIM('Template Setup'!$C$7),FIND("-",TRIM('Template Setup'!$C$7))+1,10)),0))</f>
        <v/>
      </c>
      <c r="P457" s="11" t="str">
        <f>IF($A457="","",IFERROR(VALUE(MID(TRIM('Template Setup'!$C$8),FIND("-",TRIM('Template Setup'!$C$8))+1,10)),0))</f>
        <v/>
      </c>
      <c r="Q457" s="9" t="str">
        <f>IF($A457="","",$A457&amp;"-"&amp;'Template Setup'!$C$16)</f>
        <v/>
      </c>
      <c r="R457" s="24" t="str">
        <f t="shared" si="29"/>
        <v/>
      </c>
      <c r="S457" s="24"/>
      <c r="T457" s="24" t="str">
        <f t="shared" si="30"/>
        <v/>
      </c>
      <c r="U457" s="6" t="str">
        <f t="shared" si="28"/>
        <v/>
      </c>
    </row>
    <row r="458" spans="1:21">
      <c r="A458" s="11"/>
      <c r="B458" s="11"/>
      <c r="C458" s="11"/>
      <c r="D458" s="11" t="str">
        <f>IF($A458="","",_xlfn.TEXTJOIN(", ",TRUE,IF($G458&gt;0,'Template Setup'!$C$4,""),IF($H458&gt;0,'Template Setup'!$C$5,""),IF($I458&gt;0,'Template Setup'!$C$6,""),IF($J458&gt;0,'Template Setup'!$C$7,""),IF($K458&gt;0,'Template Setup'!$C$8,"")))</f>
        <v/>
      </c>
      <c r="E458" s="6" t="str" cm="1">
        <f t="array" ref="E458">IF($A458="","",_xlfn.LET(_xlpm.sheets,CHOOSE({1,2,3,4,5},'Template Setup'!$C$4,'Template Setup'!$C$5,'Template Setup'!$C$6,'Template Setup'!$C$7,'Template Setup'!$C$8),_xlpm.nums,CHOOSE({1,2,3,4,5},$L458,$M458,$N458,$O458,$P458),_xlpm.qtys,CHOOSE({1,2,3,4,5},$G458,$H458,$I458,$J458,$K458),_xlpm.validNums,_xlfn._xlws.FILTER(_xlpm.nums,_xlpm.qtys&gt;0),_xlpm.validSheets,_xlfn._xlws.FILTER(_xlpm.sheets,_xlpm.qtys&gt;0),_xlpm.mx,IFERROR(MAX(_xlpm.validNums),0),IF(_xlpm.mx=0,"",INDEX(_xlpm.validSheets,MATCH(_xlpm.mx,_xlpm.validNums,0))&amp;" (+"&amp;$R458&amp;")")))</f>
        <v/>
      </c>
      <c r="F458" s="11" t="str">
        <f t="shared" si="31"/>
        <v/>
      </c>
      <c r="G458" s="12" t="str">
        <f ca="1">IF($A458="","",IFERROR(SUMIF(INDIRECT("'"&amp;'Template Setup'!$C$4&amp;"'!C:C"),$A458,INDIRECT("'"&amp;'Template Setup'!$C$4&amp;"'!A:A")),0))</f>
        <v/>
      </c>
      <c r="H458" s="12" t="str">
        <f ca="1">IF($A458="","",IFERROR(SUMIF(INDIRECT("'"&amp;'Template Setup'!$C$5&amp;"'!C:C"),$A458,INDIRECT("'"&amp;'Template Setup'!$C$5&amp;"'!A:A")),0))</f>
        <v/>
      </c>
      <c r="I458" s="12" t="str">
        <f ca="1">IF($A458="","",IFERROR(SUMIF(INDIRECT("'"&amp;'Template Setup'!$C$6&amp;"'!C:C"),$A458,INDIRECT("'"&amp;'Template Setup'!$C$6&amp;"'!A:A")),0))</f>
        <v/>
      </c>
      <c r="J458" s="12" t="str">
        <f ca="1">IF($A458="","",IFERROR(SUMIF(INDIRECT("'"&amp;'Template Setup'!$C$7&amp;"'!C:C"),$A458,INDIRECT("'"&amp;'Template Setup'!$C$7&amp;"'!A:A")),0))</f>
        <v/>
      </c>
      <c r="K458" s="12" t="str">
        <f ca="1">IF($A458="","",IFERROR(SUMIF(INDIRECT("'"&amp;'Template Setup'!$C$8&amp;"'!C:C"),$A458,INDIRECT("'"&amp;'Template Setup'!$C$8&amp;"'!A:A")),0))</f>
        <v/>
      </c>
      <c r="L458" s="11" t="str">
        <f>IF($A458="","",IFERROR(VALUE(MID(TRIM('Template Setup'!$C$4),FIND("-",TRIM('Template Setup'!$C$4))+1,10)),0))</f>
        <v/>
      </c>
      <c r="M458" s="11" t="str">
        <f>IF($A458="","",IFERROR(VALUE(MID(TRIM('Template Setup'!$C$5),FIND("-",TRIM('Template Setup'!$C$5))+1,10)),0))</f>
        <v/>
      </c>
      <c r="N458" s="11" t="str">
        <f>IF($A458="","",IFERROR(VALUE(MID(TRIM('Template Setup'!$C$6),FIND("-",TRIM('Template Setup'!$C$6))+1,10)),0))</f>
        <v/>
      </c>
      <c r="O458" s="11" t="str">
        <f>IF($A458="","",IFERROR(VALUE(MID(TRIM('Template Setup'!$C$7),FIND("-",TRIM('Template Setup'!$C$7))+1,10)),0))</f>
        <v/>
      </c>
      <c r="P458" s="11" t="str">
        <f>IF($A458="","",IFERROR(VALUE(MID(TRIM('Template Setup'!$C$8),FIND("-",TRIM('Template Setup'!$C$8))+1,10)),0))</f>
        <v/>
      </c>
      <c r="Q458" s="9" t="str">
        <f>IF($A458="","",$A458&amp;"-"&amp;'Template Setup'!$C$16)</f>
        <v/>
      </c>
      <c r="R458" s="24" t="str">
        <f t="shared" si="29"/>
        <v/>
      </c>
      <c r="S458" s="24"/>
      <c r="T458" s="24" t="str">
        <f t="shared" si="30"/>
        <v/>
      </c>
      <c r="U458" s="6" t="str">
        <f t="shared" si="28"/>
        <v/>
      </c>
    </row>
    <row r="459" spans="1:21">
      <c r="A459" s="11"/>
      <c r="B459" s="11"/>
      <c r="C459" s="11"/>
      <c r="D459" s="11" t="str">
        <f>IF($A459="","",_xlfn.TEXTJOIN(", ",TRUE,IF($G459&gt;0,'Template Setup'!$C$4,""),IF($H459&gt;0,'Template Setup'!$C$5,""),IF($I459&gt;0,'Template Setup'!$C$6,""),IF($J459&gt;0,'Template Setup'!$C$7,""),IF($K459&gt;0,'Template Setup'!$C$8,"")))</f>
        <v/>
      </c>
      <c r="E459" s="6" t="str" cm="1">
        <f t="array" ref="E459">IF($A459="","",_xlfn.LET(_xlpm.sheets,CHOOSE({1,2,3,4,5},'Template Setup'!$C$4,'Template Setup'!$C$5,'Template Setup'!$C$6,'Template Setup'!$C$7,'Template Setup'!$C$8),_xlpm.nums,CHOOSE({1,2,3,4,5},$L459,$M459,$N459,$O459,$P459),_xlpm.qtys,CHOOSE({1,2,3,4,5},$G459,$H459,$I459,$J459,$K459),_xlpm.validNums,_xlfn._xlws.FILTER(_xlpm.nums,_xlpm.qtys&gt;0),_xlpm.validSheets,_xlfn._xlws.FILTER(_xlpm.sheets,_xlpm.qtys&gt;0),_xlpm.mx,IFERROR(MAX(_xlpm.validNums),0),IF(_xlpm.mx=0,"",INDEX(_xlpm.validSheets,MATCH(_xlpm.mx,_xlpm.validNums,0))&amp;" (+"&amp;$R459&amp;")")))</f>
        <v/>
      </c>
      <c r="F459" s="11" t="str">
        <f t="shared" si="31"/>
        <v/>
      </c>
      <c r="G459" s="12" t="str">
        <f ca="1">IF($A459="","",IFERROR(SUMIF(INDIRECT("'"&amp;'Template Setup'!$C$4&amp;"'!C:C"),$A459,INDIRECT("'"&amp;'Template Setup'!$C$4&amp;"'!A:A")),0))</f>
        <v/>
      </c>
      <c r="H459" s="12" t="str">
        <f ca="1">IF($A459="","",IFERROR(SUMIF(INDIRECT("'"&amp;'Template Setup'!$C$5&amp;"'!C:C"),$A459,INDIRECT("'"&amp;'Template Setup'!$C$5&amp;"'!A:A")),0))</f>
        <v/>
      </c>
      <c r="I459" s="12" t="str">
        <f ca="1">IF($A459="","",IFERROR(SUMIF(INDIRECT("'"&amp;'Template Setup'!$C$6&amp;"'!C:C"),$A459,INDIRECT("'"&amp;'Template Setup'!$C$6&amp;"'!A:A")),0))</f>
        <v/>
      </c>
      <c r="J459" s="12" t="str">
        <f ca="1">IF($A459="","",IFERROR(SUMIF(INDIRECT("'"&amp;'Template Setup'!$C$7&amp;"'!C:C"),$A459,INDIRECT("'"&amp;'Template Setup'!$C$7&amp;"'!A:A")),0))</f>
        <v/>
      </c>
      <c r="K459" s="12" t="str">
        <f ca="1">IF($A459="","",IFERROR(SUMIF(INDIRECT("'"&amp;'Template Setup'!$C$8&amp;"'!C:C"),$A459,INDIRECT("'"&amp;'Template Setup'!$C$8&amp;"'!A:A")),0))</f>
        <v/>
      </c>
      <c r="L459" s="11" t="str">
        <f>IF($A459="","",IFERROR(VALUE(MID(TRIM('Template Setup'!$C$4),FIND("-",TRIM('Template Setup'!$C$4))+1,10)),0))</f>
        <v/>
      </c>
      <c r="M459" s="11" t="str">
        <f>IF($A459="","",IFERROR(VALUE(MID(TRIM('Template Setup'!$C$5),FIND("-",TRIM('Template Setup'!$C$5))+1,10)),0))</f>
        <v/>
      </c>
      <c r="N459" s="11" t="str">
        <f>IF($A459="","",IFERROR(VALUE(MID(TRIM('Template Setup'!$C$6),FIND("-",TRIM('Template Setup'!$C$6))+1,10)),0))</f>
        <v/>
      </c>
      <c r="O459" s="11" t="str">
        <f>IF($A459="","",IFERROR(VALUE(MID(TRIM('Template Setup'!$C$7),FIND("-",TRIM('Template Setup'!$C$7))+1,10)),0))</f>
        <v/>
      </c>
      <c r="P459" s="11" t="str">
        <f>IF($A459="","",IFERROR(VALUE(MID(TRIM('Template Setup'!$C$8),FIND("-",TRIM('Template Setup'!$C$8))+1,10)),0))</f>
        <v/>
      </c>
      <c r="Q459" s="9" t="str">
        <f>IF($A459="","",$A459&amp;"-"&amp;'Template Setup'!$C$16)</f>
        <v/>
      </c>
      <c r="R459" s="24" t="str">
        <f t="shared" si="29"/>
        <v/>
      </c>
      <c r="S459" s="24"/>
      <c r="T459" s="24" t="str">
        <f t="shared" si="30"/>
        <v/>
      </c>
      <c r="U459" s="6" t="str">
        <f t="shared" si="28"/>
        <v/>
      </c>
    </row>
    <row r="460" spans="1:21">
      <c r="A460" s="11"/>
      <c r="B460" s="11"/>
      <c r="C460" s="11"/>
      <c r="D460" s="11" t="str">
        <f>IF($A460="","",_xlfn.TEXTJOIN(", ",TRUE,IF($G460&gt;0,'Template Setup'!$C$4,""),IF($H460&gt;0,'Template Setup'!$C$5,""),IF($I460&gt;0,'Template Setup'!$C$6,""),IF($J460&gt;0,'Template Setup'!$C$7,""),IF($K460&gt;0,'Template Setup'!$C$8,"")))</f>
        <v/>
      </c>
      <c r="E460" s="6" t="str" cm="1">
        <f t="array" ref="E460">IF($A460="","",_xlfn.LET(_xlpm.sheets,CHOOSE({1,2,3,4,5},'Template Setup'!$C$4,'Template Setup'!$C$5,'Template Setup'!$C$6,'Template Setup'!$C$7,'Template Setup'!$C$8),_xlpm.nums,CHOOSE({1,2,3,4,5},$L460,$M460,$N460,$O460,$P460),_xlpm.qtys,CHOOSE({1,2,3,4,5},$G460,$H460,$I460,$J460,$K460),_xlpm.validNums,_xlfn._xlws.FILTER(_xlpm.nums,_xlpm.qtys&gt;0),_xlpm.validSheets,_xlfn._xlws.FILTER(_xlpm.sheets,_xlpm.qtys&gt;0),_xlpm.mx,IFERROR(MAX(_xlpm.validNums),0),IF(_xlpm.mx=0,"",INDEX(_xlpm.validSheets,MATCH(_xlpm.mx,_xlpm.validNums,0))&amp;" (+"&amp;$R460&amp;")")))</f>
        <v/>
      </c>
      <c r="F460" s="11" t="str">
        <f t="shared" si="31"/>
        <v/>
      </c>
      <c r="G460" s="12" t="str">
        <f ca="1">IF($A460="","",IFERROR(SUMIF(INDIRECT("'"&amp;'Template Setup'!$C$4&amp;"'!C:C"),$A460,INDIRECT("'"&amp;'Template Setup'!$C$4&amp;"'!A:A")),0))</f>
        <v/>
      </c>
      <c r="H460" s="12" t="str">
        <f ca="1">IF($A460="","",IFERROR(SUMIF(INDIRECT("'"&amp;'Template Setup'!$C$5&amp;"'!C:C"),$A460,INDIRECT("'"&amp;'Template Setup'!$C$5&amp;"'!A:A")),0))</f>
        <v/>
      </c>
      <c r="I460" s="12" t="str">
        <f ca="1">IF($A460="","",IFERROR(SUMIF(INDIRECT("'"&amp;'Template Setup'!$C$6&amp;"'!C:C"),$A460,INDIRECT("'"&amp;'Template Setup'!$C$6&amp;"'!A:A")),0))</f>
        <v/>
      </c>
      <c r="J460" s="12" t="str">
        <f ca="1">IF($A460="","",IFERROR(SUMIF(INDIRECT("'"&amp;'Template Setup'!$C$7&amp;"'!C:C"),$A460,INDIRECT("'"&amp;'Template Setup'!$C$7&amp;"'!A:A")),0))</f>
        <v/>
      </c>
      <c r="K460" s="12" t="str">
        <f ca="1">IF($A460="","",IFERROR(SUMIF(INDIRECT("'"&amp;'Template Setup'!$C$8&amp;"'!C:C"),$A460,INDIRECT("'"&amp;'Template Setup'!$C$8&amp;"'!A:A")),0))</f>
        <v/>
      </c>
      <c r="L460" s="11" t="str">
        <f>IF($A460="","",IFERROR(VALUE(MID(TRIM('Template Setup'!$C$4),FIND("-",TRIM('Template Setup'!$C$4))+1,10)),0))</f>
        <v/>
      </c>
      <c r="M460" s="11" t="str">
        <f>IF($A460="","",IFERROR(VALUE(MID(TRIM('Template Setup'!$C$5),FIND("-",TRIM('Template Setup'!$C$5))+1,10)),0))</f>
        <v/>
      </c>
      <c r="N460" s="11" t="str">
        <f>IF($A460="","",IFERROR(VALUE(MID(TRIM('Template Setup'!$C$6),FIND("-",TRIM('Template Setup'!$C$6))+1,10)),0))</f>
        <v/>
      </c>
      <c r="O460" s="11" t="str">
        <f>IF($A460="","",IFERROR(VALUE(MID(TRIM('Template Setup'!$C$7),FIND("-",TRIM('Template Setup'!$C$7))+1,10)),0))</f>
        <v/>
      </c>
      <c r="P460" s="11" t="str">
        <f>IF($A460="","",IFERROR(VALUE(MID(TRIM('Template Setup'!$C$8),FIND("-",TRIM('Template Setup'!$C$8))+1,10)),0))</f>
        <v/>
      </c>
      <c r="Q460" s="9" t="str">
        <f>IF($A460="","",$A460&amp;"-"&amp;'Template Setup'!$C$16)</f>
        <v/>
      </c>
      <c r="R460" s="24" t="str">
        <f t="shared" si="29"/>
        <v/>
      </c>
      <c r="S460" s="24"/>
      <c r="T460" s="24" t="str">
        <f t="shared" si="30"/>
        <v/>
      </c>
      <c r="U460" s="6" t="str">
        <f t="shared" si="28"/>
        <v/>
      </c>
    </row>
    <row r="461" spans="1:21">
      <c r="A461" s="11"/>
      <c r="B461" s="11"/>
      <c r="C461" s="11"/>
      <c r="D461" s="11" t="str">
        <f>IF($A461="","",_xlfn.TEXTJOIN(", ",TRUE,IF($G461&gt;0,'Template Setup'!$C$4,""),IF($H461&gt;0,'Template Setup'!$C$5,""),IF($I461&gt;0,'Template Setup'!$C$6,""),IF($J461&gt;0,'Template Setup'!$C$7,""),IF($K461&gt;0,'Template Setup'!$C$8,"")))</f>
        <v/>
      </c>
      <c r="E461" s="6" t="str" cm="1">
        <f t="array" ref="E461">IF($A461="","",_xlfn.LET(_xlpm.sheets,CHOOSE({1,2,3,4,5},'Template Setup'!$C$4,'Template Setup'!$C$5,'Template Setup'!$C$6,'Template Setup'!$C$7,'Template Setup'!$C$8),_xlpm.nums,CHOOSE({1,2,3,4,5},$L461,$M461,$N461,$O461,$P461),_xlpm.qtys,CHOOSE({1,2,3,4,5},$G461,$H461,$I461,$J461,$K461),_xlpm.validNums,_xlfn._xlws.FILTER(_xlpm.nums,_xlpm.qtys&gt;0),_xlpm.validSheets,_xlfn._xlws.FILTER(_xlpm.sheets,_xlpm.qtys&gt;0),_xlpm.mx,IFERROR(MAX(_xlpm.validNums),0),IF(_xlpm.mx=0,"",INDEX(_xlpm.validSheets,MATCH(_xlpm.mx,_xlpm.validNums,0))&amp;" (+"&amp;$R461&amp;")")))</f>
        <v/>
      </c>
      <c r="F461" s="11" t="str">
        <f t="shared" si="31"/>
        <v/>
      </c>
      <c r="G461" s="12" t="str">
        <f ca="1">IF($A461="","",IFERROR(SUMIF(INDIRECT("'"&amp;'Template Setup'!$C$4&amp;"'!C:C"),$A461,INDIRECT("'"&amp;'Template Setup'!$C$4&amp;"'!A:A")),0))</f>
        <v/>
      </c>
      <c r="H461" s="12" t="str">
        <f ca="1">IF($A461="","",IFERROR(SUMIF(INDIRECT("'"&amp;'Template Setup'!$C$5&amp;"'!C:C"),$A461,INDIRECT("'"&amp;'Template Setup'!$C$5&amp;"'!A:A")),0))</f>
        <v/>
      </c>
      <c r="I461" s="12" t="str">
        <f ca="1">IF($A461="","",IFERROR(SUMIF(INDIRECT("'"&amp;'Template Setup'!$C$6&amp;"'!C:C"),$A461,INDIRECT("'"&amp;'Template Setup'!$C$6&amp;"'!A:A")),0))</f>
        <v/>
      </c>
      <c r="J461" s="12" t="str">
        <f ca="1">IF($A461="","",IFERROR(SUMIF(INDIRECT("'"&amp;'Template Setup'!$C$7&amp;"'!C:C"),$A461,INDIRECT("'"&amp;'Template Setup'!$C$7&amp;"'!A:A")),0))</f>
        <v/>
      </c>
      <c r="K461" s="12" t="str">
        <f ca="1">IF($A461="","",IFERROR(SUMIF(INDIRECT("'"&amp;'Template Setup'!$C$8&amp;"'!C:C"),$A461,INDIRECT("'"&amp;'Template Setup'!$C$8&amp;"'!A:A")),0))</f>
        <v/>
      </c>
      <c r="L461" s="11" t="str">
        <f>IF($A461="","",IFERROR(VALUE(MID(TRIM('Template Setup'!$C$4),FIND("-",TRIM('Template Setup'!$C$4))+1,10)),0))</f>
        <v/>
      </c>
      <c r="M461" s="11" t="str">
        <f>IF($A461="","",IFERROR(VALUE(MID(TRIM('Template Setup'!$C$5),FIND("-",TRIM('Template Setup'!$C$5))+1,10)),0))</f>
        <v/>
      </c>
      <c r="N461" s="11" t="str">
        <f>IF($A461="","",IFERROR(VALUE(MID(TRIM('Template Setup'!$C$6),FIND("-",TRIM('Template Setup'!$C$6))+1,10)),0))</f>
        <v/>
      </c>
      <c r="O461" s="11" t="str">
        <f>IF($A461="","",IFERROR(VALUE(MID(TRIM('Template Setup'!$C$7),FIND("-",TRIM('Template Setup'!$C$7))+1,10)),0))</f>
        <v/>
      </c>
      <c r="P461" s="11" t="str">
        <f>IF($A461="","",IFERROR(VALUE(MID(TRIM('Template Setup'!$C$8),FIND("-",TRIM('Template Setup'!$C$8))+1,10)),0))</f>
        <v/>
      </c>
      <c r="Q461" s="9" t="str">
        <f>IF($A461="","",$A461&amp;"-"&amp;'Template Setup'!$C$16)</f>
        <v/>
      </c>
      <c r="R461" s="24" t="str">
        <f t="shared" si="29"/>
        <v/>
      </c>
      <c r="S461" s="24"/>
      <c r="T461" s="24" t="str">
        <f t="shared" si="30"/>
        <v/>
      </c>
      <c r="U461" s="6" t="str">
        <f t="shared" si="28"/>
        <v/>
      </c>
    </row>
    <row r="462" spans="1:21">
      <c r="A462" s="11"/>
      <c r="B462" s="11"/>
      <c r="C462" s="11"/>
      <c r="D462" s="11" t="str">
        <f>IF($A462="","",_xlfn.TEXTJOIN(", ",TRUE,IF($G462&gt;0,'Template Setup'!$C$4,""),IF($H462&gt;0,'Template Setup'!$C$5,""),IF($I462&gt;0,'Template Setup'!$C$6,""),IF($J462&gt;0,'Template Setup'!$C$7,""),IF($K462&gt;0,'Template Setup'!$C$8,"")))</f>
        <v/>
      </c>
      <c r="E462" s="6" t="str" cm="1">
        <f t="array" ref="E462">IF($A462="","",_xlfn.LET(_xlpm.sheets,CHOOSE({1,2,3,4,5},'Template Setup'!$C$4,'Template Setup'!$C$5,'Template Setup'!$C$6,'Template Setup'!$C$7,'Template Setup'!$C$8),_xlpm.nums,CHOOSE({1,2,3,4,5},$L462,$M462,$N462,$O462,$P462),_xlpm.qtys,CHOOSE({1,2,3,4,5},$G462,$H462,$I462,$J462,$K462),_xlpm.validNums,_xlfn._xlws.FILTER(_xlpm.nums,_xlpm.qtys&gt;0),_xlpm.validSheets,_xlfn._xlws.FILTER(_xlpm.sheets,_xlpm.qtys&gt;0),_xlpm.mx,IFERROR(MAX(_xlpm.validNums),0),IF(_xlpm.mx=0,"",INDEX(_xlpm.validSheets,MATCH(_xlpm.mx,_xlpm.validNums,0))&amp;" (+"&amp;$R462&amp;")")))</f>
        <v/>
      </c>
      <c r="F462" s="11" t="str">
        <f t="shared" si="31"/>
        <v/>
      </c>
      <c r="G462" s="12" t="str">
        <f ca="1">IF($A462="","",IFERROR(SUMIF(INDIRECT("'"&amp;'Template Setup'!$C$4&amp;"'!C:C"),$A462,INDIRECT("'"&amp;'Template Setup'!$C$4&amp;"'!A:A")),0))</f>
        <v/>
      </c>
      <c r="H462" s="12" t="str">
        <f ca="1">IF($A462="","",IFERROR(SUMIF(INDIRECT("'"&amp;'Template Setup'!$C$5&amp;"'!C:C"),$A462,INDIRECT("'"&amp;'Template Setup'!$C$5&amp;"'!A:A")),0))</f>
        <v/>
      </c>
      <c r="I462" s="12" t="str">
        <f ca="1">IF($A462="","",IFERROR(SUMIF(INDIRECT("'"&amp;'Template Setup'!$C$6&amp;"'!C:C"),$A462,INDIRECT("'"&amp;'Template Setup'!$C$6&amp;"'!A:A")),0))</f>
        <v/>
      </c>
      <c r="J462" s="12" t="str">
        <f ca="1">IF($A462="","",IFERROR(SUMIF(INDIRECT("'"&amp;'Template Setup'!$C$7&amp;"'!C:C"),$A462,INDIRECT("'"&amp;'Template Setup'!$C$7&amp;"'!A:A")),0))</f>
        <v/>
      </c>
      <c r="K462" s="12" t="str">
        <f ca="1">IF($A462="","",IFERROR(SUMIF(INDIRECT("'"&amp;'Template Setup'!$C$8&amp;"'!C:C"),$A462,INDIRECT("'"&amp;'Template Setup'!$C$8&amp;"'!A:A")),0))</f>
        <v/>
      </c>
      <c r="L462" s="11" t="str">
        <f>IF($A462="","",IFERROR(VALUE(MID(TRIM('Template Setup'!$C$4),FIND("-",TRIM('Template Setup'!$C$4))+1,10)),0))</f>
        <v/>
      </c>
      <c r="M462" s="11" t="str">
        <f>IF($A462="","",IFERROR(VALUE(MID(TRIM('Template Setup'!$C$5),FIND("-",TRIM('Template Setup'!$C$5))+1,10)),0))</f>
        <v/>
      </c>
      <c r="N462" s="11" t="str">
        <f>IF($A462="","",IFERROR(VALUE(MID(TRIM('Template Setup'!$C$6),FIND("-",TRIM('Template Setup'!$C$6))+1,10)),0))</f>
        <v/>
      </c>
      <c r="O462" s="11" t="str">
        <f>IF($A462="","",IFERROR(VALUE(MID(TRIM('Template Setup'!$C$7),FIND("-",TRIM('Template Setup'!$C$7))+1,10)),0))</f>
        <v/>
      </c>
      <c r="P462" s="11" t="str">
        <f>IF($A462="","",IFERROR(VALUE(MID(TRIM('Template Setup'!$C$8),FIND("-",TRIM('Template Setup'!$C$8))+1,10)),0))</f>
        <v/>
      </c>
      <c r="Q462" s="9" t="str">
        <f>IF($A462="","",$A462&amp;"-"&amp;'Template Setup'!$C$16)</f>
        <v/>
      </c>
      <c r="R462" s="24" t="str">
        <f t="shared" si="29"/>
        <v/>
      </c>
      <c r="S462" s="24"/>
      <c r="T462" s="24" t="str">
        <f t="shared" si="30"/>
        <v/>
      </c>
      <c r="U462" s="6" t="str">
        <f t="shared" si="28"/>
        <v/>
      </c>
    </row>
    <row r="463" spans="1:21">
      <c r="A463" s="11"/>
      <c r="B463" s="11"/>
      <c r="C463" s="11"/>
      <c r="D463" s="11" t="str">
        <f>IF($A463="","",_xlfn.TEXTJOIN(", ",TRUE,IF($G463&gt;0,'Template Setup'!$C$4,""),IF($H463&gt;0,'Template Setup'!$C$5,""),IF($I463&gt;0,'Template Setup'!$C$6,""),IF($J463&gt;0,'Template Setup'!$C$7,""),IF($K463&gt;0,'Template Setup'!$C$8,"")))</f>
        <v/>
      </c>
      <c r="E463" s="6" t="str" cm="1">
        <f t="array" ref="E463">IF($A463="","",_xlfn.LET(_xlpm.sheets,CHOOSE({1,2,3,4,5},'Template Setup'!$C$4,'Template Setup'!$C$5,'Template Setup'!$C$6,'Template Setup'!$C$7,'Template Setup'!$C$8),_xlpm.nums,CHOOSE({1,2,3,4,5},$L463,$M463,$N463,$O463,$P463),_xlpm.qtys,CHOOSE({1,2,3,4,5},$G463,$H463,$I463,$J463,$K463),_xlpm.validNums,_xlfn._xlws.FILTER(_xlpm.nums,_xlpm.qtys&gt;0),_xlpm.validSheets,_xlfn._xlws.FILTER(_xlpm.sheets,_xlpm.qtys&gt;0),_xlpm.mx,IFERROR(MAX(_xlpm.validNums),0),IF(_xlpm.mx=0,"",INDEX(_xlpm.validSheets,MATCH(_xlpm.mx,_xlpm.validNums,0))&amp;" (+"&amp;$R463&amp;")")))</f>
        <v/>
      </c>
      <c r="F463" s="11" t="str">
        <f t="shared" si="31"/>
        <v/>
      </c>
      <c r="G463" s="12" t="str">
        <f ca="1">IF($A463="","",IFERROR(SUMIF(INDIRECT("'"&amp;'Template Setup'!$C$4&amp;"'!C:C"),$A463,INDIRECT("'"&amp;'Template Setup'!$C$4&amp;"'!A:A")),0))</f>
        <v/>
      </c>
      <c r="H463" s="12" t="str">
        <f ca="1">IF($A463="","",IFERROR(SUMIF(INDIRECT("'"&amp;'Template Setup'!$C$5&amp;"'!C:C"),$A463,INDIRECT("'"&amp;'Template Setup'!$C$5&amp;"'!A:A")),0))</f>
        <v/>
      </c>
      <c r="I463" s="12" t="str">
        <f ca="1">IF($A463="","",IFERROR(SUMIF(INDIRECT("'"&amp;'Template Setup'!$C$6&amp;"'!C:C"),$A463,INDIRECT("'"&amp;'Template Setup'!$C$6&amp;"'!A:A")),0))</f>
        <v/>
      </c>
      <c r="J463" s="12" t="str">
        <f ca="1">IF($A463="","",IFERROR(SUMIF(INDIRECT("'"&amp;'Template Setup'!$C$7&amp;"'!C:C"),$A463,INDIRECT("'"&amp;'Template Setup'!$C$7&amp;"'!A:A")),0))</f>
        <v/>
      </c>
      <c r="K463" s="12" t="str">
        <f ca="1">IF($A463="","",IFERROR(SUMIF(INDIRECT("'"&amp;'Template Setup'!$C$8&amp;"'!C:C"),$A463,INDIRECT("'"&amp;'Template Setup'!$C$8&amp;"'!A:A")),0))</f>
        <v/>
      </c>
      <c r="L463" s="11" t="str">
        <f>IF($A463="","",IFERROR(VALUE(MID(TRIM('Template Setup'!$C$4),FIND("-",TRIM('Template Setup'!$C$4))+1,10)),0))</f>
        <v/>
      </c>
      <c r="M463" s="11" t="str">
        <f>IF($A463="","",IFERROR(VALUE(MID(TRIM('Template Setup'!$C$5),FIND("-",TRIM('Template Setup'!$C$5))+1,10)),0))</f>
        <v/>
      </c>
      <c r="N463" s="11" t="str">
        <f>IF($A463="","",IFERROR(VALUE(MID(TRIM('Template Setup'!$C$6),FIND("-",TRIM('Template Setup'!$C$6))+1,10)),0))</f>
        <v/>
      </c>
      <c r="O463" s="11" t="str">
        <f>IF($A463="","",IFERROR(VALUE(MID(TRIM('Template Setup'!$C$7),FIND("-",TRIM('Template Setup'!$C$7))+1,10)),0))</f>
        <v/>
      </c>
      <c r="P463" s="11" t="str">
        <f>IF($A463="","",IFERROR(VALUE(MID(TRIM('Template Setup'!$C$8),FIND("-",TRIM('Template Setup'!$C$8))+1,10)),0))</f>
        <v/>
      </c>
      <c r="Q463" s="9" t="str">
        <f>IF($A463="","",$A463&amp;"-"&amp;'Template Setup'!$C$16)</f>
        <v/>
      </c>
      <c r="R463" s="24" t="str">
        <f t="shared" si="29"/>
        <v/>
      </c>
      <c r="S463" s="24"/>
      <c r="T463" s="24" t="str">
        <f t="shared" si="30"/>
        <v/>
      </c>
      <c r="U463" s="6" t="str">
        <f t="shared" si="28"/>
        <v/>
      </c>
    </row>
    <row r="464" spans="1:21">
      <c r="A464" s="11"/>
      <c r="B464" s="11"/>
      <c r="C464" s="11"/>
      <c r="D464" s="11" t="str">
        <f>IF($A464="","",_xlfn.TEXTJOIN(", ",TRUE,IF($G464&gt;0,'Template Setup'!$C$4,""),IF($H464&gt;0,'Template Setup'!$C$5,""),IF($I464&gt;0,'Template Setup'!$C$6,""),IF($J464&gt;0,'Template Setup'!$C$7,""),IF($K464&gt;0,'Template Setup'!$C$8,"")))</f>
        <v/>
      </c>
      <c r="E464" s="6" t="str" cm="1">
        <f t="array" ref="E464">IF($A464="","",_xlfn.LET(_xlpm.sheets,CHOOSE({1,2,3,4,5},'Template Setup'!$C$4,'Template Setup'!$C$5,'Template Setup'!$C$6,'Template Setup'!$C$7,'Template Setup'!$C$8),_xlpm.nums,CHOOSE({1,2,3,4,5},$L464,$M464,$N464,$O464,$P464),_xlpm.qtys,CHOOSE({1,2,3,4,5},$G464,$H464,$I464,$J464,$K464),_xlpm.validNums,_xlfn._xlws.FILTER(_xlpm.nums,_xlpm.qtys&gt;0),_xlpm.validSheets,_xlfn._xlws.FILTER(_xlpm.sheets,_xlpm.qtys&gt;0),_xlpm.mx,IFERROR(MAX(_xlpm.validNums),0),IF(_xlpm.mx=0,"",INDEX(_xlpm.validSheets,MATCH(_xlpm.mx,_xlpm.validNums,0))&amp;" (+"&amp;$R464&amp;")")))</f>
        <v/>
      </c>
      <c r="F464" s="11" t="str">
        <f t="shared" si="31"/>
        <v/>
      </c>
      <c r="G464" s="12" t="str">
        <f ca="1">IF($A464="","",IFERROR(SUMIF(INDIRECT("'"&amp;'Template Setup'!$C$4&amp;"'!C:C"),$A464,INDIRECT("'"&amp;'Template Setup'!$C$4&amp;"'!A:A")),0))</f>
        <v/>
      </c>
      <c r="H464" s="12" t="str">
        <f ca="1">IF($A464="","",IFERROR(SUMIF(INDIRECT("'"&amp;'Template Setup'!$C$5&amp;"'!C:C"),$A464,INDIRECT("'"&amp;'Template Setup'!$C$5&amp;"'!A:A")),0))</f>
        <v/>
      </c>
      <c r="I464" s="12" t="str">
        <f ca="1">IF($A464="","",IFERROR(SUMIF(INDIRECT("'"&amp;'Template Setup'!$C$6&amp;"'!C:C"),$A464,INDIRECT("'"&amp;'Template Setup'!$C$6&amp;"'!A:A")),0))</f>
        <v/>
      </c>
      <c r="J464" s="12" t="str">
        <f ca="1">IF($A464="","",IFERROR(SUMIF(INDIRECT("'"&amp;'Template Setup'!$C$7&amp;"'!C:C"),$A464,INDIRECT("'"&amp;'Template Setup'!$C$7&amp;"'!A:A")),0))</f>
        <v/>
      </c>
      <c r="K464" s="12" t="str">
        <f ca="1">IF($A464="","",IFERROR(SUMIF(INDIRECT("'"&amp;'Template Setup'!$C$8&amp;"'!C:C"),$A464,INDIRECT("'"&amp;'Template Setup'!$C$8&amp;"'!A:A")),0))</f>
        <v/>
      </c>
      <c r="L464" s="11" t="str">
        <f>IF($A464="","",IFERROR(VALUE(MID(TRIM('Template Setup'!$C$4),FIND("-",TRIM('Template Setup'!$C$4))+1,10)),0))</f>
        <v/>
      </c>
      <c r="M464" s="11" t="str">
        <f>IF($A464="","",IFERROR(VALUE(MID(TRIM('Template Setup'!$C$5),FIND("-",TRIM('Template Setup'!$C$5))+1,10)),0))</f>
        <v/>
      </c>
      <c r="N464" s="11" t="str">
        <f>IF($A464="","",IFERROR(VALUE(MID(TRIM('Template Setup'!$C$6),FIND("-",TRIM('Template Setup'!$C$6))+1,10)),0))</f>
        <v/>
      </c>
      <c r="O464" s="11" t="str">
        <f>IF($A464="","",IFERROR(VALUE(MID(TRIM('Template Setup'!$C$7),FIND("-",TRIM('Template Setup'!$C$7))+1,10)),0))</f>
        <v/>
      </c>
      <c r="P464" s="11" t="str">
        <f>IF($A464="","",IFERROR(VALUE(MID(TRIM('Template Setup'!$C$8),FIND("-",TRIM('Template Setup'!$C$8))+1,10)),0))</f>
        <v/>
      </c>
      <c r="Q464" s="9" t="str">
        <f>IF($A464="","",$A464&amp;"-"&amp;'Template Setup'!$C$16)</f>
        <v/>
      </c>
      <c r="R464" s="24" t="str">
        <f t="shared" si="29"/>
        <v/>
      </c>
      <c r="S464" s="24"/>
      <c r="T464" s="24" t="str">
        <f t="shared" si="30"/>
        <v/>
      </c>
      <c r="U464" s="6" t="str">
        <f t="shared" si="28"/>
        <v/>
      </c>
    </row>
    <row r="465" spans="1:21">
      <c r="A465" s="11"/>
      <c r="B465" s="11"/>
      <c r="C465" s="11"/>
      <c r="D465" s="11" t="str">
        <f>IF($A465="","",_xlfn.TEXTJOIN(", ",TRUE,IF($G465&gt;0,'Template Setup'!$C$4,""),IF($H465&gt;0,'Template Setup'!$C$5,""),IF($I465&gt;0,'Template Setup'!$C$6,""),IF($J465&gt;0,'Template Setup'!$C$7,""),IF($K465&gt;0,'Template Setup'!$C$8,"")))</f>
        <v/>
      </c>
      <c r="E465" s="6" t="str" cm="1">
        <f t="array" ref="E465">IF($A465="","",_xlfn.LET(_xlpm.sheets,CHOOSE({1,2,3,4,5},'Template Setup'!$C$4,'Template Setup'!$C$5,'Template Setup'!$C$6,'Template Setup'!$C$7,'Template Setup'!$C$8),_xlpm.nums,CHOOSE({1,2,3,4,5},$L465,$M465,$N465,$O465,$P465),_xlpm.qtys,CHOOSE({1,2,3,4,5},$G465,$H465,$I465,$J465,$K465),_xlpm.validNums,_xlfn._xlws.FILTER(_xlpm.nums,_xlpm.qtys&gt;0),_xlpm.validSheets,_xlfn._xlws.FILTER(_xlpm.sheets,_xlpm.qtys&gt;0),_xlpm.mx,IFERROR(MAX(_xlpm.validNums),0),IF(_xlpm.mx=0,"",INDEX(_xlpm.validSheets,MATCH(_xlpm.mx,_xlpm.validNums,0))&amp;" (+"&amp;$R465&amp;")")))</f>
        <v/>
      </c>
      <c r="F465" s="11" t="str">
        <f t="shared" si="31"/>
        <v/>
      </c>
      <c r="G465" s="12" t="str">
        <f ca="1">IF($A465="","",IFERROR(SUMIF(INDIRECT("'"&amp;'Template Setup'!$C$4&amp;"'!C:C"),$A465,INDIRECT("'"&amp;'Template Setup'!$C$4&amp;"'!A:A")),0))</f>
        <v/>
      </c>
      <c r="H465" s="12" t="str">
        <f ca="1">IF($A465="","",IFERROR(SUMIF(INDIRECT("'"&amp;'Template Setup'!$C$5&amp;"'!C:C"),$A465,INDIRECT("'"&amp;'Template Setup'!$C$5&amp;"'!A:A")),0))</f>
        <v/>
      </c>
      <c r="I465" s="12" t="str">
        <f ca="1">IF($A465="","",IFERROR(SUMIF(INDIRECT("'"&amp;'Template Setup'!$C$6&amp;"'!C:C"),$A465,INDIRECT("'"&amp;'Template Setup'!$C$6&amp;"'!A:A")),0))</f>
        <v/>
      </c>
      <c r="J465" s="12" t="str">
        <f ca="1">IF($A465="","",IFERROR(SUMIF(INDIRECT("'"&amp;'Template Setup'!$C$7&amp;"'!C:C"),$A465,INDIRECT("'"&amp;'Template Setup'!$C$7&amp;"'!A:A")),0))</f>
        <v/>
      </c>
      <c r="K465" s="12" t="str">
        <f ca="1">IF($A465="","",IFERROR(SUMIF(INDIRECT("'"&amp;'Template Setup'!$C$8&amp;"'!C:C"),$A465,INDIRECT("'"&amp;'Template Setup'!$C$8&amp;"'!A:A")),0))</f>
        <v/>
      </c>
      <c r="L465" s="11" t="str">
        <f>IF($A465="","",IFERROR(VALUE(MID(TRIM('Template Setup'!$C$4),FIND("-",TRIM('Template Setup'!$C$4))+1,10)),0))</f>
        <v/>
      </c>
      <c r="M465" s="11" t="str">
        <f>IF($A465="","",IFERROR(VALUE(MID(TRIM('Template Setup'!$C$5),FIND("-",TRIM('Template Setup'!$C$5))+1,10)),0))</f>
        <v/>
      </c>
      <c r="N465" s="11" t="str">
        <f>IF($A465="","",IFERROR(VALUE(MID(TRIM('Template Setup'!$C$6),FIND("-",TRIM('Template Setup'!$C$6))+1,10)),0))</f>
        <v/>
      </c>
      <c r="O465" s="11" t="str">
        <f>IF($A465="","",IFERROR(VALUE(MID(TRIM('Template Setup'!$C$7),FIND("-",TRIM('Template Setup'!$C$7))+1,10)),0))</f>
        <v/>
      </c>
      <c r="P465" s="11" t="str">
        <f>IF($A465="","",IFERROR(VALUE(MID(TRIM('Template Setup'!$C$8),FIND("-",TRIM('Template Setup'!$C$8))+1,10)),0))</f>
        <v/>
      </c>
      <c r="Q465" s="9" t="str">
        <f>IF($A465="","",$A465&amp;"-"&amp;'Template Setup'!$C$16)</f>
        <v/>
      </c>
      <c r="R465" s="24" t="str">
        <f t="shared" si="29"/>
        <v/>
      </c>
      <c r="S465" s="24"/>
      <c r="T465" s="24" t="str">
        <f t="shared" si="30"/>
        <v/>
      </c>
      <c r="U465" s="6" t="str">
        <f t="shared" si="28"/>
        <v/>
      </c>
    </row>
    <row r="466" spans="1:21">
      <c r="A466" s="11"/>
      <c r="B466" s="11"/>
      <c r="C466" s="11"/>
      <c r="D466" s="11" t="str">
        <f>IF($A466="","",_xlfn.TEXTJOIN(", ",TRUE,IF($G466&gt;0,'Template Setup'!$C$4,""),IF($H466&gt;0,'Template Setup'!$C$5,""),IF($I466&gt;0,'Template Setup'!$C$6,""),IF($J466&gt;0,'Template Setup'!$C$7,""),IF($K466&gt;0,'Template Setup'!$C$8,"")))</f>
        <v/>
      </c>
      <c r="E466" s="6" t="str" cm="1">
        <f t="array" ref="E466">IF($A466="","",_xlfn.LET(_xlpm.sheets,CHOOSE({1,2,3,4,5},'Template Setup'!$C$4,'Template Setup'!$C$5,'Template Setup'!$C$6,'Template Setup'!$C$7,'Template Setup'!$C$8),_xlpm.nums,CHOOSE({1,2,3,4,5},$L466,$M466,$N466,$O466,$P466),_xlpm.qtys,CHOOSE({1,2,3,4,5},$G466,$H466,$I466,$J466,$K466),_xlpm.validNums,_xlfn._xlws.FILTER(_xlpm.nums,_xlpm.qtys&gt;0),_xlpm.validSheets,_xlfn._xlws.FILTER(_xlpm.sheets,_xlpm.qtys&gt;0),_xlpm.mx,IFERROR(MAX(_xlpm.validNums),0),IF(_xlpm.mx=0,"",INDEX(_xlpm.validSheets,MATCH(_xlpm.mx,_xlpm.validNums,0))&amp;" (+"&amp;$R466&amp;")")))</f>
        <v/>
      </c>
      <c r="F466" s="11" t="str">
        <f t="shared" si="31"/>
        <v/>
      </c>
      <c r="G466" s="12" t="str">
        <f ca="1">IF($A466="","",IFERROR(SUMIF(INDIRECT("'"&amp;'Template Setup'!$C$4&amp;"'!C:C"),$A466,INDIRECT("'"&amp;'Template Setup'!$C$4&amp;"'!A:A")),0))</f>
        <v/>
      </c>
      <c r="H466" s="12" t="str">
        <f ca="1">IF($A466="","",IFERROR(SUMIF(INDIRECT("'"&amp;'Template Setup'!$C$5&amp;"'!C:C"),$A466,INDIRECT("'"&amp;'Template Setup'!$C$5&amp;"'!A:A")),0))</f>
        <v/>
      </c>
      <c r="I466" s="12" t="str">
        <f ca="1">IF($A466="","",IFERROR(SUMIF(INDIRECT("'"&amp;'Template Setup'!$C$6&amp;"'!C:C"),$A466,INDIRECT("'"&amp;'Template Setup'!$C$6&amp;"'!A:A")),0))</f>
        <v/>
      </c>
      <c r="J466" s="12" t="str">
        <f ca="1">IF($A466="","",IFERROR(SUMIF(INDIRECT("'"&amp;'Template Setup'!$C$7&amp;"'!C:C"),$A466,INDIRECT("'"&amp;'Template Setup'!$C$7&amp;"'!A:A")),0))</f>
        <v/>
      </c>
      <c r="K466" s="12" t="str">
        <f ca="1">IF($A466="","",IFERROR(SUMIF(INDIRECT("'"&amp;'Template Setup'!$C$8&amp;"'!C:C"),$A466,INDIRECT("'"&amp;'Template Setup'!$C$8&amp;"'!A:A")),0))</f>
        <v/>
      </c>
      <c r="L466" s="11" t="str">
        <f>IF($A466="","",IFERROR(VALUE(MID(TRIM('Template Setup'!$C$4),FIND("-",TRIM('Template Setup'!$C$4))+1,10)),0))</f>
        <v/>
      </c>
      <c r="M466" s="11" t="str">
        <f>IF($A466="","",IFERROR(VALUE(MID(TRIM('Template Setup'!$C$5),FIND("-",TRIM('Template Setup'!$C$5))+1,10)),0))</f>
        <v/>
      </c>
      <c r="N466" s="11" t="str">
        <f>IF($A466="","",IFERROR(VALUE(MID(TRIM('Template Setup'!$C$6),FIND("-",TRIM('Template Setup'!$C$6))+1,10)),0))</f>
        <v/>
      </c>
      <c r="O466" s="11" t="str">
        <f>IF($A466="","",IFERROR(VALUE(MID(TRIM('Template Setup'!$C$7),FIND("-",TRIM('Template Setup'!$C$7))+1,10)),0))</f>
        <v/>
      </c>
      <c r="P466" s="11" t="str">
        <f>IF($A466="","",IFERROR(VALUE(MID(TRIM('Template Setup'!$C$8),FIND("-",TRIM('Template Setup'!$C$8))+1,10)),0))</f>
        <v/>
      </c>
      <c r="Q466" s="9" t="str">
        <f>IF($A466="","",$A466&amp;"-"&amp;'Template Setup'!$C$16)</f>
        <v/>
      </c>
      <c r="R466" s="24" t="str">
        <f t="shared" si="29"/>
        <v/>
      </c>
      <c r="S466" s="24"/>
      <c r="T466" s="24" t="str">
        <f t="shared" si="30"/>
        <v/>
      </c>
      <c r="U466" s="6" t="str">
        <f t="shared" ref="U466:U529" si="32">IF($A466="","","☐")</f>
        <v/>
      </c>
    </row>
    <row r="467" spans="1:21">
      <c r="A467" s="11"/>
      <c r="B467" s="11"/>
      <c r="C467" s="11"/>
      <c r="D467" s="11" t="str">
        <f>IF($A467="","",_xlfn.TEXTJOIN(", ",TRUE,IF($G467&gt;0,'Template Setup'!$C$4,""),IF($H467&gt;0,'Template Setup'!$C$5,""),IF($I467&gt;0,'Template Setup'!$C$6,""),IF($J467&gt;0,'Template Setup'!$C$7,""),IF($K467&gt;0,'Template Setup'!$C$8,"")))</f>
        <v/>
      </c>
      <c r="E467" s="6" t="str" cm="1">
        <f t="array" ref="E467">IF($A467="","",_xlfn.LET(_xlpm.sheets,CHOOSE({1,2,3,4,5},'Template Setup'!$C$4,'Template Setup'!$C$5,'Template Setup'!$C$6,'Template Setup'!$C$7,'Template Setup'!$C$8),_xlpm.nums,CHOOSE({1,2,3,4,5},$L467,$M467,$N467,$O467,$P467),_xlpm.qtys,CHOOSE({1,2,3,4,5},$G467,$H467,$I467,$J467,$K467),_xlpm.validNums,_xlfn._xlws.FILTER(_xlpm.nums,_xlpm.qtys&gt;0),_xlpm.validSheets,_xlfn._xlws.FILTER(_xlpm.sheets,_xlpm.qtys&gt;0),_xlpm.mx,IFERROR(MAX(_xlpm.validNums),0),IF(_xlpm.mx=0,"",INDEX(_xlpm.validSheets,MATCH(_xlpm.mx,_xlpm.validNums,0))&amp;" (+"&amp;$R467&amp;")")))</f>
        <v/>
      </c>
      <c r="F467" s="11" t="str">
        <f t="shared" si="31"/>
        <v/>
      </c>
      <c r="G467" s="12" t="str">
        <f ca="1">IF($A467="","",IFERROR(SUMIF(INDIRECT("'"&amp;'Template Setup'!$C$4&amp;"'!C:C"),$A467,INDIRECT("'"&amp;'Template Setup'!$C$4&amp;"'!A:A")),0))</f>
        <v/>
      </c>
      <c r="H467" s="12" t="str">
        <f ca="1">IF($A467="","",IFERROR(SUMIF(INDIRECT("'"&amp;'Template Setup'!$C$5&amp;"'!C:C"),$A467,INDIRECT("'"&amp;'Template Setup'!$C$5&amp;"'!A:A")),0))</f>
        <v/>
      </c>
      <c r="I467" s="12" t="str">
        <f ca="1">IF($A467="","",IFERROR(SUMIF(INDIRECT("'"&amp;'Template Setup'!$C$6&amp;"'!C:C"),$A467,INDIRECT("'"&amp;'Template Setup'!$C$6&amp;"'!A:A")),0))</f>
        <v/>
      </c>
      <c r="J467" s="12" t="str">
        <f ca="1">IF($A467="","",IFERROR(SUMIF(INDIRECT("'"&amp;'Template Setup'!$C$7&amp;"'!C:C"),$A467,INDIRECT("'"&amp;'Template Setup'!$C$7&amp;"'!A:A")),0))</f>
        <v/>
      </c>
      <c r="K467" s="12" t="str">
        <f ca="1">IF($A467="","",IFERROR(SUMIF(INDIRECT("'"&amp;'Template Setup'!$C$8&amp;"'!C:C"),$A467,INDIRECT("'"&amp;'Template Setup'!$C$8&amp;"'!A:A")),0))</f>
        <v/>
      </c>
      <c r="L467" s="11" t="str">
        <f>IF($A467="","",IFERROR(VALUE(MID(TRIM('Template Setup'!$C$4),FIND("-",TRIM('Template Setup'!$C$4))+1,10)),0))</f>
        <v/>
      </c>
      <c r="M467" s="11" t="str">
        <f>IF($A467="","",IFERROR(VALUE(MID(TRIM('Template Setup'!$C$5),FIND("-",TRIM('Template Setup'!$C$5))+1,10)),0))</f>
        <v/>
      </c>
      <c r="N467" s="11" t="str">
        <f>IF($A467="","",IFERROR(VALUE(MID(TRIM('Template Setup'!$C$6),FIND("-",TRIM('Template Setup'!$C$6))+1,10)),0))</f>
        <v/>
      </c>
      <c r="O467" s="11" t="str">
        <f>IF($A467="","",IFERROR(VALUE(MID(TRIM('Template Setup'!$C$7),FIND("-",TRIM('Template Setup'!$C$7))+1,10)),0))</f>
        <v/>
      </c>
      <c r="P467" s="11" t="str">
        <f>IF($A467="","",IFERROR(VALUE(MID(TRIM('Template Setup'!$C$8),FIND("-",TRIM('Template Setup'!$C$8))+1,10)),0))</f>
        <v/>
      </c>
      <c r="Q467" s="9" t="str">
        <f>IF($A467="","",$A467&amp;"-"&amp;'Template Setup'!$C$16)</f>
        <v/>
      </c>
      <c r="R467" s="24" t="str">
        <f t="shared" si="29"/>
        <v/>
      </c>
      <c r="S467" s="24"/>
      <c r="T467" s="24" t="str">
        <f t="shared" si="30"/>
        <v/>
      </c>
      <c r="U467" s="6" t="str">
        <f t="shared" si="32"/>
        <v/>
      </c>
    </row>
    <row r="468" spans="1:21">
      <c r="A468" s="11"/>
      <c r="B468" s="11"/>
      <c r="C468" s="11"/>
      <c r="D468" s="11" t="str">
        <f>IF($A468="","",_xlfn.TEXTJOIN(", ",TRUE,IF($G468&gt;0,'Template Setup'!$C$4,""),IF($H468&gt;0,'Template Setup'!$C$5,""),IF($I468&gt;0,'Template Setup'!$C$6,""),IF($J468&gt;0,'Template Setup'!$C$7,""),IF($K468&gt;0,'Template Setup'!$C$8,"")))</f>
        <v/>
      </c>
      <c r="E468" s="6" t="str" cm="1">
        <f t="array" ref="E468">IF($A468="","",_xlfn.LET(_xlpm.sheets,CHOOSE({1,2,3,4,5},'Template Setup'!$C$4,'Template Setup'!$C$5,'Template Setup'!$C$6,'Template Setup'!$C$7,'Template Setup'!$C$8),_xlpm.nums,CHOOSE({1,2,3,4,5},$L468,$M468,$N468,$O468,$P468),_xlpm.qtys,CHOOSE({1,2,3,4,5},$G468,$H468,$I468,$J468,$K468),_xlpm.validNums,_xlfn._xlws.FILTER(_xlpm.nums,_xlpm.qtys&gt;0),_xlpm.validSheets,_xlfn._xlws.FILTER(_xlpm.sheets,_xlpm.qtys&gt;0),_xlpm.mx,IFERROR(MAX(_xlpm.validNums),0),IF(_xlpm.mx=0,"",INDEX(_xlpm.validSheets,MATCH(_xlpm.mx,_xlpm.validNums,0))&amp;" (+"&amp;$R468&amp;")")))</f>
        <v/>
      </c>
      <c r="F468" s="11" t="str">
        <f t="shared" si="31"/>
        <v/>
      </c>
      <c r="G468" s="12" t="str">
        <f ca="1">IF($A468="","",IFERROR(SUMIF(INDIRECT("'"&amp;'Template Setup'!$C$4&amp;"'!C:C"),$A468,INDIRECT("'"&amp;'Template Setup'!$C$4&amp;"'!A:A")),0))</f>
        <v/>
      </c>
      <c r="H468" s="12" t="str">
        <f ca="1">IF($A468="","",IFERROR(SUMIF(INDIRECT("'"&amp;'Template Setup'!$C$5&amp;"'!C:C"),$A468,INDIRECT("'"&amp;'Template Setup'!$C$5&amp;"'!A:A")),0))</f>
        <v/>
      </c>
      <c r="I468" s="12" t="str">
        <f ca="1">IF($A468="","",IFERROR(SUMIF(INDIRECT("'"&amp;'Template Setup'!$C$6&amp;"'!C:C"),$A468,INDIRECT("'"&amp;'Template Setup'!$C$6&amp;"'!A:A")),0))</f>
        <v/>
      </c>
      <c r="J468" s="12" t="str">
        <f ca="1">IF($A468="","",IFERROR(SUMIF(INDIRECT("'"&amp;'Template Setup'!$C$7&amp;"'!C:C"),$A468,INDIRECT("'"&amp;'Template Setup'!$C$7&amp;"'!A:A")),0))</f>
        <v/>
      </c>
      <c r="K468" s="12" t="str">
        <f ca="1">IF($A468="","",IFERROR(SUMIF(INDIRECT("'"&amp;'Template Setup'!$C$8&amp;"'!C:C"),$A468,INDIRECT("'"&amp;'Template Setup'!$C$8&amp;"'!A:A")),0))</f>
        <v/>
      </c>
      <c r="L468" s="11" t="str">
        <f>IF($A468="","",IFERROR(VALUE(MID(TRIM('Template Setup'!$C$4),FIND("-",TRIM('Template Setup'!$C$4))+1,10)),0))</f>
        <v/>
      </c>
      <c r="M468" s="11" t="str">
        <f>IF($A468="","",IFERROR(VALUE(MID(TRIM('Template Setup'!$C$5),FIND("-",TRIM('Template Setup'!$C$5))+1,10)),0))</f>
        <v/>
      </c>
      <c r="N468" s="11" t="str">
        <f>IF($A468="","",IFERROR(VALUE(MID(TRIM('Template Setup'!$C$6),FIND("-",TRIM('Template Setup'!$C$6))+1,10)),0))</f>
        <v/>
      </c>
      <c r="O468" s="11" t="str">
        <f>IF($A468="","",IFERROR(VALUE(MID(TRIM('Template Setup'!$C$7),FIND("-",TRIM('Template Setup'!$C$7))+1,10)),0))</f>
        <v/>
      </c>
      <c r="P468" s="11" t="str">
        <f>IF($A468="","",IFERROR(VALUE(MID(TRIM('Template Setup'!$C$8),FIND("-",TRIM('Template Setup'!$C$8))+1,10)),0))</f>
        <v/>
      </c>
      <c r="Q468" s="9" t="str">
        <f>IF($A468="","",$A468&amp;"-"&amp;'Template Setup'!$C$16)</f>
        <v/>
      </c>
      <c r="R468" s="24" t="str">
        <f t="shared" si="29"/>
        <v/>
      </c>
      <c r="S468" s="24"/>
      <c r="T468" s="24" t="str">
        <f t="shared" si="30"/>
        <v/>
      </c>
      <c r="U468" s="6" t="str">
        <f t="shared" si="32"/>
        <v/>
      </c>
    </row>
    <row r="469" spans="1:21">
      <c r="A469" s="11"/>
      <c r="B469" s="11"/>
      <c r="C469" s="11"/>
      <c r="D469" s="11" t="str">
        <f>IF($A469="","",_xlfn.TEXTJOIN(", ",TRUE,IF($G469&gt;0,'Template Setup'!$C$4,""),IF($H469&gt;0,'Template Setup'!$C$5,""),IF($I469&gt;0,'Template Setup'!$C$6,""),IF($J469&gt;0,'Template Setup'!$C$7,""),IF($K469&gt;0,'Template Setup'!$C$8,"")))</f>
        <v/>
      </c>
      <c r="E469" s="6" t="str" cm="1">
        <f t="array" ref="E469">IF($A469="","",_xlfn.LET(_xlpm.sheets,CHOOSE({1,2,3,4,5},'Template Setup'!$C$4,'Template Setup'!$C$5,'Template Setup'!$C$6,'Template Setup'!$C$7,'Template Setup'!$C$8),_xlpm.nums,CHOOSE({1,2,3,4,5},$L469,$M469,$N469,$O469,$P469),_xlpm.qtys,CHOOSE({1,2,3,4,5},$G469,$H469,$I469,$J469,$K469),_xlpm.validNums,_xlfn._xlws.FILTER(_xlpm.nums,_xlpm.qtys&gt;0),_xlpm.validSheets,_xlfn._xlws.FILTER(_xlpm.sheets,_xlpm.qtys&gt;0),_xlpm.mx,IFERROR(MAX(_xlpm.validNums),0),IF(_xlpm.mx=0,"",INDEX(_xlpm.validSheets,MATCH(_xlpm.mx,_xlpm.validNums,0))&amp;" (+"&amp;$R469&amp;")")))</f>
        <v/>
      </c>
      <c r="F469" s="11" t="str">
        <f t="shared" si="31"/>
        <v/>
      </c>
      <c r="G469" s="12" t="str">
        <f ca="1">IF($A469="","",IFERROR(SUMIF(INDIRECT("'"&amp;'Template Setup'!$C$4&amp;"'!C:C"),$A469,INDIRECT("'"&amp;'Template Setup'!$C$4&amp;"'!A:A")),0))</f>
        <v/>
      </c>
      <c r="H469" s="12" t="str">
        <f ca="1">IF($A469="","",IFERROR(SUMIF(INDIRECT("'"&amp;'Template Setup'!$C$5&amp;"'!C:C"),$A469,INDIRECT("'"&amp;'Template Setup'!$C$5&amp;"'!A:A")),0))</f>
        <v/>
      </c>
      <c r="I469" s="12" t="str">
        <f ca="1">IF($A469="","",IFERROR(SUMIF(INDIRECT("'"&amp;'Template Setup'!$C$6&amp;"'!C:C"),$A469,INDIRECT("'"&amp;'Template Setup'!$C$6&amp;"'!A:A")),0))</f>
        <v/>
      </c>
      <c r="J469" s="12" t="str">
        <f ca="1">IF($A469="","",IFERROR(SUMIF(INDIRECT("'"&amp;'Template Setup'!$C$7&amp;"'!C:C"),$A469,INDIRECT("'"&amp;'Template Setup'!$C$7&amp;"'!A:A")),0))</f>
        <v/>
      </c>
      <c r="K469" s="12" t="str">
        <f ca="1">IF($A469="","",IFERROR(SUMIF(INDIRECT("'"&amp;'Template Setup'!$C$8&amp;"'!C:C"),$A469,INDIRECT("'"&amp;'Template Setup'!$C$8&amp;"'!A:A")),0))</f>
        <v/>
      </c>
      <c r="L469" s="11" t="str">
        <f>IF($A469="","",IFERROR(VALUE(MID(TRIM('Template Setup'!$C$4),FIND("-",TRIM('Template Setup'!$C$4))+1,10)),0))</f>
        <v/>
      </c>
      <c r="M469" s="11" t="str">
        <f>IF($A469="","",IFERROR(VALUE(MID(TRIM('Template Setup'!$C$5),FIND("-",TRIM('Template Setup'!$C$5))+1,10)),0))</f>
        <v/>
      </c>
      <c r="N469" s="11" t="str">
        <f>IF($A469="","",IFERROR(VALUE(MID(TRIM('Template Setup'!$C$6),FIND("-",TRIM('Template Setup'!$C$6))+1,10)),0))</f>
        <v/>
      </c>
      <c r="O469" s="11" t="str">
        <f>IF($A469="","",IFERROR(VALUE(MID(TRIM('Template Setup'!$C$7),FIND("-",TRIM('Template Setup'!$C$7))+1,10)),0))</f>
        <v/>
      </c>
      <c r="P469" s="11" t="str">
        <f>IF($A469="","",IFERROR(VALUE(MID(TRIM('Template Setup'!$C$8),FIND("-",TRIM('Template Setup'!$C$8))+1,10)),0))</f>
        <v/>
      </c>
      <c r="Q469" s="9" t="str">
        <f>IF($A469="","",$A469&amp;"-"&amp;'Template Setup'!$C$16)</f>
        <v/>
      </c>
      <c r="R469" s="24" t="str">
        <f t="shared" si="29"/>
        <v/>
      </c>
      <c r="S469" s="24"/>
      <c r="T469" s="24" t="str">
        <f t="shared" si="30"/>
        <v/>
      </c>
      <c r="U469" s="6" t="str">
        <f t="shared" si="32"/>
        <v/>
      </c>
    </row>
    <row r="470" spans="1:21">
      <c r="A470" s="11"/>
      <c r="B470" s="11"/>
      <c r="C470" s="11"/>
      <c r="D470" s="11" t="str">
        <f>IF($A470="","",_xlfn.TEXTJOIN(", ",TRUE,IF($G470&gt;0,'Template Setup'!$C$4,""),IF($H470&gt;0,'Template Setup'!$C$5,""),IF($I470&gt;0,'Template Setup'!$C$6,""),IF($J470&gt;0,'Template Setup'!$C$7,""),IF($K470&gt;0,'Template Setup'!$C$8,"")))</f>
        <v/>
      </c>
      <c r="E470" s="6" t="str" cm="1">
        <f t="array" ref="E470">IF($A470="","",_xlfn.LET(_xlpm.sheets,CHOOSE({1,2,3,4,5},'Template Setup'!$C$4,'Template Setup'!$C$5,'Template Setup'!$C$6,'Template Setup'!$C$7,'Template Setup'!$C$8),_xlpm.nums,CHOOSE({1,2,3,4,5},$L470,$M470,$N470,$O470,$P470),_xlpm.qtys,CHOOSE({1,2,3,4,5},$G470,$H470,$I470,$J470,$K470),_xlpm.validNums,_xlfn._xlws.FILTER(_xlpm.nums,_xlpm.qtys&gt;0),_xlpm.validSheets,_xlfn._xlws.FILTER(_xlpm.sheets,_xlpm.qtys&gt;0),_xlpm.mx,IFERROR(MAX(_xlpm.validNums),0),IF(_xlpm.mx=0,"",INDEX(_xlpm.validSheets,MATCH(_xlpm.mx,_xlpm.validNums,0))&amp;" (+"&amp;$R470&amp;")")))</f>
        <v/>
      </c>
      <c r="F470" s="11" t="str">
        <f t="shared" si="31"/>
        <v/>
      </c>
      <c r="G470" s="12" t="str">
        <f ca="1">IF($A470="","",IFERROR(SUMIF(INDIRECT("'"&amp;'Template Setup'!$C$4&amp;"'!C:C"),$A470,INDIRECT("'"&amp;'Template Setup'!$C$4&amp;"'!A:A")),0))</f>
        <v/>
      </c>
      <c r="H470" s="12" t="str">
        <f ca="1">IF($A470="","",IFERROR(SUMIF(INDIRECT("'"&amp;'Template Setup'!$C$5&amp;"'!C:C"),$A470,INDIRECT("'"&amp;'Template Setup'!$C$5&amp;"'!A:A")),0))</f>
        <v/>
      </c>
      <c r="I470" s="12" t="str">
        <f ca="1">IF($A470="","",IFERROR(SUMIF(INDIRECT("'"&amp;'Template Setup'!$C$6&amp;"'!C:C"),$A470,INDIRECT("'"&amp;'Template Setup'!$C$6&amp;"'!A:A")),0))</f>
        <v/>
      </c>
      <c r="J470" s="12" t="str">
        <f ca="1">IF($A470="","",IFERROR(SUMIF(INDIRECT("'"&amp;'Template Setup'!$C$7&amp;"'!C:C"),$A470,INDIRECT("'"&amp;'Template Setup'!$C$7&amp;"'!A:A")),0))</f>
        <v/>
      </c>
      <c r="K470" s="12" t="str">
        <f ca="1">IF($A470="","",IFERROR(SUMIF(INDIRECT("'"&amp;'Template Setup'!$C$8&amp;"'!C:C"),$A470,INDIRECT("'"&amp;'Template Setup'!$C$8&amp;"'!A:A")),0))</f>
        <v/>
      </c>
      <c r="L470" s="11" t="str">
        <f>IF($A470="","",IFERROR(VALUE(MID(TRIM('Template Setup'!$C$4),FIND("-",TRIM('Template Setup'!$C$4))+1,10)),0))</f>
        <v/>
      </c>
      <c r="M470" s="11" t="str">
        <f>IF($A470="","",IFERROR(VALUE(MID(TRIM('Template Setup'!$C$5),FIND("-",TRIM('Template Setup'!$C$5))+1,10)),0))</f>
        <v/>
      </c>
      <c r="N470" s="11" t="str">
        <f>IF($A470="","",IFERROR(VALUE(MID(TRIM('Template Setup'!$C$6),FIND("-",TRIM('Template Setup'!$C$6))+1,10)),0))</f>
        <v/>
      </c>
      <c r="O470" s="11" t="str">
        <f>IF($A470="","",IFERROR(VALUE(MID(TRIM('Template Setup'!$C$7),FIND("-",TRIM('Template Setup'!$C$7))+1,10)),0))</f>
        <v/>
      </c>
      <c r="P470" s="11" t="str">
        <f>IF($A470="","",IFERROR(VALUE(MID(TRIM('Template Setup'!$C$8),FIND("-",TRIM('Template Setup'!$C$8))+1,10)),0))</f>
        <v/>
      </c>
      <c r="Q470" s="9" t="str">
        <f>IF($A470="","",$A470&amp;"-"&amp;'Template Setup'!$C$16)</f>
        <v/>
      </c>
      <c r="R470" s="24" t="str">
        <f t="shared" si="29"/>
        <v/>
      </c>
      <c r="S470" s="24"/>
      <c r="T470" s="24" t="str">
        <f t="shared" si="30"/>
        <v/>
      </c>
      <c r="U470" s="6" t="str">
        <f t="shared" si="32"/>
        <v/>
      </c>
    </row>
    <row r="471" spans="1:21">
      <c r="A471" s="11"/>
      <c r="B471" s="11"/>
      <c r="C471" s="11"/>
      <c r="D471" s="11" t="str">
        <f>IF($A471="","",_xlfn.TEXTJOIN(", ",TRUE,IF($G471&gt;0,'Template Setup'!$C$4,""),IF($H471&gt;0,'Template Setup'!$C$5,""),IF($I471&gt;0,'Template Setup'!$C$6,""),IF($J471&gt;0,'Template Setup'!$C$7,""),IF($K471&gt;0,'Template Setup'!$C$8,"")))</f>
        <v/>
      </c>
      <c r="E471" s="6" t="str" cm="1">
        <f t="array" ref="E471">IF($A471="","",_xlfn.LET(_xlpm.sheets,CHOOSE({1,2,3,4,5},'Template Setup'!$C$4,'Template Setup'!$C$5,'Template Setup'!$C$6,'Template Setup'!$C$7,'Template Setup'!$C$8),_xlpm.nums,CHOOSE({1,2,3,4,5},$L471,$M471,$N471,$O471,$P471),_xlpm.qtys,CHOOSE({1,2,3,4,5},$G471,$H471,$I471,$J471,$K471),_xlpm.validNums,_xlfn._xlws.FILTER(_xlpm.nums,_xlpm.qtys&gt;0),_xlpm.validSheets,_xlfn._xlws.FILTER(_xlpm.sheets,_xlpm.qtys&gt;0),_xlpm.mx,IFERROR(MAX(_xlpm.validNums),0),IF(_xlpm.mx=0,"",INDEX(_xlpm.validSheets,MATCH(_xlpm.mx,_xlpm.validNums,0))&amp;" (+"&amp;$R471&amp;")")))</f>
        <v/>
      </c>
      <c r="F471" s="11" t="str">
        <f t="shared" si="31"/>
        <v/>
      </c>
      <c r="G471" s="12" t="str">
        <f ca="1">IF($A471="","",IFERROR(SUMIF(INDIRECT("'"&amp;'Template Setup'!$C$4&amp;"'!C:C"),$A471,INDIRECT("'"&amp;'Template Setup'!$C$4&amp;"'!A:A")),0))</f>
        <v/>
      </c>
      <c r="H471" s="12" t="str">
        <f ca="1">IF($A471="","",IFERROR(SUMIF(INDIRECT("'"&amp;'Template Setup'!$C$5&amp;"'!C:C"),$A471,INDIRECT("'"&amp;'Template Setup'!$C$5&amp;"'!A:A")),0))</f>
        <v/>
      </c>
      <c r="I471" s="12" t="str">
        <f ca="1">IF($A471="","",IFERROR(SUMIF(INDIRECT("'"&amp;'Template Setup'!$C$6&amp;"'!C:C"),$A471,INDIRECT("'"&amp;'Template Setup'!$C$6&amp;"'!A:A")),0))</f>
        <v/>
      </c>
      <c r="J471" s="12" t="str">
        <f ca="1">IF($A471="","",IFERROR(SUMIF(INDIRECT("'"&amp;'Template Setup'!$C$7&amp;"'!C:C"),$A471,INDIRECT("'"&amp;'Template Setup'!$C$7&amp;"'!A:A")),0))</f>
        <v/>
      </c>
      <c r="K471" s="12" t="str">
        <f ca="1">IF($A471="","",IFERROR(SUMIF(INDIRECT("'"&amp;'Template Setup'!$C$8&amp;"'!C:C"),$A471,INDIRECT("'"&amp;'Template Setup'!$C$8&amp;"'!A:A")),0))</f>
        <v/>
      </c>
      <c r="L471" s="11" t="str">
        <f>IF($A471="","",IFERROR(VALUE(MID(TRIM('Template Setup'!$C$4),FIND("-",TRIM('Template Setup'!$C$4))+1,10)),0))</f>
        <v/>
      </c>
      <c r="M471" s="11" t="str">
        <f>IF($A471="","",IFERROR(VALUE(MID(TRIM('Template Setup'!$C$5),FIND("-",TRIM('Template Setup'!$C$5))+1,10)),0))</f>
        <v/>
      </c>
      <c r="N471" s="11" t="str">
        <f>IF($A471="","",IFERROR(VALUE(MID(TRIM('Template Setup'!$C$6),FIND("-",TRIM('Template Setup'!$C$6))+1,10)),0))</f>
        <v/>
      </c>
      <c r="O471" s="11" t="str">
        <f>IF($A471="","",IFERROR(VALUE(MID(TRIM('Template Setup'!$C$7),FIND("-",TRIM('Template Setup'!$C$7))+1,10)),0))</f>
        <v/>
      </c>
      <c r="P471" s="11" t="str">
        <f>IF($A471="","",IFERROR(VALUE(MID(TRIM('Template Setup'!$C$8),FIND("-",TRIM('Template Setup'!$C$8))+1,10)),0))</f>
        <v/>
      </c>
      <c r="Q471" s="9" t="str">
        <f>IF($A471="","",$A471&amp;"-"&amp;'Template Setup'!$C$16)</f>
        <v/>
      </c>
      <c r="R471" s="24" t="str">
        <f t="shared" si="29"/>
        <v/>
      </c>
      <c r="S471" s="24"/>
      <c r="T471" s="24" t="str">
        <f t="shared" si="30"/>
        <v/>
      </c>
      <c r="U471" s="6" t="str">
        <f t="shared" si="32"/>
        <v/>
      </c>
    </row>
    <row r="472" spans="1:21">
      <c r="A472" s="11"/>
      <c r="B472" s="11"/>
      <c r="C472" s="11"/>
      <c r="D472" s="11" t="str">
        <f>IF($A472="","",_xlfn.TEXTJOIN(", ",TRUE,IF($G472&gt;0,'Template Setup'!$C$4,""),IF($H472&gt;0,'Template Setup'!$C$5,""),IF($I472&gt;0,'Template Setup'!$C$6,""),IF($J472&gt;0,'Template Setup'!$C$7,""),IF($K472&gt;0,'Template Setup'!$C$8,"")))</f>
        <v/>
      </c>
      <c r="E472" s="6" t="str" cm="1">
        <f t="array" ref="E472">IF($A472="","",_xlfn.LET(_xlpm.sheets,CHOOSE({1,2,3,4,5},'Template Setup'!$C$4,'Template Setup'!$C$5,'Template Setup'!$C$6,'Template Setup'!$C$7,'Template Setup'!$C$8),_xlpm.nums,CHOOSE({1,2,3,4,5},$L472,$M472,$N472,$O472,$P472),_xlpm.qtys,CHOOSE({1,2,3,4,5},$G472,$H472,$I472,$J472,$K472),_xlpm.validNums,_xlfn._xlws.FILTER(_xlpm.nums,_xlpm.qtys&gt;0),_xlpm.validSheets,_xlfn._xlws.FILTER(_xlpm.sheets,_xlpm.qtys&gt;0),_xlpm.mx,IFERROR(MAX(_xlpm.validNums),0),IF(_xlpm.mx=0,"",INDEX(_xlpm.validSheets,MATCH(_xlpm.mx,_xlpm.validNums,0))&amp;" (+"&amp;$R472&amp;")")))</f>
        <v/>
      </c>
      <c r="F472" s="11" t="str">
        <f t="shared" si="31"/>
        <v/>
      </c>
      <c r="G472" s="12" t="str">
        <f ca="1">IF($A472="","",IFERROR(SUMIF(INDIRECT("'"&amp;'Template Setup'!$C$4&amp;"'!C:C"),$A472,INDIRECT("'"&amp;'Template Setup'!$C$4&amp;"'!A:A")),0))</f>
        <v/>
      </c>
      <c r="H472" s="12" t="str">
        <f ca="1">IF($A472="","",IFERROR(SUMIF(INDIRECT("'"&amp;'Template Setup'!$C$5&amp;"'!C:C"),$A472,INDIRECT("'"&amp;'Template Setup'!$C$5&amp;"'!A:A")),0))</f>
        <v/>
      </c>
      <c r="I472" s="12" t="str">
        <f ca="1">IF($A472="","",IFERROR(SUMIF(INDIRECT("'"&amp;'Template Setup'!$C$6&amp;"'!C:C"),$A472,INDIRECT("'"&amp;'Template Setup'!$C$6&amp;"'!A:A")),0))</f>
        <v/>
      </c>
      <c r="J472" s="12" t="str">
        <f ca="1">IF($A472="","",IFERROR(SUMIF(INDIRECT("'"&amp;'Template Setup'!$C$7&amp;"'!C:C"),$A472,INDIRECT("'"&amp;'Template Setup'!$C$7&amp;"'!A:A")),0))</f>
        <v/>
      </c>
      <c r="K472" s="12" t="str">
        <f ca="1">IF($A472="","",IFERROR(SUMIF(INDIRECT("'"&amp;'Template Setup'!$C$8&amp;"'!C:C"),$A472,INDIRECT("'"&amp;'Template Setup'!$C$8&amp;"'!A:A")),0))</f>
        <v/>
      </c>
      <c r="L472" s="11" t="str">
        <f>IF($A472="","",IFERROR(VALUE(MID(TRIM('Template Setup'!$C$4),FIND("-",TRIM('Template Setup'!$C$4))+1,10)),0))</f>
        <v/>
      </c>
      <c r="M472" s="11" t="str">
        <f>IF($A472="","",IFERROR(VALUE(MID(TRIM('Template Setup'!$C$5),FIND("-",TRIM('Template Setup'!$C$5))+1,10)),0))</f>
        <v/>
      </c>
      <c r="N472" s="11" t="str">
        <f>IF($A472="","",IFERROR(VALUE(MID(TRIM('Template Setup'!$C$6),FIND("-",TRIM('Template Setup'!$C$6))+1,10)),0))</f>
        <v/>
      </c>
      <c r="O472" s="11" t="str">
        <f>IF($A472="","",IFERROR(VALUE(MID(TRIM('Template Setup'!$C$7),FIND("-",TRIM('Template Setup'!$C$7))+1,10)),0))</f>
        <v/>
      </c>
      <c r="P472" s="11" t="str">
        <f>IF($A472="","",IFERROR(VALUE(MID(TRIM('Template Setup'!$C$8),FIND("-",TRIM('Template Setup'!$C$8))+1,10)),0))</f>
        <v/>
      </c>
      <c r="Q472" s="9" t="str">
        <f>IF($A472="","",$A472&amp;"-"&amp;'Template Setup'!$C$16)</f>
        <v/>
      </c>
      <c r="R472" s="24" t="str">
        <f t="shared" si="29"/>
        <v/>
      </c>
      <c r="S472" s="24"/>
      <c r="T472" s="24" t="str">
        <f t="shared" si="30"/>
        <v/>
      </c>
      <c r="U472" s="6" t="str">
        <f t="shared" si="32"/>
        <v/>
      </c>
    </row>
    <row r="473" spans="1:21">
      <c r="A473" s="11"/>
      <c r="B473" s="11"/>
      <c r="C473" s="11"/>
      <c r="D473" s="11" t="str">
        <f>IF($A473="","",_xlfn.TEXTJOIN(", ",TRUE,IF($G473&gt;0,'Template Setup'!$C$4,""),IF($H473&gt;0,'Template Setup'!$C$5,""),IF($I473&gt;0,'Template Setup'!$C$6,""),IF($J473&gt;0,'Template Setup'!$C$7,""),IF($K473&gt;0,'Template Setup'!$C$8,"")))</f>
        <v/>
      </c>
      <c r="E473" s="6" t="str" cm="1">
        <f t="array" ref="E473">IF($A473="","",_xlfn.LET(_xlpm.sheets,CHOOSE({1,2,3,4,5},'Template Setup'!$C$4,'Template Setup'!$C$5,'Template Setup'!$C$6,'Template Setup'!$C$7,'Template Setup'!$C$8),_xlpm.nums,CHOOSE({1,2,3,4,5},$L473,$M473,$N473,$O473,$P473),_xlpm.qtys,CHOOSE({1,2,3,4,5},$G473,$H473,$I473,$J473,$K473),_xlpm.validNums,_xlfn._xlws.FILTER(_xlpm.nums,_xlpm.qtys&gt;0),_xlpm.validSheets,_xlfn._xlws.FILTER(_xlpm.sheets,_xlpm.qtys&gt;0),_xlpm.mx,IFERROR(MAX(_xlpm.validNums),0),IF(_xlpm.mx=0,"",INDEX(_xlpm.validSheets,MATCH(_xlpm.mx,_xlpm.validNums,0))&amp;" (+"&amp;$R473&amp;")")))</f>
        <v/>
      </c>
      <c r="F473" s="11" t="str">
        <f t="shared" si="31"/>
        <v/>
      </c>
      <c r="G473" s="12" t="str">
        <f ca="1">IF($A473="","",IFERROR(SUMIF(INDIRECT("'"&amp;'Template Setup'!$C$4&amp;"'!C:C"),$A473,INDIRECT("'"&amp;'Template Setup'!$C$4&amp;"'!A:A")),0))</f>
        <v/>
      </c>
      <c r="H473" s="12" t="str">
        <f ca="1">IF($A473="","",IFERROR(SUMIF(INDIRECT("'"&amp;'Template Setup'!$C$5&amp;"'!C:C"),$A473,INDIRECT("'"&amp;'Template Setup'!$C$5&amp;"'!A:A")),0))</f>
        <v/>
      </c>
      <c r="I473" s="12" t="str">
        <f ca="1">IF($A473="","",IFERROR(SUMIF(INDIRECT("'"&amp;'Template Setup'!$C$6&amp;"'!C:C"),$A473,INDIRECT("'"&amp;'Template Setup'!$C$6&amp;"'!A:A")),0))</f>
        <v/>
      </c>
      <c r="J473" s="12" t="str">
        <f ca="1">IF($A473="","",IFERROR(SUMIF(INDIRECT("'"&amp;'Template Setup'!$C$7&amp;"'!C:C"),$A473,INDIRECT("'"&amp;'Template Setup'!$C$7&amp;"'!A:A")),0))</f>
        <v/>
      </c>
      <c r="K473" s="12" t="str">
        <f ca="1">IF($A473="","",IFERROR(SUMIF(INDIRECT("'"&amp;'Template Setup'!$C$8&amp;"'!C:C"),$A473,INDIRECT("'"&amp;'Template Setup'!$C$8&amp;"'!A:A")),0))</f>
        <v/>
      </c>
      <c r="L473" s="11" t="str">
        <f>IF($A473="","",IFERROR(VALUE(MID(TRIM('Template Setup'!$C$4),FIND("-",TRIM('Template Setup'!$C$4))+1,10)),0))</f>
        <v/>
      </c>
      <c r="M473" s="11" t="str">
        <f>IF($A473="","",IFERROR(VALUE(MID(TRIM('Template Setup'!$C$5),FIND("-",TRIM('Template Setup'!$C$5))+1,10)),0))</f>
        <v/>
      </c>
      <c r="N473" s="11" t="str">
        <f>IF($A473="","",IFERROR(VALUE(MID(TRIM('Template Setup'!$C$6),FIND("-",TRIM('Template Setup'!$C$6))+1,10)),0))</f>
        <v/>
      </c>
      <c r="O473" s="11" t="str">
        <f>IF($A473="","",IFERROR(VALUE(MID(TRIM('Template Setup'!$C$7),FIND("-",TRIM('Template Setup'!$C$7))+1,10)),0))</f>
        <v/>
      </c>
      <c r="P473" s="11" t="str">
        <f>IF($A473="","",IFERROR(VALUE(MID(TRIM('Template Setup'!$C$8),FIND("-",TRIM('Template Setup'!$C$8))+1,10)),0))</f>
        <v/>
      </c>
      <c r="Q473" s="9" t="str">
        <f>IF($A473="","",$A473&amp;"-"&amp;'Template Setup'!$C$16)</f>
        <v/>
      </c>
      <c r="R473" s="24" t="str">
        <f t="shared" si="29"/>
        <v/>
      </c>
      <c r="S473" s="24"/>
      <c r="T473" s="24" t="str">
        <f t="shared" si="30"/>
        <v/>
      </c>
      <c r="U473" s="6" t="str">
        <f t="shared" si="32"/>
        <v/>
      </c>
    </row>
    <row r="474" spans="1:21">
      <c r="A474" s="11"/>
      <c r="B474" s="11"/>
      <c r="C474" s="11"/>
      <c r="D474" s="11" t="str">
        <f>IF($A474="","",_xlfn.TEXTJOIN(", ",TRUE,IF($G474&gt;0,'Template Setup'!$C$4,""),IF($H474&gt;0,'Template Setup'!$C$5,""),IF($I474&gt;0,'Template Setup'!$C$6,""),IF($J474&gt;0,'Template Setup'!$C$7,""),IF($K474&gt;0,'Template Setup'!$C$8,"")))</f>
        <v/>
      </c>
      <c r="E474" s="6" t="str" cm="1">
        <f t="array" ref="E474">IF($A474="","",_xlfn.LET(_xlpm.sheets,CHOOSE({1,2,3,4,5},'Template Setup'!$C$4,'Template Setup'!$C$5,'Template Setup'!$C$6,'Template Setup'!$C$7,'Template Setup'!$C$8),_xlpm.nums,CHOOSE({1,2,3,4,5},$L474,$M474,$N474,$O474,$P474),_xlpm.qtys,CHOOSE({1,2,3,4,5},$G474,$H474,$I474,$J474,$K474),_xlpm.validNums,_xlfn._xlws.FILTER(_xlpm.nums,_xlpm.qtys&gt;0),_xlpm.validSheets,_xlfn._xlws.FILTER(_xlpm.sheets,_xlpm.qtys&gt;0),_xlpm.mx,IFERROR(MAX(_xlpm.validNums),0),IF(_xlpm.mx=0,"",INDEX(_xlpm.validSheets,MATCH(_xlpm.mx,_xlpm.validNums,0))&amp;" (+"&amp;$R474&amp;")")))</f>
        <v/>
      </c>
      <c r="F474" s="11" t="str">
        <f t="shared" si="31"/>
        <v/>
      </c>
      <c r="G474" s="12" t="str">
        <f ca="1">IF($A474="","",IFERROR(SUMIF(INDIRECT("'"&amp;'Template Setup'!$C$4&amp;"'!C:C"),$A474,INDIRECT("'"&amp;'Template Setup'!$C$4&amp;"'!A:A")),0))</f>
        <v/>
      </c>
      <c r="H474" s="12" t="str">
        <f ca="1">IF($A474="","",IFERROR(SUMIF(INDIRECT("'"&amp;'Template Setup'!$C$5&amp;"'!C:C"),$A474,INDIRECT("'"&amp;'Template Setup'!$C$5&amp;"'!A:A")),0))</f>
        <v/>
      </c>
      <c r="I474" s="12" t="str">
        <f ca="1">IF($A474="","",IFERROR(SUMIF(INDIRECT("'"&amp;'Template Setup'!$C$6&amp;"'!C:C"),$A474,INDIRECT("'"&amp;'Template Setup'!$C$6&amp;"'!A:A")),0))</f>
        <v/>
      </c>
      <c r="J474" s="12" t="str">
        <f ca="1">IF($A474="","",IFERROR(SUMIF(INDIRECT("'"&amp;'Template Setup'!$C$7&amp;"'!C:C"),$A474,INDIRECT("'"&amp;'Template Setup'!$C$7&amp;"'!A:A")),0))</f>
        <v/>
      </c>
      <c r="K474" s="12" t="str">
        <f ca="1">IF($A474="","",IFERROR(SUMIF(INDIRECT("'"&amp;'Template Setup'!$C$8&amp;"'!C:C"),$A474,INDIRECT("'"&amp;'Template Setup'!$C$8&amp;"'!A:A")),0))</f>
        <v/>
      </c>
      <c r="L474" s="11" t="str">
        <f>IF($A474="","",IFERROR(VALUE(MID(TRIM('Template Setup'!$C$4),FIND("-",TRIM('Template Setup'!$C$4))+1,10)),0))</f>
        <v/>
      </c>
      <c r="M474" s="11" t="str">
        <f>IF($A474="","",IFERROR(VALUE(MID(TRIM('Template Setup'!$C$5),FIND("-",TRIM('Template Setup'!$C$5))+1,10)),0))</f>
        <v/>
      </c>
      <c r="N474" s="11" t="str">
        <f>IF($A474="","",IFERROR(VALUE(MID(TRIM('Template Setup'!$C$6),FIND("-",TRIM('Template Setup'!$C$6))+1,10)),0))</f>
        <v/>
      </c>
      <c r="O474" s="11" t="str">
        <f>IF($A474="","",IFERROR(VALUE(MID(TRIM('Template Setup'!$C$7),FIND("-",TRIM('Template Setup'!$C$7))+1,10)),0))</f>
        <v/>
      </c>
      <c r="P474" s="11" t="str">
        <f>IF($A474="","",IFERROR(VALUE(MID(TRIM('Template Setup'!$C$8),FIND("-",TRIM('Template Setup'!$C$8))+1,10)),0))</f>
        <v/>
      </c>
      <c r="Q474" s="9" t="str">
        <f>IF($A474="","",$A474&amp;"-"&amp;'Template Setup'!$C$16)</f>
        <v/>
      </c>
      <c r="R474" s="24" t="str">
        <f t="shared" si="29"/>
        <v/>
      </c>
      <c r="S474" s="24"/>
      <c r="T474" s="24" t="str">
        <f t="shared" si="30"/>
        <v/>
      </c>
      <c r="U474" s="6" t="str">
        <f t="shared" si="32"/>
        <v/>
      </c>
    </row>
    <row r="475" spans="1:21">
      <c r="A475" s="11"/>
      <c r="B475" s="11"/>
      <c r="C475" s="11"/>
      <c r="D475" s="11" t="str">
        <f>IF($A475="","",_xlfn.TEXTJOIN(", ",TRUE,IF($G475&gt;0,'Template Setup'!$C$4,""),IF($H475&gt;0,'Template Setup'!$C$5,""),IF($I475&gt;0,'Template Setup'!$C$6,""),IF($J475&gt;0,'Template Setup'!$C$7,""),IF($K475&gt;0,'Template Setup'!$C$8,"")))</f>
        <v/>
      </c>
      <c r="E475" s="6" t="str" cm="1">
        <f t="array" ref="E475">IF($A475="","",_xlfn.LET(_xlpm.sheets,CHOOSE({1,2,3,4,5},'Template Setup'!$C$4,'Template Setup'!$C$5,'Template Setup'!$C$6,'Template Setup'!$C$7,'Template Setup'!$C$8),_xlpm.nums,CHOOSE({1,2,3,4,5},$L475,$M475,$N475,$O475,$P475),_xlpm.qtys,CHOOSE({1,2,3,4,5},$G475,$H475,$I475,$J475,$K475),_xlpm.validNums,_xlfn._xlws.FILTER(_xlpm.nums,_xlpm.qtys&gt;0),_xlpm.validSheets,_xlfn._xlws.FILTER(_xlpm.sheets,_xlpm.qtys&gt;0),_xlpm.mx,IFERROR(MAX(_xlpm.validNums),0),IF(_xlpm.mx=0,"",INDEX(_xlpm.validSheets,MATCH(_xlpm.mx,_xlpm.validNums,0))&amp;" (+"&amp;$R475&amp;")")))</f>
        <v/>
      </c>
      <c r="F475" s="11" t="str">
        <f t="shared" si="31"/>
        <v/>
      </c>
      <c r="G475" s="12" t="str">
        <f ca="1">IF($A475="","",IFERROR(SUMIF(INDIRECT("'"&amp;'Template Setup'!$C$4&amp;"'!C:C"),$A475,INDIRECT("'"&amp;'Template Setup'!$C$4&amp;"'!A:A")),0))</f>
        <v/>
      </c>
      <c r="H475" s="12" t="str">
        <f ca="1">IF($A475="","",IFERROR(SUMIF(INDIRECT("'"&amp;'Template Setup'!$C$5&amp;"'!C:C"),$A475,INDIRECT("'"&amp;'Template Setup'!$C$5&amp;"'!A:A")),0))</f>
        <v/>
      </c>
      <c r="I475" s="12" t="str">
        <f ca="1">IF($A475="","",IFERROR(SUMIF(INDIRECT("'"&amp;'Template Setup'!$C$6&amp;"'!C:C"),$A475,INDIRECT("'"&amp;'Template Setup'!$C$6&amp;"'!A:A")),0))</f>
        <v/>
      </c>
      <c r="J475" s="12" t="str">
        <f ca="1">IF($A475="","",IFERROR(SUMIF(INDIRECT("'"&amp;'Template Setup'!$C$7&amp;"'!C:C"),$A475,INDIRECT("'"&amp;'Template Setup'!$C$7&amp;"'!A:A")),0))</f>
        <v/>
      </c>
      <c r="K475" s="12" t="str">
        <f ca="1">IF($A475="","",IFERROR(SUMIF(INDIRECT("'"&amp;'Template Setup'!$C$8&amp;"'!C:C"),$A475,INDIRECT("'"&amp;'Template Setup'!$C$8&amp;"'!A:A")),0))</f>
        <v/>
      </c>
      <c r="L475" s="11" t="str">
        <f>IF($A475="","",IFERROR(VALUE(MID(TRIM('Template Setup'!$C$4),FIND("-",TRIM('Template Setup'!$C$4))+1,10)),0))</f>
        <v/>
      </c>
      <c r="M475" s="11" t="str">
        <f>IF($A475="","",IFERROR(VALUE(MID(TRIM('Template Setup'!$C$5),FIND("-",TRIM('Template Setup'!$C$5))+1,10)),0))</f>
        <v/>
      </c>
      <c r="N475" s="11" t="str">
        <f>IF($A475="","",IFERROR(VALUE(MID(TRIM('Template Setup'!$C$6),FIND("-",TRIM('Template Setup'!$C$6))+1,10)),0))</f>
        <v/>
      </c>
      <c r="O475" s="11" t="str">
        <f>IF($A475="","",IFERROR(VALUE(MID(TRIM('Template Setup'!$C$7),FIND("-",TRIM('Template Setup'!$C$7))+1,10)),0))</f>
        <v/>
      </c>
      <c r="P475" s="11" t="str">
        <f>IF($A475="","",IFERROR(VALUE(MID(TRIM('Template Setup'!$C$8),FIND("-",TRIM('Template Setup'!$C$8))+1,10)),0))</f>
        <v/>
      </c>
      <c r="Q475" s="9" t="str">
        <f>IF($A475="","",$A475&amp;"-"&amp;'Template Setup'!$C$16)</f>
        <v/>
      </c>
      <c r="R475" s="24" t="str">
        <f t="shared" si="29"/>
        <v/>
      </c>
      <c r="S475" s="24"/>
      <c r="T475" s="24" t="str">
        <f t="shared" si="30"/>
        <v/>
      </c>
      <c r="U475" s="6" t="str">
        <f t="shared" si="32"/>
        <v/>
      </c>
    </row>
    <row r="476" spans="1:21">
      <c r="A476" s="11"/>
      <c r="B476" s="11"/>
      <c r="C476" s="11"/>
      <c r="D476" s="11" t="str">
        <f>IF($A476="","",_xlfn.TEXTJOIN(", ",TRUE,IF($G476&gt;0,'Template Setup'!$C$4,""),IF($H476&gt;0,'Template Setup'!$C$5,""),IF($I476&gt;0,'Template Setup'!$C$6,""),IF($J476&gt;0,'Template Setup'!$C$7,""),IF($K476&gt;0,'Template Setup'!$C$8,"")))</f>
        <v/>
      </c>
      <c r="E476" s="6" t="str" cm="1">
        <f t="array" ref="E476">IF($A476="","",_xlfn.LET(_xlpm.sheets,CHOOSE({1,2,3,4,5},'Template Setup'!$C$4,'Template Setup'!$C$5,'Template Setup'!$C$6,'Template Setup'!$C$7,'Template Setup'!$C$8),_xlpm.nums,CHOOSE({1,2,3,4,5},$L476,$M476,$N476,$O476,$P476),_xlpm.qtys,CHOOSE({1,2,3,4,5},$G476,$H476,$I476,$J476,$K476),_xlpm.validNums,_xlfn._xlws.FILTER(_xlpm.nums,_xlpm.qtys&gt;0),_xlpm.validSheets,_xlfn._xlws.FILTER(_xlpm.sheets,_xlpm.qtys&gt;0),_xlpm.mx,IFERROR(MAX(_xlpm.validNums),0),IF(_xlpm.mx=0,"",INDEX(_xlpm.validSheets,MATCH(_xlpm.mx,_xlpm.validNums,0))&amp;" (+"&amp;$R476&amp;")")))</f>
        <v/>
      </c>
      <c r="F476" s="11" t="str">
        <f t="shared" si="31"/>
        <v/>
      </c>
      <c r="G476" s="12" t="str">
        <f ca="1">IF($A476="","",IFERROR(SUMIF(INDIRECT("'"&amp;'Template Setup'!$C$4&amp;"'!C:C"),$A476,INDIRECT("'"&amp;'Template Setup'!$C$4&amp;"'!A:A")),0))</f>
        <v/>
      </c>
      <c r="H476" s="12" t="str">
        <f ca="1">IF($A476="","",IFERROR(SUMIF(INDIRECT("'"&amp;'Template Setup'!$C$5&amp;"'!C:C"),$A476,INDIRECT("'"&amp;'Template Setup'!$C$5&amp;"'!A:A")),0))</f>
        <v/>
      </c>
      <c r="I476" s="12" t="str">
        <f ca="1">IF($A476="","",IFERROR(SUMIF(INDIRECT("'"&amp;'Template Setup'!$C$6&amp;"'!C:C"),$A476,INDIRECT("'"&amp;'Template Setup'!$C$6&amp;"'!A:A")),0))</f>
        <v/>
      </c>
      <c r="J476" s="12" t="str">
        <f ca="1">IF($A476="","",IFERROR(SUMIF(INDIRECT("'"&amp;'Template Setup'!$C$7&amp;"'!C:C"),$A476,INDIRECT("'"&amp;'Template Setup'!$C$7&amp;"'!A:A")),0))</f>
        <v/>
      </c>
      <c r="K476" s="12" t="str">
        <f ca="1">IF($A476="","",IFERROR(SUMIF(INDIRECT("'"&amp;'Template Setup'!$C$8&amp;"'!C:C"),$A476,INDIRECT("'"&amp;'Template Setup'!$C$8&amp;"'!A:A")),0))</f>
        <v/>
      </c>
      <c r="L476" s="11" t="str">
        <f>IF($A476="","",IFERROR(VALUE(MID(TRIM('Template Setup'!$C$4),FIND("-",TRIM('Template Setup'!$C$4))+1,10)),0))</f>
        <v/>
      </c>
      <c r="M476" s="11" t="str">
        <f>IF($A476="","",IFERROR(VALUE(MID(TRIM('Template Setup'!$C$5),FIND("-",TRIM('Template Setup'!$C$5))+1,10)),0))</f>
        <v/>
      </c>
      <c r="N476" s="11" t="str">
        <f>IF($A476="","",IFERROR(VALUE(MID(TRIM('Template Setup'!$C$6),FIND("-",TRIM('Template Setup'!$C$6))+1,10)),0))</f>
        <v/>
      </c>
      <c r="O476" s="11" t="str">
        <f>IF($A476="","",IFERROR(VALUE(MID(TRIM('Template Setup'!$C$7),FIND("-",TRIM('Template Setup'!$C$7))+1,10)),0))</f>
        <v/>
      </c>
      <c r="P476" s="11" t="str">
        <f>IF($A476="","",IFERROR(VALUE(MID(TRIM('Template Setup'!$C$8),FIND("-",TRIM('Template Setup'!$C$8))+1,10)),0))</f>
        <v/>
      </c>
      <c r="Q476" s="9" t="str">
        <f>IF($A476="","",$A476&amp;"-"&amp;'Template Setup'!$C$16)</f>
        <v/>
      </c>
      <c r="R476" s="24" t="str">
        <f t="shared" si="29"/>
        <v/>
      </c>
      <c r="S476" s="24"/>
      <c r="T476" s="24" t="str">
        <f t="shared" si="30"/>
        <v/>
      </c>
      <c r="U476" s="6" t="str">
        <f t="shared" si="32"/>
        <v/>
      </c>
    </row>
    <row r="477" spans="1:21">
      <c r="A477" s="11"/>
      <c r="B477" s="11"/>
      <c r="C477" s="11"/>
      <c r="D477" s="11" t="str">
        <f>IF($A477="","",_xlfn.TEXTJOIN(", ",TRUE,IF($G477&gt;0,'Template Setup'!$C$4,""),IF($H477&gt;0,'Template Setup'!$C$5,""),IF($I477&gt;0,'Template Setup'!$C$6,""),IF($J477&gt;0,'Template Setup'!$C$7,""),IF($K477&gt;0,'Template Setup'!$C$8,"")))</f>
        <v/>
      </c>
      <c r="E477" s="6" t="str" cm="1">
        <f t="array" ref="E477">IF($A477="","",_xlfn.LET(_xlpm.sheets,CHOOSE({1,2,3,4,5},'Template Setup'!$C$4,'Template Setup'!$C$5,'Template Setup'!$C$6,'Template Setup'!$C$7,'Template Setup'!$C$8),_xlpm.nums,CHOOSE({1,2,3,4,5},$L477,$M477,$N477,$O477,$P477),_xlpm.qtys,CHOOSE({1,2,3,4,5},$G477,$H477,$I477,$J477,$K477),_xlpm.validNums,_xlfn._xlws.FILTER(_xlpm.nums,_xlpm.qtys&gt;0),_xlpm.validSheets,_xlfn._xlws.FILTER(_xlpm.sheets,_xlpm.qtys&gt;0),_xlpm.mx,IFERROR(MAX(_xlpm.validNums),0),IF(_xlpm.mx=0,"",INDEX(_xlpm.validSheets,MATCH(_xlpm.mx,_xlpm.validNums,0))&amp;" (+"&amp;$R477&amp;")")))</f>
        <v/>
      </c>
      <c r="F477" s="11" t="str">
        <f t="shared" si="31"/>
        <v/>
      </c>
      <c r="G477" s="12" t="str">
        <f ca="1">IF($A477="","",IFERROR(SUMIF(INDIRECT("'"&amp;'Template Setup'!$C$4&amp;"'!C:C"),$A477,INDIRECT("'"&amp;'Template Setup'!$C$4&amp;"'!A:A")),0))</f>
        <v/>
      </c>
      <c r="H477" s="12" t="str">
        <f ca="1">IF($A477="","",IFERROR(SUMIF(INDIRECT("'"&amp;'Template Setup'!$C$5&amp;"'!C:C"),$A477,INDIRECT("'"&amp;'Template Setup'!$C$5&amp;"'!A:A")),0))</f>
        <v/>
      </c>
      <c r="I477" s="12" t="str">
        <f ca="1">IF($A477="","",IFERROR(SUMIF(INDIRECT("'"&amp;'Template Setup'!$C$6&amp;"'!C:C"),$A477,INDIRECT("'"&amp;'Template Setup'!$C$6&amp;"'!A:A")),0))</f>
        <v/>
      </c>
      <c r="J477" s="12" t="str">
        <f ca="1">IF($A477="","",IFERROR(SUMIF(INDIRECT("'"&amp;'Template Setup'!$C$7&amp;"'!C:C"),$A477,INDIRECT("'"&amp;'Template Setup'!$C$7&amp;"'!A:A")),0))</f>
        <v/>
      </c>
      <c r="K477" s="12" t="str">
        <f ca="1">IF($A477="","",IFERROR(SUMIF(INDIRECT("'"&amp;'Template Setup'!$C$8&amp;"'!C:C"),$A477,INDIRECT("'"&amp;'Template Setup'!$C$8&amp;"'!A:A")),0))</f>
        <v/>
      </c>
      <c r="L477" s="11" t="str">
        <f>IF($A477="","",IFERROR(VALUE(MID(TRIM('Template Setup'!$C$4),FIND("-",TRIM('Template Setup'!$C$4))+1,10)),0))</f>
        <v/>
      </c>
      <c r="M477" s="11" t="str">
        <f>IF($A477="","",IFERROR(VALUE(MID(TRIM('Template Setup'!$C$5),FIND("-",TRIM('Template Setup'!$C$5))+1,10)),0))</f>
        <v/>
      </c>
      <c r="N477" s="11" t="str">
        <f>IF($A477="","",IFERROR(VALUE(MID(TRIM('Template Setup'!$C$6),FIND("-",TRIM('Template Setup'!$C$6))+1,10)),0))</f>
        <v/>
      </c>
      <c r="O477" s="11" t="str">
        <f>IF($A477="","",IFERROR(VALUE(MID(TRIM('Template Setup'!$C$7),FIND("-",TRIM('Template Setup'!$C$7))+1,10)),0))</f>
        <v/>
      </c>
      <c r="P477" s="11" t="str">
        <f>IF($A477="","",IFERROR(VALUE(MID(TRIM('Template Setup'!$C$8),FIND("-",TRIM('Template Setup'!$C$8))+1,10)),0))</f>
        <v/>
      </c>
      <c r="Q477" s="9" t="str">
        <f>IF($A477="","",$A477&amp;"-"&amp;'Template Setup'!$C$16)</f>
        <v/>
      </c>
      <c r="R477" s="24" t="str">
        <f t="shared" si="29"/>
        <v/>
      </c>
      <c r="S477" s="24"/>
      <c r="T477" s="24" t="str">
        <f t="shared" si="30"/>
        <v/>
      </c>
      <c r="U477" s="6" t="str">
        <f t="shared" si="32"/>
        <v/>
      </c>
    </row>
    <row r="478" spans="1:21">
      <c r="A478" s="11"/>
      <c r="B478" s="11"/>
      <c r="C478" s="11"/>
      <c r="D478" s="11" t="str">
        <f>IF($A478="","",_xlfn.TEXTJOIN(", ",TRUE,IF($G478&gt;0,'Template Setup'!$C$4,""),IF($H478&gt;0,'Template Setup'!$C$5,""),IF($I478&gt;0,'Template Setup'!$C$6,""),IF($J478&gt;0,'Template Setup'!$C$7,""),IF($K478&gt;0,'Template Setup'!$C$8,"")))</f>
        <v/>
      </c>
      <c r="E478" s="6" t="str" cm="1">
        <f t="array" ref="E478">IF($A478="","",_xlfn.LET(_xlpm.sheets,CHOOSE({1,2,3,4,5},'Template Setup'!$C$4,'Template Setup'!$C$5,'Template Setup'!$C$6,'Template Setup'!$C$7,'Template Setup'!$C$8),_xlpm.nums,CHOOSE({1,2,3,4,5},$L478,$M478,$N478,$O478,$P478),_xlpm.qtys,CHOOSE({1,2,3,4,5},$G478,$H478,$I478,$J478,$K478),_xlpm.validNums,_xlfn._xlws.FILTER(_xlpm.nums,_xlpm.qtys&gt;0),_xlpm.validSheets,_xlfn._xlws.FILTER(_xlpm.sheets,_xlpm.qtys&gt;0),_xlpm.mx,IFERROR(MAX(_xlpm.validNums),0),IF(_xlpm.mx=0,"",INDEX(_xlpm.validSheets,MATCH(_xlpm.mx,_xlpm.validNums,0))&amp;" (+"&amp;$R478&amp;")")))</f>
        <v/>
      </c>
      <c r="F478" s="11" t="str">
        <f t="shared" si="31"/>
        <v/>
      </c>
      <c r="G478" s="12" t="str">
        <f ca="1">IF($A478="","",IFERROR(SUMIF(INDIRECT("'"&amp;'Template Setup'!$C$4&amp;"'!C:C"),$A478,INDIRECT("'"&amp;'Template Setup'!$C$4&amp;"'!A:A")),0))</f>
        <v/>
      </c>
      <c r="H478" s="12" t="str">
        <f ca="1">IF($A478="","",IFERROR(SUMIF(INDIRECT("'"&amp;'Template Setup'!$C$5&amp;"'!C:C"),$A478,INDIRECT("'"&amp;'Template Setup'!$C$5&amp;"'!A:A")),0))</f>
        <v/>
      </c>
      <c r="I478" s="12" t="str">
        <f ca="1">IF($A478="","",IFERROR(SUMIF(INDIRECT("'"&amp;'Template Setup'!$C$6&amp;"'!C:C"),$A478,INDIRECT("'"&amp;'Template Setup'!$C$6&amp;"'!A:A")),0))</f>
        <v/>
      </c>
      <c r="J478" s="12" t="str">
        <f ca="1">IF($A478="","",IFERROR(SUMIF(INDIRECT("'"&amp;'Template Setup'!$C$7&amp;"'!C:C"),$A478,INDIRECT("'"&amp;'Template Setup'!$C$7&amp;"'!A:A")),0))</f>
        <v/>
      </c>
      <c r="K478" s="12" t="str">
        <f ca="1">IF($A478="","",IFERROR(SUMIF(INDIRECT("'"&amp;'Template Setup'!$C$8&amp;"'!C:C"),$A478,INDIRECT("'"&amp;'Template Setup'!$C$8&amp;"'!A:A")),0))</f>
        <v/>
      </c>
      <c r="L478" s="11" t="str">
        <f>IF($A478="","",IFERROR(VALUE(MID(TRIM('Template Setup'!$C$4),FIND("-",TRIM('Template Setup'!$C$4))+1,10)),0))</f>
        <v/>
      </c>
      <c r="M478" s="11" t="str">
        <f>IF($A478="","",IFERROR(VALUE(MID(TRIM('Template Setup'!$C$5),FIND("-",TRIM('Template Setup'!$C$5))+1,10)),0))</f>
        <v/>
      </c>
      <c r="N478" s="11" t="str">
        <f>IF($A478="","",IFERROR(VALUE(MID(TRIM('Template Setup'!$C$6),FIND("-",TRIM('Template Setup'!$C$6))+1,10)),0))</f>
        <v/>
      </c>
      <c r="O478" s="11" t="str">
        <f>IF($A478="","",IFERROR(VALUE(MID(TRIM('Template Setup'!$C$7),FIND("-",TRIM('Template Setup'!$C$7))+1,10)),0))</f>
        <v/>
      </c>
      <c r="P478" s="11" t="str">
        <f>IF($A478="","",IFERROR(VALUE(MID(TRIM('Template Setup'!$C$8),FIND("-",TRIM('Template Setup'!$C$8))+1,10)),0))</f>
        <v/>
      </c>
      <c r="Q478" s="9" t="str">
        <f>IF($A478="","",$A478&amp;"-"&amp;'Template Setup'!$C$16)</f>
        <v/>
      </c>
      <c r="R478" s="24" t="str">
        <f t="shared" si="29"/>
        <v/>
      </c>
      <c r="S478" s="24"/>
      <c r="T478" s="24" t="str">
        <f t="shared" si="30"/>
        <v/>
      </c>
      <c r="U478" s="6" t="str">
        <f t="shared" si="32"/>
        <v/>
      </c>
    </row>
    <row r="479" spans="1:21">
      <c r="A479" s="11"/>
      <c r="B479" s="11"/>
      <c r="C479" s="11"/>
      <c r="D479" s="11" t="str">
        <f>IF($A479="","",_xlfn.TEXTJOIN(", ",TRUE,IF($G479&gt;0,'Template Setup'!$C$4,""),IF($H479&gt;0,'Template Setup'!$C$5,""),IF($I479&gt;0,'Template Setup'!$C$6,""),IF($J479&gt;0,'Template Setup'!$C$7,""),IF($K479&gt;0,'Template Setup'!$C$8,"")))</f>
        <v/>
      </c>
      <c r="E479" s="6" t="str" cm="1">
        <f t="array" ref="E479">IF($A479="","",_xlfn.LET(_xlpm.sheets,CHOOSE({1,2,3,4,5},'Template Setup'!$C$4,'Template Setup'!$C$5,'Template Setup'!$C$6,'Template Setup'!$C$7,'Template Setup'!$C$8),_xlpm.nums,CHOOSE({1,2,3,4,5},$L479,$M479,$N479,$O479,$P479),_xlpm.qtys,CHOOSE({1,2,3,4,5},$G479,$H479,$I479,$J479,$K479),_xlpm.validNums,_xlfn._xlws.FILTER(_xlpm.nums,_xlpm.qtys&gt;0),_xlpm.validSheets,_xlfn._xlws.FILTER(_xlpm.sheets,_xlpm.qtys&gt;0),_xlpm.mx,IFERROR(MAX(_xlpm.validNums),0),IF(_xlpm.mx=0,"",INDEX(_xlpm.validSheets,MATCH(_xlpm.mx,_xlpm.validNums,0))&amp;" (+"&amp;$R479&amp;")")))</f>
        <v/>
      </c>
      <c r="F479" s="11" t="str">
        <f t="shared" si="31"/>
        <v/>
      </c>
      <c r="G479" s="12" t="str">
        <f ca="1">IF($A479="","",IFERROR(SUMIF(INDIRECT("'"&amp;'Template Setup'!$C$4&amp;"'!C:C"),$A479,INDIRECT("'"&amp;'Template Setup'!$C$4&amp;"'!A:A")),0))</f>
        <v/>
      </c>
      <c r="H479" s="12" t="str">
        <f ca="1">IF($A479="","",IFERROR(SUMIF(INDIRECT("'"&amp;'Template Setup'!$C$5&amp;"'!C:C"),$A479,INDIRECT("'"&amp;'Template Setup'!$C$5&amp;"'!A:A")),0))</f>
        <v/>
      </c>
      <c r="I479" s="12" t="str">
        <f ca="1">IF($A479="","",IFERROR(SUMIF(INDIRECT("'"&amp;'Template Setup'!$C$6&amp;"'!C:C"),$A479,INDIRECT("'"&amp;'Template Setup'!$C$6&amp;"'!A:A")),0))</f>
        <v/>
      </c>
      <c r="J479" s="12" t="str">
        <f ca="1">IF($A479="","",IFERROR(SUMIF(INDIRECT("'"&amp;'Template Setup'!$C$7&amp;"'!C:C"),$A479,INDIRECT("'"&amp;'Template Setup'!$C$7&amp;"'!A:A")),0))</f>
        <v/>
      </c>
      <c r="K479" s="12" t="str">
        <f ca="1">IF($A479="","",IFERROR(SUMIF(INDIRECT("'"&amp;'Template Setup'!$C$8&amp;"'!C:C"),$A479,INDIRECT("'"&amp;'Template Setup'!$C$8&amp;"'!A:A")),0))</f>
        <v/>
      </c>
      <c r="L479" s="11" t="str">
        <f>IF($A479="","",IFERROR(VALUE(MID(TRIM('Template Setup'!$C$4),FIND("-",TRIM('Template Setup'!$C$4))+1,10)),0))</f>
        <v/>
      </c>
      <c r="M479" s="11" t="str">
        <f>IF($A479="","",IFERROR(VALUE(MID(TRIM('Template Setup'!$C$5),FIND("-",TRIM('Template Setup'!$C$5))+1,10)),0))</f>
        <v/>
      </c>
      <c r="N479" s="11" t="str">
        <f>IF($A479="","",IFERROR(VALUE(MID(TRIM('Template Setup'!$C$6),FIND("-",TRIM('Template Setup'!$C$6))+1,10)),0))</f>
        <v/>
      </c>
      <c r="O479" s="11" t="str">
        <f>IF($A479="","",IFERROR(VALUE(MID(TRIM('Template Setup'!$C$7),FIND("-",TRIM('Template Setup'!$C$7))+1,10)),0))</f>
        <v/>
      </c>
      <c r="P479" s="11" t="str">
        <f>IF($A479="","",IFERROR(VALUE(MID(TRIM('Template Setup'!$C$8),FIND("-",TRIM('Template Setup'!$C$8))+1,10)),0))</f>
        <v/>
      </c>
      <c r="Q479" s="9" t="str">
        <f>IF($A479="","",$A479&amp;"-"&amp;'Template Setup'!$C$16)</f>
        <v/>
      </c>
      <c r="R479" s="24" t="str">
        <f t="shared" si="29"/>
        <v/>
      </c>
      <c r="S479" s="24"/>
      <c r="T479" s="24" t="str">
        <f t="shared" si="30"/>
        <v/>
      </c>
      <c r="U479" s="6" t="str">
        <f t="shared" si="32"/>
        <v/>
      </c>
    </row>
    <row r="480" spans="1:21">
      <c r="A480" s="11"/>
      <c r="B480" s="11"/>
      <c r="C480" s="11"/>
      <c r="D480" s="11" t="str">
        <f>IF($A480="","",_xlfn.TEXTJOIN(", ",TRUE,IF($G480&gt;0,'Template Setup'!$C$4,""),IF($H480&gt;0,'Template Setup'!$C$5,""),IF($I480&gt;0,'Template Setup'!$C$6,""),IF($J480&gt;0,'Template Setup'!$C$7,""),IF($K480&gt;0,'Template Setup'!$C$8,"")))</f>
        <v/>
      </c>
      <c r="E480" s="6" t="str" cm="1">
        <f t="array" ref="E480">IF($A480="","",_xlfn.LET(_xlpm.sheets,CHOOSE({1,2,3,4,5},'Template Setup'!$C$4,'Template Setup'!$C$5,'Template Setup'!$C$6,'Template Setup'!$C$7,'Template Setup'!$C$8),_xlpm.nums,CHOOSE({1,2,3,4,5},$L480,$M480,$N480,$O480,$P480),_xlpm.qtys,CHOOSE({1,2,3,4,5},$G480,$H480,$I480,$J480,$K480),_xlpm.validNums,_xlfn._xlws.FILTER(_xlpm.nums,_xlpm.qtys&gt;0),_xlpm.validSheets,_xlfn._xlws.FILTER(_xlpm.sheets,_xlpm.qtys&gt;0),_xlpm.mx,IFERROR(MAX(_xlpm.validNums),0),IF(_xlpm.mx=0,"",INDEX(_xlpm.validSheets,MATCH(_xlpm.mx,_xlpm.validNums,0))&amp;" (+"&amp;$R480&amp;")")))</f>
        <v/>
      </c>
      <c r="F480" s="11" t="str">
        <f t="shared" si="31"/>
        <v/>
      </c>
      <c r="G480" s="12" t="str">
        <f ca="1">IF($A480="","",IFERROR(SUMIF(INDIRECT("'"&amp;'Template Setup'!$C$4&amp;"'!C:C"),$A480,INDIRECT("'"&amp;'Template Setup'!$C$4&amp;"'!A:A")),0))</f>
        <v/>
      </c>
      <c r="H480" s="12" t="str">
        <f ca="1">IF($A480="","",IFERROR(SUMIF(INDIRECT("'"&amp;'Template Setup'!$C$5&amp;"'!C:C"),$A480,INDIRECT("'"&amp;'Template Setup'!$C$5&amp;"'!A:A")),0))</f>
        <v/>
      </c>
      <c r="I480" s="12" t="str">
        <f ca="1">IF($A480="","",IFERROR(SUMIF(INDIRECT("'"&amp;'Template Setup'!$C$6&amp;"'!C:C"),$A480,INDIRECT("'"&amp;'Template Setup'!$C$6&amp;"'!A:A")),0))</f>
        <v/>
      </c>
      <c r="J480" s="12" t="str">
        <f ca="1">IF($A480="","",IFERROR(SUMIF(INDIRECT("'"&amp;'Template Setup'!$C$7&amp;"'!C:C"),$A480,INDIRECT("'"&amp;'Template Setup'!$C$7&amp;"'!A:A")),0))</f>
        <v/>
      </c>
      <c r="K480" s="12" t="str">
        <f ca="1">IF($A480="","",IFERROR(SUMIF(INDIRECT("'"&amp;'Template Setup'!$C$8&amp;"'!C:C"),$A480,INDIRECT("'"&amp;'Template Setup'!$C$8&amp;"'!A:A")),0))</f>
        <v/>
      </c>
      <c r="L480" s="11" t="str">
        <f>IF($A480="","",IFERROR(VALUE(MID(TRIM('Template Setup'!$C$4),FIND("-",TRIM('Template Setup'!$C$4))+1,10)),0))</f>
        <v/>
      </c>
      <c r="M480" s="11" t="str">
        <f>IF($A480="","",IFERROR(VALUE(MID(TRIM('Template Setup'!$C$5),FIND("-",TRIM('Template Setup'!$C$5))+1,10)),0))</f>
        <v/>
      </c>
      <c r="N480" s="11" t="str">
        <f>IF($A480="","",IFERROR(VALUE(MID(TRIM('Template Setup'!$C$6),FIND("-",TRIM('Template Setup'!$C$6))+1,10)),0))</f>
        <v/>
      </c>
      <c r="O480" s="11" t="str">
        <f>IF($A480="","",IFERROR(VALUE(MID(TRIM('Template Setup'!$C$7),FIND("-",TRIM('Template Setup'!$C$7))+1,10)),0))</f>
        <v/>
      </c>
      <c r="P480" s="11" t="str">
        <f>IF($A480="","",IFERROR(VALUE(MID(TRIM('Template Setup'!$C$8),FIND("-",TRIM('Template Setup'!$C$8))+1,10)),0))</f>
        <v/>
      </c>
      <c r="Q480" s="9" t="str">
        <f>IF($A480="","",$A480&amp;"-"&amp;'Template Setup'!$C$16)</f>
        <v/>
      </c>
      <c r="R480" s="24" t="str">
        <f t="shared" si="29"/>
        <v/>
      </c>
      <c r="S480" s="24"/>
      <c r="T480" s="24" t="str">
        <f t="shared" si="30"/>
        <v/>
      </c>
      <c r="U480" s="6" t="str">
        <f t="shared" si="32"/>
        <v/>
      </c>
    </row>
    <row r="481" spans="1:21">
      <c r="A481" s="11"/>
      <c r="B481" s="11"/>
      <c r="C481" s="11"/>
      <c r="D481" s="11" t="str">
        <f>IF($A481="","",_xlfn.TEXTJOIN(", ",TRUE,IF($G481&gt;0,'Template Setup'!$C$4,""),IF($H481&gt;0,'Template Setup'!$C$5,""),IF($I481&gt;0,'Template Setup'!$C$6,""),IF($J481&gt;0,'Template Setup'!$C$7,""),IF($K481&gt;0,'Template Setup'!$C$8,"")))</f>
        <v/>
      </c>
      <c r="E481" s="6" t="str" cm="1">
        <f t="array" ref="E481">IF($A481="","",_xlfn.LET(_xlpm.sheets,CHOOSE({1,2,3,4,5},'Template Setup'!$C$4,'Template Setup'!$C$5,'Template Setup'!$C$6,'Template Setup'!$C$7,'Template Setup'!$C$8),_xlpm.nums,CHOOSE({1,2,3,4,5},$L481,$M481,$N481,$O481,$P481),_xlpm.qtys,CHOOSE({1,2,3,4,5},$G481,$H481,$I481,$J481,$K481),_xlpm.validNums,_xlfn._xlws.FILTER(_xlpm.nums,_xlpm.qtys&gt;0),_xlpm.validSheets,_xlfn._xlws.FILTER(_xlpm.sheets,_xlpm.qtys&gt;0),_xlpm.mx,IFERROR(MAX(_xlpm.validNums),0),IF(_xlpm.mx=0,"",INDEX(_xlpm.validSheets,MATCH(_xlpm.mx,_xlpm.validNums,0))&amp;" (+"&amp;$R481&amp;")")))</f>
        <v/>
      </c>
      <c r="F481" s="11" t="str">
        <f t="shared" si="31"/>
        <v/>
      </c>
      <c r="G481" s="12" t="str">
        <f ca="1">IF($A481="","",IFERROR(SUMIF(INDIRECT("'"&amp;'Template Setup'!$C$4&amp;"'!C:C"),$A481,INDIRECT("'"&amp;'Template Setup'!$C$4&amp;"'!A:A")),0))</f>
        <v/>
      </c>
      <c r="H481" s="12" t="str">
        <f ca="1">IF($A481="","",IFERROR(SUMIF(INDIRECT("'"&amp;'Template Setup'!$C$5&amp;"'!C:C"),$A481,INDIRECT("'"&amp;'Template Setup'!$C$5&amp;"'!A:A")),0))</f>
        <v/>
      </c>
      <c r="I481" s="12" t="str">
        <f ca="1">IF($A481="","",IFERROR(SUMIF(INDIRECT("'"&amp;'Template Setup'!$C$6&amp;"'!C:C"),$A481,INDIRECT("'"&amp;'Template Setup'!$C$6&amp;"'!A:A")),0))</f>
        <v/>
      </c>
      <c r="J481" s="12" t="str">
        <f ca="1">IF($A481="","",IFERROR(SUMIF(INDIRECT("'"&amp;'Template Setup'!$C$7&amp;"'!C:C"),$A481,INDIRECT("'"&amp;'Template Setup'!$C$7&amp;"'!A:A")),0))</f>
        <v/>
      </c>
      <c r="K481" s="12" t="str">
        <f ca="1">IF($A481="","",IFERROR(SUMIF(INDIRECT("'"&amp;'Template Setup'!$C$8&amp;"'!C:C"),$A481,INDIRECT("'"&amp;'Template Setup'!$C$8&amp;"'!A:A")),0))</f>
        <v/>
      </c>
      <c r="L481" s="11" t="str">
        <f>IF($A481="","",IFERROR(VALUE(MID(TRIM('Template Setup'!$C$4),FIND("-",TRIM('Template Setup'!$C$4))+1,10)),0))</f>
        <v/>
      </c>
      <c r="M481" s="11" t="str">
        <f>IF($A481="","",IFERROR(VALUE(MID(TRIM('Template Setup'!$C$5),FIND("-",TRIM('Template Setup'!$C$5))+1,10)),0))</f>
        <v/>
      </c>
      <c r="N481" s="11" t="str">
        <f>IF($A481="","",IFERROR(VALUE(MID(TRIM('Template Setup'!$C$6),FIND("-",TRIM('Template Setup'!$C$6))+1,10)),0))</f>
        <v/>
      </c>
      <c r="O481" s="11" t="str">
        <f>IF($A481="","",IFERROR(VALUE(MID(TRIM('Template Setup'!$C$7),FIND("-",TRIM('Template Setup'!$C$7))+1,10)),0))</f>
        <v/>
      </c>
      <c r="P481" s="11" t="str">
        <f>IF($A481="","",IFERROR(VALUE(MID(TRIM('Template Setup'!$C$8),FIND("-",TRIM('Template Setup'!$C$8))+1,10)),0))</f>
        <v/>
      </c>
      <c r="Q481" s="9" t="str">
        <f>IF($A481="","",$A481&amp;"-"&amp;'Template Setup'!$C$16)</f>
        <v/>
      </c>
      <c r="R481" s="24" t="str">
        <f t="shared" si="29"/>
        <v/>
      </c>
      <c r="S481" s="24"/>
      <c r="T481" s="24" t="str">
        <f t="shared" si="30"/>
        <v/>
      </c>
      <c r="U481" s="6" t="str">
        <f t="shared" si="32"/>
        <v/>
      </c>
    </row>
    <row r="482" spans="1:21">
      <c r="A482" s="11"/>
      <c r="B482" s="11"/>
      <c r="C482" s="11"/>
      <c r="D482" s="11" t="str">
        <f>IF($A482="","",_xlfn.TEXTJOIN(", ",TRUE,IF($G482&gt;0,'Template Setup'!$C$4,""),IF($H482&gt;0,'Template Setup'!$C$5,""),IF($I482&gt;0,'Template Setup'!$C$6,""),IF($J482&gt;0,'Template Setup'!$C$7,""),IF($K482&gt;0,'Template Setup'!$C$8,"")))</f>
        <v/>
      </c>
      <c r="E482" s="6" t="str" cm="1">
        <f t="array" ref="E482">IF($A482="","",_xlfn.LET(_xlpm.sheets,CHOOSE({1,2,3,4,5},'Template Setup'!$C$4,'Template Setup'!$C$5,'Template Setup'!$C$6,'Template Setup'!$C$7,'Template Setup'!$C$8),_xlpm.nums,CHOOSE({1,2,3,4,5},$L482,$M482,$N482,$O482,$P482),_xlpm.qtys,CHOOSE({1,2,3,4,5},$G482,$H482,$I482,$J482,$K482),_xlpm.validNums,_xlfn._xlws.FILTER(_xlpm.nums,_xlpm.qtys&gt;0),_xlpm.validSheets,_xlfn._xlws.FILTER(_xlpm.sheets,_xlpm.qtys&gt;0),_xlpm.mx,IFERROR(MAX(_xlpm.validNums),0),IF(_xlpm.mx=0,"",INDEX(_xlpm.validSheets,MATCH(_xlpm.mx,_xlpm.validNums,0))&amp;" (+"&amp;$R482&amp;")")))</f>
        <v/>
      </c>
      <c r="F482" s="11" t="str">
        <f t="shared" si="31"/>
        <v/>
      </c>
      <c r="G482" s="12" t="str">
        <f ca="1">IF($A482="","",IFERROR(SUMIF(INDIRECT("'"&amp;'Template Setup'!$C$4&amp;"'!C:C"),$A482,INDIRECT("'"&amp;'Template Setup'!$C$4&amp;"'!A:A")),0))</f>
        <v/>
      </c>
      <c r="H482" s="12" t="str">
        <f ca="1">IF($A482="","",IFERROR(SUMIF(INDIRECT("'"&amp;'Template Setup'!$C$5&amp;"'!C:C"),$A482,INDIRECT("'"&amp;'Template Setup'!$C$5&amp;"'!A:A")),0))</f>
        <v/>
      </c>
      <c r="I482" s="12" t="str">
        <f ca="1">IF($A482="","",IFERROR(SUMIF(INDIRECT("'"&amp;'Template Setup'!$C$6&amp;"'!C:C"),$A482,INDIRECT("'"&amp;'Template Setup'!$C$6&amp;"'!A:A")),0))</f>
        <v/>
      </c>
      <c r="J482" s="12" t="str">
        <f ca="1">IF($A482="","",IFERROR(SUMIF(INDIRECT("'"&amp;'Template Setup'!$C$7&amp;"'!C:C"),$A482,INDIRECT("'"&amp;'Template Setup'!$C$7&amp;"'!A:A")),0))</f>
        <v/>
      </c>
      <c r="K482" s="12" t="str">
        <f ca="1">IF($A482="","",IFERROR(SUMIF(INDIRECT("'"&amp;'Template Setup'!$C$8&amp;"'!C:C"),$A482,INDIRECT("'"&amp;'Template Setup'!$C$8&amp;"'!A:A")),0))</f>
        <v/>
      </c>
      <c r="L482" s="11" t="str">
        <f>IF($A482="","",IFERROR(VALUE(MID(TRIM('Template Setup'!$C$4),FIND("-",TRIM('Template Setup'!$C$4))+1,10)),0))</f>
        <v/>
      </c>
      <c r="M482" s="11" t="str">
        <f>IF($A482="","",IFERROR(VALUE(MID(TRIM('Template Setup'!$C$5),FIND("-",TRIM('Template Setup'!$C$5))+1,10)),0))</f>
        <v/>
      </c>
      <c r="N482" s="11" t="str">
        <f>IF($A482="","",IFERROR(VALUE(MID(TRIM('Template Setup'!$C$6),FIND("-",TRIM('Template Setup'!$C$6))+1,10)),0))</f>
        <v/>
      </c>
      <c r="O482" s="11" t="str">
        <f>IF($A482="","",IFERROR(VALUE(MID(TRIM('Template Setup'!$C$7),FIND("-",TRIM('Template Setup'!$C$7))+1,10)),0))</f>
        <v/>
      </c>
      <c r="P482" s="11" t="str">
        <f>IF($A482="","",IFERROR(VALUE(MID(TRIM('Template Setup'!$C$8),FIND("-",TRIM('Template Setup'!$C$8))+1,10)),0))</f>
        <v/>
      </c>
      <c r="Q482" s="9" t="str">
        <f>IF($A482="","",$A482&amp;"-"&amp;'Template Setup'!$C$16)</f>
        <v/>
      </c>
      <c r="R482" s="24" t="str">
        <f t="shared" si="29"/>
        <v/>
      </c>
      <c r="S482" s="24"/>
      <c r="T482" s="24" t="str">
        <f t="shared" si="30"/>
        <v/>
      </c>
      <c r="U482" s="6" t="str">
        <f t="shared" si="32"/>
        <v/>
      </c>
    </row>
    <row r="483" spans="1:21">
      <c r="A483" s="11"/>
      <c r="B483" s="11"/>
      <c r="C483" s="11"/>
      <c r="D483" s="11" t="str">
        <f>IF($A483="","",_xlfn.TEXTJOIN(", ",TRUE,IF($G483&gt;0,'Template Setup'!$C$4,""),IF($H483&gt;0,'Template Setup'!$C$5,""),IF($I483&gt;0,'Template Setup'!$C$6,""),IF($J483&gt;0,'Template Setup'!$C$7,""),IF($K483&gt;0,'Template Setup'!$C$8,"")))</f>
        <v/>
      </c>
      <c r="E483" s="6" t="str" cm="1">
        <f t="array" ref="E483">IF($A483="","",_xlfn.LET(_xlpm.sheets,CHOOSE({1,2,3,4,5},'Template Setup'!$C$4,'Template Setup'!$C$5,'Template Setup'!$C$6,'Template Setup'!$C$7,'Template Setup'!$C$8),_xlpm.nums,CHOOSE({1,2,3,4,5},$L483,$M483,$N483,$O483,$P483),_xlpm.qtys,CHOOSE({1,2,3,4,5},$G483,$H483,$I483,$J483,$K483),_xlpm.validNums,_xlfn._xlws.FILTER(_xlpm.nums,_xlpm.qtys&gt;0),_xlpm.validSheets,_xlfn._xlws.FILTER(_xlpm.sheets,_xlpm.qtys&gt;0),_xlpm.mx,IFERROR(MAX(_xlpm.validNums),0),IF(_xlpm.mx=0,"",INDEX(_xlpm.validSheets,MATCH(_xlpm.mx,_xlpm.validNums,0))&amp;" (+"&amp;$R483&amp;")")))</f>
        <v/>
      </c>
      <c r="F483" s="11" t="str">
        <f t="shared" si="31"/>
        <v/>
      </c>
      <c r="G483" s="12" t="str">
        <f ca="1">IF($A483="","",IFERROR(SUMIF(INDIRECT("'"&amp;'Template Setup'!$C$4&amp;"'!C:C"),$A483,INDIRECT("'"&amp;'Template Setup'!$C$4&amp;"'!A:A")),0))</f>
        <v/>
      </c>
      <c r="H483" s="12" t="str">
        <f ca="1">IF($A483="","",IFERROR(SUMIF(INDIRECT("'"&amp;'Template Setup'!$C$5&amp;"'!C:C"),$A483,INDIRECT("'"&amp;'Template Setup'!$C$5&amp;"'!A:A")),0))</f>
        <v/>
      </c>
      <c r="I483" s="12" t="str">
        <f ca="1">IF($A483="","",IFERROR(SUMIF(INDIRECT("'"&amp;'Template Setup'!$C$6&amp;"'!C:C"),$A483,INDIRECT("'"&amp;'Template Setup'!$C$6&amp;"'!A:A")),0))</f>
        <v/>
      </c>
      <c r="J483" s="12" t="str">
        <f ca="1">IF($A483="","",IFERROR(SUMIF(INDIRECT("'"&amp;'Template Setup'!$C$7&amp;"'!C:C"),$A483,INDIRECT("'"&amp;'Template Setup'!$C$7&amp;"'!A:A")),0))</f>
        <v/>
      </c>
      <c r="K483" s="12" t="str">
        <f ca="1">IF($A483="","",IFERROR(SUMIF(INDIRECT("'"&amp;'Template Setup'!$C$8&amp;"'!C:C"),$A483,INDIRECT("'"&amp;'Template Setup'!$C$8&amp;"'!A:A")),0))</f>
        <v/>
      </c>
      <c r="L483" s="11" t="str">
        <f>IF($A483="","",IFERROR(VALUE(MID(TRIM('Template Setup'!$C$4),FIND("-",TRIM('Template Setup'!$C$4))+1,10)),0))</f>
        <v/>
      </c>
      <c r="M483" s="11" t="str">
        <f>IF($A483="","",IFERROR(VALUE(MID(TRIM('Template Setup'!$C$5),FIND("-",TRIM('Template Setup'!$C$5))+1,10)),0))</f>
        <v/>
      </c>
      <c r="N483" s="11" t="str">
        <f>IF($A483="","",IFERROR(VALUE(MID(TRIM('Template Setup'!$C$6),FIND("-",TRIM('Template Setup'!$C$6))+1,10)),0))</f>
        <v/>
      </c>
      <c r="O483" s="11" t="str">
        <f>IF($A483="","",IFERROR(VALUE(MID(TRIM('Template Setup'!$C$7),FIND("-",TRIM('Template Setup'!$C$7))+1,10)),0))</f>
        <v/>
      </c>
      <c r="P483" s="11" t="str">
        <f>IF($A483="","",IFERROR(VALUE(MID(TRIM('Template Setup'!$C$8),FIND("-",TRIM('Template Setup'!$C$8))+1,10)),0))</f>
        <v/>
      </c>
      <c r="Q483" s="9" t="str">
        <f>IF($A483="","",$A483&amp;"-"&amp;'Template Setup'!$C$16)</f>
        <v/>
      </c>
      <c r="R483" s="24" t="str">
        <f t="shared" si="29"/>
        <v/>
      </c>
      <c r="S483" s="24"/>
      <c r="T483" s="24" t="str">
        <f t="shared" si="30"/>
        <v/>
      </c>
      <c r="U483" s="6" t="str">
        <f t="shared" si="32"/>
        <v/>
      </c>
    </row>
    <row r="484" spans="1:21">
      <c r="A484" s="11"/>
      <c r="B484" s="11"/>
      <c r="C484" s="11"/>
      <c r="D484" s="11" t="str">
        <f>IF($A484="","",_xlfn.TEXTJOIN(", ",TRUE,IF($G484&gt;0,'Template Setup'!$C$4,""),IF($H484&gt;0,'Template Setup'!$C$5,""),IF($I484&gt;0,'Template Setup'!$C$6,""),IF($J484&gt;0,'Template Setup'!$C$7,""),IF($K484&gt;0,'Template Setup'!$C$8,"")))</f>
        <v/>
      </c>
      <c r="E484" s="6" t="str" cm="1">
        <f t="array" ref="E484">IF($A484="","",_xlfn.LET(_xlpm.sheets,CHOOSE({1,2,3,4,5},'Template Setup'!$C$4,'Template Setup'!$C$5,'Template Setup'!$C$6,'Template Setup'!$C$7,'Template Setup'!$C$8),_xlpm.nums,CHOOSE({1,2,3,4,5},$L484,$M484,$N484,$O484,$P484),_xlpm.qtys,CHOOSE({1,2,3,4,5},$G484,$H484,$I484,$J484,$K484),_xlpm.validNums,_xlfn._xlws.FILTER(_xlpm.nums,_xlpm.qtys&gt;0),_xlpm.validSheets,_xlfn._xlws.FILTER(_xlpm.sheets,_xlpm.qtys&gt;0),_xlpm.mx,IFERROR(MAX(_xlpm.validNums),0),IF(_xlpm.mx=0,"",INDEX(_xlpm.validSheets,MATCH(_xlpm.mx,_xlpm.validNums,0))&amp;" (+"&amp;$R484&amp;")")))</f>
        <v/>
      </c>
      <c r="F484" s="11" t="str">
        <f t="shared" si="31"/>
        <v/>
      </c>
      <c r="G484" s="12" t="str">
        <f ca="1">IF($A484="","",IFERROR(SUMIF(INDIRECT("'"&amp;'Template Setup'!$C$4&amp;"'!C:C"),$A484,INDIRECT("'"&amp;'Template Setup'!$C$4&amp;"'!A:A")),0))</f>
        <v/>
      </c>
      <c r="H484" s="12" t="str">
        <f ca="1">IF($A484="","",IFERROR(SUMIF(INDIRECT("'"&amp;'Template Setup'!$C$5&amp;"'!C:C"),$A484,INDIRECT("'"&amp;'Template Setup'!$C$5&amp;"'!A:A")),0))</f>
        <v/>
      </c>
      <c r="I484" s="12" t="str">
        <f ca="1">IF($A484="","",IFERROR(SUMIF(INDIRECT("'"&amp;'Template Setup'!$C$6&amp;"'!C:C"),$A484,INDIRECT("'"&amp;'Template Setup'!$C$6&amp;"'!A:A")),0))</f>
        <v/>
      </c>
      <c r="J484" s="12" t="str">
        <f ca="1">IF($A484="","",IFERROR(SUMIF(INDIRECT("'"&amp;'Template Setup'!$C$7&amp;"'!C:C"),$A484,INDIRECT("'"&amp;'Template Setup'!$C$7&amp;"'!A:A")),0))</f>
        <v/>
      </c>
      <c r="K484" s="12" t="str">
        <f ca="1">IF($A484="","",IFERROR(SUMIF(INDIRECT("'"&amp;'Template Setup'!$C$8&amp;"'!C:C"),$A484,INDIRECT("'"&amp;'Template Setup'!$C$8&amp;"'!A:A")),0))</f>
        <v/>
      </c>
      <c r="L484" s="11" t="str">
        <f>IF($A484="","",IFERROR(VALUE(MID(TRIM('Template Setup'!$C$4),FIND("-",TRIM('Template Setup'!$C$4))+1,10)),0))</f>
        <v/>
      </c>
      <c r="M484" s="11" t="str">
        <f>IF($A484="","",IFERROR(VALUE(MID(TRIM('Template Setup'!$C$5),FIND("-",TRIM('Template Setup'!$C$5))+1,10)),0))</f>
        <v/>
      </c>
      <c r="N484" s="11" t="str">
        <f>IF($A484="","",IFERROR(VALUE(MID(TRIM('Template Setup'!$C$6),FIND("-",TRIM('Template Setup'!$C$6))+1,10)),0))</f>
        <v/>
      </c>
      <c r="O484" s="11" t="str">
        <f>IF($A484="","",IFERROR(VALUE(MID(TRIM('Template Setup'!$C$7),FIND("-",TRIM('Template Setup'!$C$7))+1,10)),0))</f>
        <v/>
      </c>
      <c r="P484" s="11" t="str">
        <f>IF($A484="","",IFERROR(VALUE(MID(TRIM('Template Setup'!$C$8),FIND("-",TRIM('Template Setup'!$C$8))+1,10)),0))</f>
        <v/>
      </c>
      <c r="Q484" s="9" t="str">
        <f>IF($A484="","",$A484&amp;"-"&amp;'Template Setup'!$C$16)</f>
        <v/>
      </c>
      <c r="R484" s="24" t="str">
        <f t="shared" si="29"/>
        <v/>
      </c>
      <c r="S484" s="24"/>
      <c r="T484" s="24" t="str">
        <f t="shared" si="30"/>
        <v/>
      </c>
      <c r="U484" s="6" t="str">
        <f t="shared" si="32"/>
        <v/>
      </c>
    </row>
    <row r="485" spans="1:21">
      <c r="A485" s="11"/>
      <c r="B485" s="11"/>
      <c r="C485" s="11"/>
      <c r="D485" s="11" t="str">
        <f>IF($A485="","",_xlfn.TEXTJOIN(", ",TRUE,IF($G485&gt;0,'Template Setup'!$C$4,""),IF($H485&gt;0,'Template Setup'!$C$5,""),IF($I485&gt;0,'Template Setup'!$C$6,""),IF($J485&gt;0,'Template Setup'!$C$7,""),IF($K485&gt;0,'Template Setup'!$C$8,"")))</f>
        <v/>
      </c>
      <c r="E485" s="6" t="str" cm="1">
        <f t="array" ref="E485">IF($A485="","",_xlfn.LET(_xlpm.sheets,CHOOSE({1,2,3,4,5},'Template Setup'!$C$4,'Template Setup'!$C$5,'Template Setup'!$C$6,'Template Setup'!$C$7,'Template Setup'!$C$8),_xlpm.nums,CHOOSE({1,2,3,4,5},$L485,$M485,$N485,$O485,$P485),_xlpm.qtys,CHOOSE({1,2,3,4,5},$G485,$H485,$I485,$J485,$K485),_xlpm.validNums,_xlfn._xlws.FILTER(_xlpm.nums,_xlpm.qtys&gt;0),_xlpm.validSheets,_xlfn._xlws.FILTER(_xlpm.sheets,_xlpm.qtys&gt;0),_xlpm.mx,IFERROR(MAX(_xlpm.validNums),0),IF(_xlpm.mx=0,"",INDEX(_xlpm.validSheets,MATCH(_xlpm.mx,_xlpm.validNums,0))&amp;" (+"&amp;$R485&amp;")")))</f>
        <v/>
      </c>
      <c r="F485" s="11" t="str">
        <f t="shared" si="31"/>
        <v/>
      </c>
      <c r="G485" s="12" t="str">
        <f ca="1">IF($A485="","",IFERROR(SUMIF(INDIRECT("'"&amp;'Template Setup'!$C$4&amp;"'!C:C"),$A485,INDIRECT("'"&amp;'Template Setup'!$C$4&amp;"'!A:A")),0))</f>
        <v/>
      </c>
      <c r="H485" s="12" t="str">
        <f ca="1">IF($A485="","",IFERROR(SUMIF(INDIRECT("'"&amp;'Template Setup'!$C$5&amp;"'!C:C"),$A485,INDIRECT("'"&amp;'Template Setup'!$C$5&amp;"'!A:A")),0))</f>
        <v/>
      </c>
      <c r="I485" s="12" t="str">
        <f ca="1">IF($A485="","",IFERROR(SUMIF(INDIRECT("'"&amp;'Template Setup'!$C$6&amp;"'!C:C"),$A485,INDIRECT("'"&amp;'Template Setup'!$C$6&amp;"'!A:A")),0))</f>
        <v/>
      </c>
      <c r="J485" s="12" t="str">
        <f ca="1">IF($A485="","",IFERROR(SUMIF(INDIRECT("'"&amp;'Template Setup'!$C$7&amp;"'!C:C"),$A485,INDIRECT("'"&amp;'Template Setup'!$C$7&amp;"'!A:A")),0))</f>
        <v/>
      </c>
      <c r="K485" s="12" t="str">
        <f ca="1">IF($A485="","",IFERROR(SUMIF(INDIRECT("'"&amp;'Template Setup'!$C$8&amp;"'!C:C"),$A485,INDIRECT("'"&amp;'Template Setup'!$C$8&amp;"'!A:A")),0))</f>
        <v/>
      </c>
      <c r="L485" s="11" t="str">
        <f>IF($A485="","",IFERROR(VALUE(MID(TRIM('Template Setup'!$C$4),FIND("-",TRIM('Template Setup'!$C$4))+1,10)),0))</f>
        <v/>
      </c>
      <c r="M485" s="11" t="str">
        <f>IF($A485="","",IFERROR(VALUE(MID(TRIM('Template Setup'!$C$5),FIND("-",TRIM('Template Setup'!$C$5))+1,10)),0))</f>
        <v/>
      </c>
      <c r="N485" s="11" t="str">
        <f>IF($A485="","",IFERROR(VALUE(MID(TRIM('Template Setup'!$C$6),FIND("-",TRIM('Template Setup'!$C$6))+1,10)),0))</f>
        <v/>
      </c>
      <c r="O485" s="11" t="str">
        <f>IF($A485="","",IFERROR(VALUE(MID(TRIM('Template Setup'!$C$7),FIND("-",TRIM('Template Setup'!$C$7))+1,10)),0))</f>
        <v/>
      </c>
      <c r="P485" s="11" t="str">
        <f>IF($A485="","",IFERROR(VALUE(MID(TRIM('Template Setup'!$C$8),FIND("-",TRIM('Template Setup'!$C$8))+1,10)),0))</f>
        <v/>
      </c>
      <c r="Q485" s="9" t="str">
        <f>IF($A485="","",$A485&amp;"-"&amp;'Template Setup'!$C$16)</f>
        <v/>
      </c>
      <c r="R485" s="24" t="str">
        <f t="shared" si="29"/>
        <v/>
      </c>
      <c r="S485" s="24"/>
      <c r="T485" s="24" t="str">
        <f t="shared" si="30"/>
        <v/>
      </c>
      <c r="U485" s="6" t="str">
        <f t="shared" si="32"/>
        <v/>
      </c>
    </row>
    <row r="486" spans="1:21">
      <c r="A486" s="11"/>
      <c r="B486" s="11"/>
      <c r="C486" s="11"/>
      <c r="D486" s="11" t="str">
        <f>IF($A486="","",_xlfn.TEXTJOIN(", ",TRUE,IF($G486&gt;0,'Template Setup'!$C$4,""),IF($H486&gt;0,'Template Setup'!$C$5,""),IF($I486&gt;0,'Template Setup'!$C$6,""),IF($J486&gt;0,'Template Setup'!$C$7,""),IF($K486&gt;0,'Template Setup'!$C$8,"")))</f>
        <v/>
      </c>
      <c r="E486" s="6" t="str" cm="1">
        <f t="array" ref="E486">IF($A486="","",_xlfn.LET(_xlpm.sheets,CHOOSE({1,2,3,4,5},'Template Setup'!$C$4,'Template Setup'!$C$5,'Template Setup'!$C$6,'Template Setup'!$C$7,'Template Setup'!$C$8),_xlpm.nums,CHOOSE({1,2,3,4,5},$L486,$M486,$N486,$O486,$P486),_xlpm.qtys,CHOOSE({1,2,3,4,5},$G486,$H486,$I486,$J486,$K486),_xlpm.validNums,_xlfn._xlws.FILTER(_xlpm.nums,_xlpm.qtys&gt;0),_xlpm.validSheets,_xlfn._xlws.FILTER(_xlpm.sheets,_xlpm.qtys&gt;0),_xlpm.mx,IFERROR(MAX(_xlpm.validNums),0),IF(_xlpm.mx=0,"",INDEX(_xlpm.validSheets,MATCH(_xlpm.mx,_xlpm.validNums,0))&amp;" (+"&amp;$R486&amp;")")))</f>
        <v/>
      </c>
      <c r="F486" s="11" t="str">
        <f t="shared" si="31"/>
        <v/>
      </c>
      <c r="G486" s="12" t="str">
        <f ca="1">IF($A486="","",IFERROR(SUMIF(INDIRECT("'"&amp;'Template Setup'!$C$4&amp;"'!C:C"),$A486,INDIRECT("'"&amp;'Template Setup'!$C$4&amp;"'!A:A")),0))</f>
        <v/>
      </c>
      <c r="H486" s="12" t="str">
        <f ca="1">IF($A486="","",IFERROR(SUMIF(INDIRECT("'"&amp;'Template Setup'!$C$5&amp;"'!C:C"),$A486,INDIRECT("'"&amp;'Template Setup'!$C$5&amp;"'!A:A")),0))</f>
        <v/>
      </c>
      <c r="I486" s="12" t="str">
        <f ca="1">IF($A486="","",IFERROR(SUMIF(INDIRECT("'"&amp;'Template Setup'!$C$6&amp;"'!C:C"),$A486,INDIRECT("'"&amp;'Template Setup'!$C$6&amp;"'!A:A")),0))</f>
        <v/>
      </c>
      <c r="J486" s="12" t="str">
        <f ca="1">IF($A486="","",IFERROR(SUMIF(INDIRECT("'"&amp;'Template Setup'!$C$7&amp;"'!C:C"),$A486,INDIRECT("'"&amp;'Template Setup'!$C$7&amp;"'!A:A")),0))</f>
        <v/>
      </c>
      <c r="K486" s="12" t="str">
        <f ca="1">IF($A486="","",IFERROR(SUMIF(INDIRECT("'"&amp;'Template Setup'!$C$8&amp;"'!C:C"),$A486,INDIRECT("'"&amp;'Template Setup'!$C$8&amp;"'!A:A")),0))</f>
        <v/>
      </c>
      <c r="L486" s="11" t="str">
        <f>IF($A486="","",IFERROR(VALUE(MID(TRIM('Template Setup'!$C$4),FIND("-",TRIM('Template Setup'!$C$4))+1,10)),0))</f>
        <v/>
      </c>
      <c r="M486" s="11" t="str">
        <f>IF($A486="","",IFERROR(VALUE(MID(TRIM('Template Setup'!$C$5),FIND("-",TRIM('Template Setup'!$C$5))+1,10)),0))</f>
        <v/>
      </c>
      <c r="N486" s="11" t="str">
        <f>IF($A486="","",IFERROR(VALUE(MID(TRIM('Template Setup'!$C$6),FIND("-",TRIM('Template Setup'!$C$6))+1,10)),0))</f>
        <v/>
      </c>
      <c r="O486" s="11" t="str">
        <f>IF($A486="","",IFERROR(VALUE(MID(TRIM('Template Setup'!$C$7),FIND("-",TRIM('Template Setup'!$C$7))+1,10)),0))</f>
        <v/>
      </c>
      <c r="P486" s="11" t="str">
        <f>IF($A486="","",IFERROR(VALUE(MID(TRIM('Template Setup'!$C$8),FIND("-",TRIM('Template Setup'!$C$8))+1,10)),0))</f>
        <v/>
      </c>
      <c r="Q486" s="9" t="str">
        <f>IF($A486="","",$A486&amp;"-"&amp;'Template Setup'!$C$16)</f>
        <v/>
      </c>
      <c r="R486" s="24" t="str">
        <f t="shared" si="29"/>
        <v/>
      </c>
      <c r="S486" s="24"/>
      <c r="T486" s="24" t="str">
        <f t="shared" si="30"/>
        <v/>
      </c>
      <c r="U486" s="6" t="str">
        <f t="shared" si="32"/>
        <v/>
      </c>
    </row>
    <row r="487" spans="1:21">
      <c r="A487" s="11"/>
      <c r="B487" s="11"/>
      <c r="C487" s="11"/>
      <c r="D487" s="11" t="str">
        <f>IF($A487="","",_xlfn.TEXTJOIN(", ",TRUE,IF($G487&gt;0,'Template Setup'!$C$4,""),IF($H487&gt;0,'Template Setup'!$C$5,""),IF($I487&gt;0,'Template Setup'!$C$6,""),IF($J487&gt;0,'Template Setup'!$C$7,""),IF($K487&gt;0,'Template Setup'!$C$8,"")))</f>
        <v/>
      </c>
      <c r="E487" s="6" t="str" cm="1">
        <f t="array" ref="E487">IF($A487="","",_xlfn.LET(_xlpm.sheets,CHOOSE({1,2,3,4,5},'Template Setup'!$C$4,'Template Setup'!$C$5,'Template Setup'!$C$6,'Template Setup'!$C$7,'Template Setup'!$C$8),_xlpm.nums,CHOOSE({1,2,3,4,5},$L487,$M487,$N487,$O487,$P487),_xlpm.qtys,CHOOSE({1,2,3,4,5},$G487,$H487,$I487,$J487,$K487),_xlpm.validNums,_xlfn._xlws.FILTER(_xlpm.nums,_xlpm.qtys&gt;0),_xlpm.validSheets,_xlfn._xlws.FILTER(_xlpm.sheets,_xlpm.qtys&gt;0),_xlpm.mx,IFERROR(MAX(_xlpm.validNums),0),IF(_xlpm.mx=0,"",INDEX(_xlpm.validSheets,MATCH(_xlpm.mx,_xlpm.validNums,0))&amp;" (+"&amp;$R487&amp;")")))</f>
        <v/>
      </c>
      <c r="F487" s="11" t="str">
        <f t="shared" si="31"/>
        <v/>
      </c>
      <c r="G487" s="12" t="str">
        <f ca="1">IF($A487="","",IFERROR(SUMIF(INDIRECT("'"&amp;'Template Setup'!$C$4&amp;"'!C:C"),$A487,INDIRECT("'"&amp;'Template Setup'!$C$4&amp;"'!A:A")),0))</f>
        <v/>
      </c>
      <c r="H487" s="12" t="str">
        <f ca="1">IF($A487="","",IFERROR(SUMIF(INDIRECT("'"&amp;'Template Setup'!$C$5&amp;"'!C:C"),$A487,INDIRECT("'"&amp;'Template Setup'!$C$5&amp;"'!A:A")),0))</f>
        <v/>
      </c>
      <c r="I487" s="12" t="str">
        <f ca="1">IF($A487="","",IFERROR(SUMIF(INDIRECT("'"&amp;'Template Setup'!$C$6&amp;"'!C:C"),$A487,INDIRECT("'"&amp;'Template Setup'!$C$6&amp;"'!A:A")),0))</f>
        <v/>
      </c>
      <c r="J487" s="12" t="str">
        <f ca="1">IF($A487="","",IFERROR(SUMIF(INDIRECT("'"&amp;'Template Setup'!$C$7&amp;"'!C:C"),$A487,INDIRECT("'"&amp;'Template Setup'!$C$7&amp;"'!A:A")),0))</f>
        <v/>
      </c>
      <c r="K487" s="12" t="str">
        <f ca="1">IF($A487="","",IFERROR(SUMIF(INDIRECT("'"&amp;'Template Setup'!$C$8&amp;"'!C:C"),$A487,INDIRECT("'"&amp;'Template Setup'!$C$8&amp;"'!A:A")),0))</f>
        <v/>
      </c>
      <c r="L487" s="11" t="str">
        <f>IF($A487="","",IFERROR(VALUE(MID(TRIM('Template Setup'!$C$4),FIND("-",TRIM('Template Setup'!$C$4))+1,10)),0))</f>
        <v/>
      </c>
      <c r="M487" s="11" t="str">
        <f>IF($A487="","",IFERROR(VALUE(MID(TRIM('Template Setup'!$C$5),FIND("-",TRIM('Template Setup'!$C$5))+1,10)),0))</f>
        <v/>
      </c>
      <c r="N487" s="11" t="str">
        <f>IF($A487="","",IFERROR(VALUE(MID(TRIM('Template Setup'!$C$6),FIND("-",TRIM('Template Setup'!$C$6))+1,10)),0))</f>
        <v/>
      </c>
      <c r="O487" s="11" t="str">
        <f>IF($A487="","",IFERROR(VALUE(MID(TRIM('Template Setup'!$C$7),FIND("-",TRIM('Template Setup'!$C$7))+1,10)),0))</f>
        <v/>
      </c>
      <c r="P487" s="11" t="str">
        <f>IF($A487="","",IFERROR(VALUE(MID(TRIM('Template Setup'!$C$8),FIND("-",TRIM('Template Setup'!$C$8))+1,10)),0))</f>
        <v/>
      </c>
      <c r="Q487" s="9" t="str">
        <f>IF($A487="","",$A487&amp;"-"&amp;'Template Setup'!$C$16)</f>
        <v/>
      </c>
      <c r="R487" s="24" t="str">
        <f t="shared" si="29"/>
        <v/>
      </c>
      <c r="S487" s="24"/>
      <c r="T487" s="24" t="str">
        <f t="shared" si="30"/>
        <v/>
      </c>
      <c r="U487" s="6" t="str">
        <f t="shared" si="32"/>
        <v/>
      </c>
    </row>
    <row r="488" spans="1:21">
      <c r="A488" s="11"/>
      <c r="B488" s="11"/>
      <c r="C488" s="11"/>
      <c r="D488" s="11" t="str">
        <f>IF($A488="","",_xlfn.TEXTJOIN(", ",TRUE,IF($G488&gt;0,'Template Setup'!$C$4,""),IF($H488&gt;0,'Template Setup'!$C$5,""),IF($I488&gt;0,'Template Setup'!$C$6,""),IF($J488&gt;0,'Template Setup'!$C$7,""),IF($K488&gt;0,'Template Setup'!$C$8,"")))</f>
        <v/>
      </c>
      <c r="E488" s="6" t="str" cm="1">
        <f t="array" ref="E488">IF($A488="","",_xlfn.LET(_xlpm.sheets,CHOOSE({1,2,3,4,5},'Template Setup'!$C$4,'Template Setup'!$C$5,'Template Setup'!$C$6,'Template Setup'!$C$7,'Template Setup'!$C$8),_xlpm.nums,CHOOSE({1,2,3,4,5},$L488,$M488,$N488,$O488,$P488),_xlpm.qtys,CHOOSE({1,2,3,4,5},$G488,$H488,$I488,$J488,$K488),_xlpm.validNums,_xlfn._xlws.FILTER(_xlpm.nums,_xlpm.qtys&gt;0),_xlpm.validSheets,_xlfn._xlws.FILTER(_xlpm.sheets,_xlpm.qtys&gt;0),_xlpm.mx,IFERROR(MAX(_xlpm.validNums),0),IF(_xlpm.mx=0,"",INDEX(_xlpm.validSheets,MATCH(_xlpm.mx,_xlpm.validNums,0))&amp;" (+"&amp;$R488&amp;")")))</f>
        <v/>
      </c>
      <c r="F488" s="11" t="str">
        <f t="shared" si="31"/>
        <v/>
      </c>
      <c r="G488" s="12" t="str">
        <f ca="1">IF($A488="","",IFERROR(SUMIF(INDIRECT("'"&amp;'Template Setup'!$C$4&amp;"'!C:C"),$A488,INDIRECT("'"&amp;'Template Setup'!$C$4&amp;"'!A:A")),0))</f>
        <v/>
      </c>
      <c r="H488" s="12" t="str">
        <f ca="1">IF($A488="","",IFERROR(SUMIF(INDIRECT("'"&amp;'Template Setup'!$C$5&amp;"'!C:C"),$A488,INDIRECT("'"&amp;'Template Setup'!$C$5&amp;"'!A:A")),0))</f>
        <v/>
      </c>
      <c r="I488" s="12" t="str">
        <f ca="1">IF($A488="","",IFERROR(SUMIF(INDIRECT("'"&amp;'Template Setup'!$C$6&amp;"'!C:C"),$A488,INDIRECT("'"&amp;'Template Setup'!$C$6&amp;"'!A:A")),0))</f>
        <v/>
      </c>
      <c r="J488" s="12" t="str">
        <f ca="1">IF($A488="","",IFERROR(SUMIF(INDIRECT("'"&amp;'Template Setup'!$C$7&amp;"'!C:C"),$A488,INDIRECT("'"&amp;'Template Setup'!$C$7&amp;"'!A:A")),0))</f>
        <v/>
      </c>
      <c r="K488" s="12" t="str">
        <f ca="1">IF($A488="","",IFERROR(SUMIF(INDIRECT("'"&amp;'Template Setup'!$C$8&amp;"'!C:C"),$A488,INDIRECT("'"&amp;'Template Setup'!$C$8&amp;"'!A:A")),0))</f>
        <v/>
      </c>
      <c r="L488" s="11" t="str">
        <f>IF($A488="","",IFERROR(VALUE(MID(TRIM('Template Setup'!$C$4),FIND("-",TRIM('Template Setup'!$C$4))+1,10)),0))</f>
        <v/>
      </c>
      <c r="M488" s="11" t="str">
        <f>IF($A488="","",IFERROR(VALUE(MID(TRIM('Template Setup'!$C$5),FIND("-",TRIM('Template Setup'!$C$5))+1,10)),0))</f>
        <v/>
      </c>
      <c r="N488" s="11" t="str">
        <f>IF($A488="","",IFERROR(VALUE(MID(TRIM('Template Setup'!$C$6),FIND("-",TRIM('Template Setup'!$C$6))+1,10)),0))</f>
        <v/>
      </c>
      <c r="O488" s="11" t="str">
        <f>IF($A488="","",IFERROR(VALUE(MID(TRIM('Template Setup'!$C$7),FIND("-",TRIM('Template Setup'!$C$7))+1,10)),0))</f>
        <v/>
      </c>
      <c r="P488" s="11" t="str">
        <f>IF($A488="","",IFERROR(VALUE(MID(TRIM('Template Setup'!$C$8),FIND("-",TRIM('Template Setup'!$C$8))+1,10)),0))</f>
        <v/>
      </c>
      <c r="Q488" s="9" t="str">
        <f>IF($A488="","",$A488&amp;"-"&amp;'Template Setup'!$C$16)</f>
        <v/>
      </c>
      <c r="R488" s="24" t="str">
        <f t="shared" si="29"/>
        <v/>
      </c>
      <c r="S488" s="24"/>
      <c r="T488" s="24" t="str">
        <f t="shared" si="30"/>
        <v/>
      </c>
      <c r="U488" s="6" t="str">
        <f t="shared" si="32"/>
        <v/>
      </c>
    </row>
    <row r="489" spans="1:21">
      <c r="A489" s="11"/>
      <c r="B489" s="11"/>
      <c r="C489" s="11"/>
      <c r="D489" s="11" t="str">
        <f>IF($A489="","",_xlfn.TEXTJOIN(", ",TRUE,IF($G489&gt;0,'Template Setup'!$C$4,""),IF($H489&gt;0,'Template Setup'!$C$5,""),IF($I489&gt;0,'Template Setup'!$C$6,""),IF($J489&gt;0,'Template Setup'!$C$7,""),IF($K489&gt;0,'Template Setup'!$C$8,"")))</f>
        <v/>
      </c>
      <c r="E489" s="6" t="str" cm="1">
        <f t="array" ref="E489">IF($A489="","",_xlfn.LET(_xlpm.sheets,CHOOSE({1,2,3,4,5},'Template Setup'!$C$4,'Template Setup'!$C$5,'Template Setup'!$C$6,'Template Setup'!$C$7,'Template Setup'!$C$8),_xlpm.nums,CHOOSE({1,2,3,4,5},$L489,$M489,$N489,$O489,$P489),_xlpm.qtys,CHOOSE({1,2,3,4,5},$G489,$H489,$I489,$J489,$K489),_xlpm.validNums,_xlfn._xlws.FILTER(_xlpm.nums,_xlpm.qtys&gt;0),_xlpm.validSheets,_xlfn._xlws.FILTER(_xlpm.sheets,_xlpm.qtys&gt;0),_xlpm.mx,IFERROR(MAX(_xlpm.validNums),0),IF(_xlpm.mx=0,"",INDEX(_xlpm.validSheets,MATCH(_xlpm.mx,_xlpm.validNums,0))&amp;" (+"&amp;$R489&amp;")")))</f>
        <v/>
      </c>
      <c r="F489" s="11" t="str">
        <f t="shared" si="31"/>
        <v/>
      </c>
      <c r="G489" s="12" t="str">
        <f ca="1">IF($A489="","",IFERROR(SUMIF(INDIRECT("'"&amp;'Template Setup'!$C$4&amp;"'!C:C"),$A489,INDIRECT("'"&amp;'Template Setup'!$C$4&amp;"'!A:A")),0))</f>
        <v/>
      </c>
      <c r="H489" s="12" t="str">
        <f ca="1">IF($A489="","",IFERROR(SUMIF(INDIRECT("'"&amp;'Template Setup'!$C$5&amp;"'!C:C"),$A489,INDIRECT("'"&amp;'Template Setup'!$C$5&amp;"'!A:A")),0))</f>
        <v/>
      </c>
      <c r="I489" s="12" t="str">
        <f ca="1">IF($A489="","",IFERROR(SUMIF(INDIRECT("'"&amp;'Template Setup'!$C$6&amp;"'!C:C"),$A489,INDIRECT("'"&amp;'Template Setup'!$C$6&amp;"'!A:A")),0))</f>
        <v/>
      </c>
      <c r="J489" s="12" t="str">
        <f ca="1">IF($A489="","",IFERROR(SUMIF(INDIRECT("'"&amp;'Template Setup'!$C$7&amp;"'!C:C"),$A489,INDIRECT("'"&amp;'Template Setup'!$C$7&amp;"'!A:A")),0))</f>
        <v/>
      </c>
      <c r="K489" s="12" t="str">
        <f ca="1">IF($A489="","",IFERROR(SUMIF(INDIRECT("'"&amp;'Template Setup'!$C$8&amp;"'!C:C"),$A489,INDIRECT("'"&amp;'Template Setup'!$C$8&amp;"'!A:A")),0))</f>
        <v/>
      </c>
      <c r="L489" s="11" t="str">
        <f>IF($A489="","",IFERROR(VALUE(MID(TRIM('Template Setup'!$C$4),FIND("-",TRIM('Template Setup'!$C$4))+1,10)),0))</f>
        <v/>
      </c>
      <c r="M489" s="11" t="str">
        <f>IF($A489="","",IFERROR(VALUE(MID(TRIM('Template Setup'!$C$5),FIND("-",TRIM('Template Setup'!$C$5))+1,10)),0))</f>
        <v/>
      </c>
      <c r="N489" s="11" t="str">
        <f>IF($A489="","",IFERROR(VALUE(MID(TRIM('Template Setup'!$C$6),FIND("-",TRIM('Template Setup'!$C$6))+1,10)),0))</f>
        <v/>
      </c>
      <c r="O489" s="11" t="str">
        <f>IF($A489="","",IFERROR(VALUE(MID(TRIM('Template Setup'!$C$7),FIND("-",TRIM('Template Setup'!$C$7))+1,10)),0))</f>
        <v/>
      </c>
      <c r="P489" s="11" t="str">
        <f>IF($A489="","",IFERROR(VALUE(MID(TRIM('Template Setup'!$C$8),FIND("-",TRIM('Template Setup'!$C$8))+1,10)),0))</f>
        <v/>
      </c>
      <c r="Q489" s="9" t="str">
        <f>IF($A489="","",$A489&amp;"-"&amp;'Template Setup'!$C$16)</f>
        <v/>
      </c>
      <c r="R489" s="24" t="str">
        <f t="shared" si="29"/>
        <v/>
      </c>
      <c r="S489" s="24"/>
      <c r="T489" s="24" t="str">
        <f t="shared" si="30"/>
        <v/>
      </c>
      <c r="U489" s="6" t="str">
        <f t="shared" si="32"/>
        <v/>
      </c>
    </row>
    <row r="490" spans="1:21">
      <c r="A490" s="11"/>
      <c r="B490" s="11"/>
      <c r="C490" s="11"/>
      <c r="D490" s="11" t="str">
        <f>IF($A490="","",_xlfn.TEXTJOIN(", ",TRUE,IF($G490&gt;0,'Template Setup'!$C$4,""),IF($H490&gt;0,'Template Setup'!$C$5,""),IF($I490&gt;0,'Template Setup'!$C$6,""),IF($J490&gt;0,'Template Setup'!$C$7,""),IF($K490&gt;0,'Template Setup'!$C$8,"")))</f>
        <v/>
      </c>
      <c r="E490" s="6" t="str" cm="1">
        <f t="array" ref="E490">IF($A490="","",_xlfn.LET(_xlpm.sheets,CHOOSE({1,2,3,4,5},'Template Setup'!$C$4,'Template Setup'!$C$5,'Template Setup'!$C$6,'Template Setup'!$C$7,'Template Setup'!$C$8),_xlpm.nums,CHOOSE({1,2,3,4,5},$L490,$M490,$N490,$O490,$P490),_xlpm.qtys,CHOOSE({1,2,3,4,5},$G490,$H490,$I490,$J490,$K490),_xlpm.validNums,_xlfn._xlws.FILTER(_xlpm.nums,_xlpm.qtys&gt;0),_xlpm.validSheets,_xlfn._xlws.FILTER(_xlpm.sheets,_xlpm.qtys&gt;0),_xlpm.mx,IFERROR(MAX(_xlpm.validNums),0),IF(_xlpm.mx=0,"",INDEX(_xlpm.validSheets,MATCH(_xlpm.mx,_xlpm.validNums,0))&amp;" (+"&amp;$R490&amp;")")))</f>
        <v/>
      </c>
      <c r="F490" s="11" t="str">
        <f t="shared" si="31"/>
        <v/>
      </c>
      <c r="G490" s="12" t="str">
        <f ca="1">IF($A490="","",IFERROR(SUMIF(INDIRECT("'"&amp;'Template Setup'!$C$4&amp;"'!C:C"),$A490,INDIRECT("'"&amp;'Template Setup'!$C$4&amp;"'!A:A")),0))</f>
        <v/>
      </c>
      <c r="H490" s="12" t="str">
        <f ca="1">IF($A490="","",IFERROR(SUMIF(INDIRECT("'"&amp;'Template Setup'!$C$5&amp;"'!C:C"),$A490,INDIRECT("'"&amp;'Template Setup'!$C$5&amp;"'!A:A")),0))</f>
        <v/>
      </c>
      <c r="I490" s="12" t="str">
        <f ca="1">IF($A490="","",IFERROR(SUMIF(INDIRECT("'"&amp;'Template Setup'!$C$6&amp;"'!C:C"),$A490,INDIRECT("'"&amp;'Template Setup'!$C$6&amp;"'!A:A")),0))</f>
        <v/>
      </c>
      <c r="J490" s="12" t="str">
        <f ca="1">IF($A490="","",IFERROR(SUMIF(INDIRECT("'"&amp;'Template Setup'!$C$7&amp;"'!C:C"),$A490,INDIRECT("'"&amp;'Template Setup'!$C$7&amp;"'!A:A")),0))</f>
        <v/>
      </c>
      <c r="K490" s="12" t="str">
        <f ca="1">IF($A490="","",IFERROR(SUMIF(INDIRECT("'"&amp;'Template Setup'!$C$8&amp;"'!C:C"),$A490,INDIRECT("'"&amp;'Template Setup'!$C$8&amp;"'!A:A")),0))</f>
        <v/>
      </c>
      <c r="L490" s="11" t="str">
        <f>IF($A490="","",IFERROR(VALUE(MID(TRIM('Template Setup'!$C$4),FIND("-",TRIM('Template Setup'!$C$4))+1,10)),0))</f>
        <v/>
      </c>
      <c r="M490" s="11" t="str">
        <f>IF($A490="","",IFERROR(VALUE(MID(TRIM('Template Setup'!$C$5),FIND("-",TRIM('Template Setup'!$C$5))+1,10)),0))</f>
        <v/>
      </c>
      <c r="N490" s="11" t="str">
        <f>IF($A490="","",IFERROR(VALUE(MID(TRIM('Template Setup'!$C$6),FIND("-",TRIM('Template Setup'!$C$6))+1,10)),0))</f>
        <v/>
      </c>
      <c r="O490" s="11" t="str">
        <f>IF($A490="","",IFERROR(VALUE(MID(TRIM('Template Setup'!$C$7),FIND("-",TRIM('Template Setup'!$C$7))+1,10)),0))</f>
        <v/>
      </c>
      <c r="P490" s="11" t="str">
        <f>IF($A490="","",IFERROR(VALUE(MID(TRIM('Template Setup'!$C$8),FIND("-",TRIM('Template Setup'!$C$8))+1,10)),0))</f>
        <v/>
      </c>
      <c r="Q490" s="9" t="str">
        <f>IF($A490="","",$A490&amp;"-"&amp;'Template Setup'!$C$16)</f>
        <v/>
      </c>
      <c r="R490" s="24" t="str">
        <f t="shared" si="29"/>
        <v/>
      </c>
      <c r="S490" s="24"/>
      <c r="T490" s="24" t="str">
        <f t="shared" si="30"/>
        <v/>
      </c>
      <c r="U490" s="6" t="str">
        <f t="shared" si="32"/>
        <v/>
      </c>
    </row>
    <row r="491" spans="1:21">
      <c r="A491" s="11"/>
      <c r="B491" s="11"/>
      <c r="C491" s="11"/>
      <c r="D491" s="11" t="str">
        <f>IF($A491="","",_xlfn.TEXTJOIN(", ",TRUE,IF($G491&gt;0,'Template Setup'!$C$4,""),IF($H491&gt;0,'Template Setup'!$C$5,""),IF($I491&gt;0,'Template Setup'!$C$6,""),IF($J491&gt;0,'Template Setup'!$C$7,""),IF($K491&gt;0,'Template Setup'!$C$8,"")))</f>
        <v/>
      </c>
      <c r="E491" s="6" t="str" cm="1">
        <f t="array" ref="E491">IF($A491="","",_xlfn.LET(_xlpm.sheets,CHOOSE({1,2,3,4,5},'Template Setup'!$C$4,'Template Setup'!$C$5,'Template Setup'!$C$6,'Template Setup'!$C$7,'Template Setup'!$C$8),_xlpm.nums,CHOOSE({1,2,3,4,5},$L491,$M491,$N491,$O491,$P491),_xlpm.qtys,CHOOSE({1,2,3,4,5},$G491,$H491,$I491,$J491,$K491),_xlpm.validNums,_xlfn._xlws.FILTER(_xlpm.nums,_xlpm.qtys&gt;0),_xlpm.validSheets,_xlfn._xlws.FILTER(_xlpm.sheets,_xlpm.qtys&gt;0),_xlpm.mx,IFERROR(MAX(_xlpm.validNums),0),IF(_xlpm.mx=0,"",INDEX(_xlpm.validSheets,MATCH(_xlpm.mx,_xlpm.validNums,0))&amp;" (+"&amp;$R491&amp;")")))</f>
        <v/>
      </c>
      <c r="F491" s="11" t="str">
        <f t="shared" si="31"/>
        <v/>
      </c>
      <c r="G491" s="12" t="str">
        <f ca="1">IF($A491="","",IFERROR(SUMIF(INDIRECT("'"&amp;'Template Setup'!$C$4&amp;"'!C:C"),$A491,INDIRECT("'"&amp;'Template Setup'!$C$4&amp;"'!A:A")),0))</f>
        <v/>
      </c>
      <c r="H491" s="12" t="str">
        <f ca="1">IF($A491="","",IFERROR(SUMIF(INDIRECT("'"&amp;'Template Setup'!$C$5&amp;"'!C:C"),$A491,INDIRECT("'"&amp;'Template Setup'!$C$5&amp;"'!A:A")),0))</f>
        <v/>
      </c>
      <c r="I491" s="12" t="str">
        <f ca="1">IF($A491="","",IFERROR(SUMIF(INDIRECT("'"&amp;'Template Setup'!$C$6&amp;"'!C:C"),$A491,INDIRECT("'"&amp;'Template Setup'!$C$6&amp;"'!A:A")),0))</f>
        <v/>
      </c>
      <c r="J491" s="12" t="str">
        <f ca="1">IF($A491="","",IFERROR(SUMIF(INDIRECT("'"&amp;'Template Setup'!$C$7&amp;"'!C:C"),$A491,INDIRECT("'"&amp;'Template Setup'!$C$7&amp;"'!A:A")),0))</f>
        <v/>
      </c>
      <c r="K491" s="12" t="str">
        <f ca="1">IF($A491="","",IFERROR(SUMIF(INDIRECT("'"&amp;'Template Setup'!$C$8&amp;"'!C:C"),$A491,INDIRECT("'"&amp;'Template Setup'!$C$8&amp;"'!A:A")),0))</f>
        <v/>
      </c>
      <c r="L491" s="11" t="str">
        <f>IF($A491="","",IFERROR(VALUE(MID(TRIM('Template Setup'!$C$4),FIND("-",TRIM('Template Setup'!$C$4))+1,10)),0))</f>
        <v/>
      </c>
      <c r="M491" s="11" t="str">
        <f>IF($A491="","",IFERROR(VALUE(MID(TRIM('Template Setup'!$C$5),FIND("-",TRIM('Template Setup'!$C$5))+1,10)),0))</f>
        <v/>
      </c>
      <c r="N491" s="11" t="str">
        <f>IF($A491="","",IFERROR(VALUE(MID(TRIM('Template Setup'!$C$6),FIND("-",TRIM('Template Setup'!$C$6))+1,10)),0))</f>
        <v/>
      </c>
      <c r="O491" s="11" t="str">
        <f>IF($A491="","",IFERROR(VALUE(MID(TRIM('Template Setup'!$C$7),FIND("-",TRIM('Template Setup'!$C$7))+1,10)),0))</f>
        <v/>
      </c>
      <c r="P491" s="11" t="str">
        <f>IF($A491="","",IFERROR(VALUE(MID(TRIM('Template Setup'!$C$8),FIND("-",TRIM('Template Setup'!$C$8))+1,10)),0))</f>
        <v/>
      </c>
      <c r="Q491" s="9" t="str">
        <f>IF($A491="","",$A491&amp;"-"&amp;'Template Setup'!$C$16)</f>
        <v/>
      </c>
      <c r="R491" s="24" t="str">
        <f t="shared" si="29"/>
        <v/>
      </c>
      <c r="S491" s="24"/>
      <c r="T491" s="24" t="str">
        <f t="shared" si="30"/>
        <v/>
      </c>
      <c r="U491" s="6" t="str">
        <f t="shared" si="32"/>
        <v/>
      </c>
    </row>
    <row r="492" spans="1:21">
      <c r="A492" s="11"/>
      <c r="B492" s="11"/>
      <c r="C492" s="11"/>
      <c r="D492" s="11" t="str">
        <f>IF($A492="","",_xlfn.TEXTJOIN(", ",TRUE,IF($G492&gt;0,'Template Setup'!$C$4,""),IF($H492&gt;0,'Template Setup'!$C$5,""),IF($I492&gt;0,'Template Setup'!$C$6,""),IF($J492&gt;0,'Template Setup'!$C$7,""),IF($K492&gt;0,'Template Setup'!$C$8,"")))</f>
        <v/>
      </c>
      <c r="E492" s="6" t="str" cm="1">
        <f t="array" ref="E492">IF($A492="","",_xlfn.LET(_xlpm.sheets,CHOOSE({1,2,3,4,5},'Template Setup'!$C$4,'Template Setup'!$C$5,'Template Setup'!$C$6,'Template Setup'!$C$7,'Template Setup'!$C$8),_xlpm.nums,CHOOSE({1,2,3,4,5},$L492,$M492,$N492,$O492,$P492),_xlpm.qtys,CHOOSE({1,2,3,4,5},$G492,$H492,$I492,$J492,$K492),_xlpm.validNums,_xlfn._xlws.FILTER(_xlpm.nums,_xlpm.qtys&gt;0),_xlpm.validSheets,_xlfn._xlws.FILTER(_xlpm.sheets,_xlpm.qtys&gt;0),_xlpm.mx,IFERROR(MAX(_xlpm.validNums),0),IF(_xlpm.mx=0,"",INDEX(_xlpm.validSheets,MATCH(_xlpm.mx,_xlpm.validNums,0))&amp;" (+"&amp;$R492&amp;")")))</f>
        <v/>
      </c>
      <c r="F492" s="11" t="str">
        <f t="shared" si="31"/>
        <v/>
      </c>
      <c r="G492" s="12" t="str">
        <f ca="1">IF($A492="","",IFERROR(SUMIF(INDIRECT("'"&amp;'Template Setup'!$C$4&amp;"'!C:C"),$A492,INDIRECT("'"&amp;'Template Setup'!$C$4&amp;"'!A:A")),0))</f>
        <v/>
      </c>
      <c r="H492" s="12" t="str">
        <f ca="1">IF($A492="","",IFERROR(SUMIF(INDIRECT("'"&amp;'Template Setup'!$C$5&amp;"'!C:C"),$A492,INDIRECT("'"&amp;'Template Setup'!$C$5&amp;"'!A:A")),0))</f>
        <v/>
      </c>
      <c r="I492" s="12" t="str">
        <f ca="1">IF($A492="","",IFERROR(SUMIF(INDIRECT("'"&amp;'Template Setup'!$C$6&amp;"'!C:C"),$A492,INDIRECT("'"&amp;'Template Setup'!$C$6&amp;"'!A:A")),0))</f>
        <v/>
      </c>
      <c r="J492" s="12" t="str">
        <f ca="1">IF($A492="","",IFERROR(SUMIF(INDIRECT("'"&amp;'Template Setup'!$C$7&amp;"'!C:C"),$A492,INDIRECT("'"&amp;'Template Setup'!$C$7&amp;"'!A:A")),0))</f>
        <v/>
      </c>
      <c r="K492" s="12" t="str">
        <f ca="1">IF($A492="","",IFERROR(SUMIF(INDIRECT("'"&amp;'Template Setup'!$C$8&amp;"'!C:C"),$A492,INDIRECT("'"&amp;'Template Setup'!$C$8&amp;"'!A:A")),0))</f>
        <v/>
      </c>
      <c r="L492" s="11" t="str">
        <f>IF($A492="","",IFERROR(VALUE(MID(TRIM('Template Setup'!$C$4),FIND("-",TRIM('Template Setup'!$C$4))+1,10)),0))</f>
        <v/>
      </c>
      <c r="M492" s="11" t="str">
        <f>IF($A492="","",IFERROR(VALUE(MID(TRIM('Template Setup'!$C$5),FIND("-",TRIM('Template Setup'!$C$5))+1,10)),0))</f>
        <v/>
      </c>
      <c r="N492" s="11" t="str">
        <f>IF($A492="","",IFERROR(VALUE(MID(TRIM('Template Setup'!$C$6),FIND("-",TRIM('Template Setup'!$C$6))+1,10)),0))</f>
        <v/>
      </c>
      <c r="O492" s="11" t="str">
        <f>IF($A492="","",IFERROR(VALUE(MID(TRIM('Template Setup'!$C$7),FIND("-",TRIM('Template Setup'!$C$7))+1,10)),0))</f>
        <v/>
      </c>
      <c r="P492" s="11" t="str">
        <f>IF($A492="","",IFERROR(VALUE(MID(TRIM('Template Setup'!$C$8),FIND("-",TRIM('Template Setup'!$C$8))+1,10)),0))</f>
        <v/>
      </c>
      <c r="Q492" s="9" t="str">
        <f>IF($A492="","",$A492&amp;"-"&amp;'Template Setup'!$C$16)</f>
        <v/>
      </c>
      <c r="R492" s="24" t="str">
        <f t="shared" si="29"/>
        <v/>
      </c>
      <c r="S492" s="24"/>
      <c r="T492" s="24" t="str">
        <f t="shared" si="30"/>
        <v/>
      </c>
      <c r="U492" s="6" t="str">
        <f t="shared" si="32"/>
        <v/>
      </c>
    </row>
    <row r="493" spans="1:21">
      <c r="A493" s="11"/>
      <c r="B493" s="11"/>
      <c r="C493" s="11"/>
      <c r="D493" s="11" t="str">
        <f>IF($A493="","",_xlfn.TEXTJOIN(", ",TRUE,IF($G493&gt;0,'Template Setup'!$C$4,""),IF($H493&gt;0,'Template Setup'!$C$5,""),IF($I493&gt;0,'Template Setup'!$C$6,""),IF($J493&gt;0,'Template Setup'!$C$7,""),IF($K493&gt;0,'Template Setup'!$C$8,"")))</f>
        <v/>
      </c>
      <c r="E493" s="6" t="str" cm="1">
        <f t="array" ref="E493">IF($A493="","",_xlfn.LET(_xlpm.sheets,CHOOSE({1,2,3,4,5},'Template Setup'!$C$4,'Template Setup'!$C$5,'Template Setup'!$C$6,'Template Setup'!$C$7,'Template Setup'!$C$8),_xlpm.nums,CHOOSE({1,2,3,4,5},$L493,$M493,$N493,$O493,$P493),_xlpm.qtys,CHOOSE({1,2,3,4,5},$G493,$H493,$I493,$J493,$K493),_xlpm.validNums,_xlfn._xlws.FILTER(_xlpm.nums,_xlpm.qtys&gt;0),_xlpm.validSheets,_xlfn._xlws.FILTER(_xlpm.sheets,_xlpm.qtys&gt;0),_xlpm.mx,IFERROR(MAX(_xlpm.validNums),0),IF(_xlpm.mx=0,"",INDEX(_xlpm.validSheets,MATCH(_xlpm.mx,_xlpm.validNums,0))&amp;" (+"&amp;$R493&amp;")")))</f>
        <v/>
      </c>
      <c r="F493" s="11" t="str">
        <f t="shared" si="31"/>
        <v/>
      </c>
      <c r="G493" s="12" t="str">
        <f ca="1">IF($A493="","",IFERROR(SUMIF(INDIRECT("'"&amp;'Template Setup'!$C$4&amp;"'!C:C"),$A493,INDIRECT("'"&amp;'Template Setup'!$C$4&amp;"'!A:A")),0))</f>
        <v/>
      </c>
      <c r="H493" s="12" t="str">
        <f ca="1">IF($A493="","",IFERROR(SUMIF(INDIRECT("'"&amp;'Template Setup'!$C$5&amp;"'!C:C"),$A493,INDIRECT("'"&amp;'Template Setup'!$C$5&amp;"'!A:A")),0))</f>
        <v/>
      </c>
      <c r="I493" s="12" t="str">
        <f ca="1">IF($A493="","",IFERROR(SUMIF(INDIRECT("'"&amp;'Template Setup'!$C$6&amp;"'!C:C"),$A493,INDIRECT("'"&amp;'Template Setup'!$C$6&amp;"'!A:A")),0))</f>
        <v/>
      </c>
      <c r="J493" s="12" t="str">
        <f ca="1">IF($A493="","",IFERROR(SUMIF(INDIRECT("'"&amp;'Template Setup'!$C$7&amp;"'!C:C"),$A493,INDIRECT("'"&amp;'Template Setup'!$C$7&amp;"'!A:A")),0))</f>
        <v/>
      </c>
      <c r="K493" s="12" t="str">
        <f ca="1">IF($A493="","",IFERROR(SUMIF(INDIRECT("'"&amp;'Template Setup'!$C$8&amp;"'!C:C"),$A493,INDIRECT("'"&amp;'Template Setup'!$C$8&amp;"'!A:A")),0))</f>
        <v/>
      </c>
      <c r="L493" s="11" t="str">
        <f>IF($A493="","",IFERROR(VALUE(MID(TRIM('Template Setup'!$C$4),FIND("-",TRIM('Template Setup'!$C$4))+1,10)),0))</f>
        <v/>
      </c>
      <c r="M493" s="11" t="str">
        <f>IF($A493="","",IFERROR(VALUE(MID(TRIM('Template Setup'!$C$5),FIND("-",TRIM('Template Setup'!$C$5))+1,10)),0))</f>
        <v/>
      </c>
      <c r="N493" s="11" t="str">
        <f>IF($A493="","",IFERROR(VALUE(MID(TRIM('Template Setup'!$C$6),FIND("-",TRIM('Template Setup'!$C$6))+1,10)),0))</f>
        <v/>
      </c>
      <c r="O493" s="11" t="str">
        <f>IF($A493="","",IFERROR(VALUE(MID(TRIM('Template Setup'!$C$7),FIND("-",TRIM('Template Setup'!$C$7))+1,10)),0))</f>
        <v/>
      </c>
      <c r="P493" s="11" t="str">
        <f>IF($A493="","",IFERROR(VALUE(MID(TRIM('Template Setup'!$C$8),FIND("-",TRIM('Template Setup'!$C$8))+1,10)),0))</f>
        <v/>
      </c>
      <c r="Q493" s="9" t="str">
        <f>IF($A493="","",$A493&amp;"-"&amp;'Template Setup'!$C$16)</f>
        <v/>
      </c>
      <c r="R493" s="24" t="str">
        <f t="shared" si="29"/>
        <v/>
      </c>
      <c r="S493" s="24"/>
      <c r="T493" s="24" t="str">
        <f t="shared" si="30"/>
        <v/>
      </c>
      <c r="U493" s="6" t="str">
        <f t="shared" si="32"/>
        <v/>
      </c>
    </row>
    <row r="494" spans="1:21">
      <c r="A494" s="11"/>
      <c r="B494" s="11"/>
      <c r="C494" s="11"/>
      <c r="D494" s="11" t="str">
        <f>IF($A494="","",_xlfn.TEXTJOIN(", ",TRUE,IF($G494&gt;0,'Template Setup'!$C$4,""),IF($H494&gt;0,'Template Setup'!$C$5,""),IF($I494&gt;0,'Template Setup'!$C$6,""),IF($J494&gt;0,'Template Setup'!$C$7,""),IF($K494&gt;0,'Template Setup'!$C$8,"")))</f>
        <v/>
      </c>
      <c r="E494" s="6" t="str" cm="1">
        <f t="array" ref="E494">IF($A494="","",_xlfn.LET(_xlpm.sheets,CHOOSE({1,2,3,4,5},'Template Setup'!$C$4,'Template Setup'!$C$5,'Template Setup'!$C$6,'Template Setup'!$C$7,'Template Setup'!$C$8),_xlpm.nums,CHOOSE({1,2,3,4,5},$L494,$M494,$N494,$O494,$P494),_xlpm.qtys,CHOOSE({1,2,3,4,5},$G494,$H494,$I494,$J494,$K494),_xlpm.validNums,_xlfn._xlws.FILTER(_xlpm.nums,_xlpm.qtys&gt;0),_xlpm.validSheets,_xlfn._xlws.FILTER(_xlpm.sheets,_xlpm.qtys&gt;0),_xlpm.mx,IFERROR(MAX(_xlpm.validNums),0),IF(_xlpm.mx=0,"",INDEX(_xlpm.validSheets,MATCH(_xlpm.mx,_xlpm.validNums,0))&amp;" (+"&amp;$R494&amp;")")))</f>
        <v/>
      </c>
      <c r="F494" s="11" t="str">
        <f t="shared" si="31"/>
        <v/>
      </c>
      <c r="G494" s="12" t="str">
        <f ca="1">IF($A494="","",IFERROR(SUMIF(INDIRECT("'"&amp;'Template Setup'!$C$4&amp;"'!C:C"),$A494,INDIRECT("'"&amp;'Template Setup'!$C$4&amp;"'!A:A")),0))</f>
        <v/>
      </c>
      <c r="H494" s="12" t="str">
        <f ca="1">IF($A494="","",IFERROR(SUMIF(INDIRECT("'"&amp;'Template Setup'!$C$5&amp;"'!C:C"),$A494,INDIRECT("'"&amp;'Template Setup'!$C$5&amp;"'!A:A")),0))</f>
        <v/>
      </c>
      <c r="I494" s="12" t="str">
        <f ca="1">IF($A494="","",IFERROR(SUMIF(INDIRECT("'"&amp;'Template Setup'!$C$6&amp;"'!C:C"),$A494,INDIRECT("'"&amp;'Template Setup'!$C$6&amp;"'!A:A")),0))</f>
        <v/>
      </c>
      <c r="J494" s="12" t="str">
        <f ca="1">IF($A494="","",IFERROR(SUMIF(INDIRECT("'"&amp;'Template Setup'!$C$7&amp;"'!C:C"),$A494,INDIRECT("'"&amp;'Template Setup'!$C$7&amp;"'!A:A")),0))</f>
        <v/>
      </c>
      <c r="K494" s="12" t="str">
        <f ca="1">IF($A494="","",IFERROR(SUMIF(INDIRECT("'"&amp;'Template Setup'!$C$8&amp;"'!C:C"),$A494,INDIRECT("'"&amp;'Template Setup'!$C$8&amp;"'!A:A")),0))</f>
        <v/>
      </c>
      <c r="L494" s="11" t="str">
        <f>IF($A494="","",IFERROR(VALUE(MID(TRIM('Template Setup'!$C$4),FIND("-",TRIM('Template Setup'!$C$4))+1,10)),0))</f>
        <v/>
      </c>
      <c r="M494" s="11" t="str">
        <f>IF($A494="","",IFERROR(VALUE(MID(TRIM('Template Setup'!$C$5),FIND("-",TRIM('Template Setup'!$C$5))+1,10)),0))</f>
        <v/>
      </c>
      <c r="N494" s="11" t="str">
        <f>IF($A494="","",IFERROR(VALUE(MID(TRIM('Template Setup'!$C$6),FIND("-",TRIM('Template Setup'!$C$6))+1,10)),0))</f>
        <v/>
      </c>
      <c r="O494" s="11" t="str">
        <f>IF($A494="","",IFERROR(VALUE(MID(TRIM('Template Setup'!$C$7),FIND("-",TRIM('Template Setup'!$C$7))+1,10)),0))</f>
        <v/>
      </c>
      <c r="P494" s="11" t="str">
        <f>IF($A494="","",IFERROR(VALUE(MID(TRIM('Template Setup'!$C$8),FIND("-",TRIM('Template Setup'!$C$8))+1,10)),0))</f>
        <v/>
      </c>
      <c r="Q494" s="9" t="str">
        <f>IF($A494="","",$A494&amp;"-"&amp;'Template Setup'!$C$16)</f>
        <v/>
      </c>
      <c r="R494" s="24" t="str">
        <f t="shared" si="29"/>
        <v/>
      </c>
      <c r="S494" s="24"/>
      <c r="T494" s="24" t="str">
        <f t="shared" si="30"/>
        <v/>
      </c>
      <c r="U494" s="6" t="str">
        <f t="shared" si="32"/>
        <v/>
      </c>
    </row>
    <row r="495" spans="1:21">
      <c r="A495" s="11"/>
      <c r="B495" s="11"/>
      <c r="C495" s="11"/>
      <c r="D495" s="11" t="str">
        <f>IF($A495="","",_xlfn.TEXTJOIN(", ",TRUE,IF($G495&gt;0,'Template Setup'!$C$4,""),IF($H495&gt;0,'Template Setup'!$C$5,""),IF($I495&gt;0,'Template Setup'!$C$6,""),IF($J495&gt;0,'Template Setup'!$C$7,""),IF($K495&gt;0,'Template Setup'!$C$8,"")))</f>
        <v/>
      </c>
      <c r="E495" s="6" t="str" cm="1">
        <f t="array" ref="E495">IF($A495="","",_xlfn.LET(_xlpm.sheets,CHOOSE({1,2,3,4,5},'Template Setup'!$C$4,'Template Setup'!$C$5,'Template Setup'!$C$6,'Template Setup'!$C$7,'Template Setup'!$C$8),_xlpm.nums,CHOOSE({1,2,3,4,5},$L495,$M495,$N495,$O495,$P495),_xlpm.qtys,CHOOSE({1,2,3,4,5},$G495,$H495,$I495,$J495,$K495),_xlpm.validNums,_xlfn._xlws.FILTER(_xlpm.nums,_xlpm.qtys&gt;0),_xlpm.validSheets,_xlfn._xlws.FILTER(_xlpm.sheets,_xlpm.qtys&gt;0),_xlpm.mx,IFERROR(MAX(_xlpm.validNums),0),IF(_xlpm.mx=0,"",INDEX(_xlpm.validSheets,MATCH(_xlpm.mx,_xlpm.validNums,0))&amp;" (+"&amp;$R495&amp;")")))</f>
        <v/>
      </c>
      <c r="F495" s="11" t="str">
        <f t="shared" si="31"/>
        <v/>
      </c>
      <c r="G495" s="12" t="str">
        <f ca="1">IF($A495="","",IFERROR(SUMIF(INDIRECT("'"&amp;'Template Setup'!$C$4&amp;"'!C:C"),$A495,INDIRECT("'"&amp;'Template Setup'!$C$4&amp;"'!A:A")),0))</f>
        <v/>
      </c>
      <c r="H495" s="12" t="str">
        <f ca="1">IF($A495="","",IFERROR(SUMIF(INDIRECT("'"&amp;'Template Setup'!$C$5&amp;"'!C:C"),$A495,INDIRECT("'"&amp;'Template Setup'!$C$5&amp;"'!A:A")),0))</f>
        <v/>
      </c>
      <c r="I495" s="12" t="str">
        <f ca="1">IF($A495="","",IFERROR(SUMIF(INDIRECT("'"&amp;'Template Setup'!$C$6&amp;"'!C:C"),$A495,INDIRECT("'"&amp;'Template Setup'!$C$6&amp;"'!A:A")),0))</f>
        <v/>
      </c>
      <c r="J495" s="12" t="str">
        <f ca="1">IF($A495="","",IFERROR(SUMIF(INDIRECT("'"&amp;'Template Setup'!$C$7&amp;"'!C:C"),$A495,INDIRECT("'"&amp;'Template Setup'!$C$7&amp;"'!A:A")),0))</f>
        <v/>
      </c>
      <c r="K495" s="12" t="str">
        <f ca="1">IF($A495="","",IFERROR(SUMIF(INDIRECT("'"&amp;'Template Setup'!$C$8&amp;"'!C:C"),$A495,INDIRECT("'"&amp;'Template Setup'!$C$8&amp;"'!A:A")),0))</f>
        <v/>
      </c>
      <c r="L495" s="11" t="str">
        <f>IF($A495="","",IFERROR(VALUE(MID(TRIM('Template Setup'!$C$4),FIND("-",TRIM('Template Setup'!$C$4))+1,10)),0))</f>
        <v/>
      </c>
      <c r="M495" s="11" t="str">
        <f>IF($A495="","",IFERROR(VALUE(MID(TRIM('Template Setup'!$C$5),FIND("-",TRIM('Template Setup'!$C$5))+1,10)),0))</f>
        <v/>
      </c>
      <c r="N495" s="11" t="str">
        <f>IF($A495="","",IFERROR(VALUE(MID(TRIM('Template Setup'!$C$6),FIND("-",TRIM('Template Setup'!$C$6))+1,10)),0))</f>
        <v/>
      </c>
      <c r="O495" s="11" t="str">
        <f>IF($A495="","",IFERROR(VALUE(MID(TRIM('Template Setup'!$C$7),FIND("-",TRIM('Template Setup'!$C$7))+1,10)),0))</f>
        <v/>
      </c>
      <c r="P495" s="11" t="str">
        <f>IF($A495="","",IFERROR(VALUE(MID(TRIM('Template Setup'!$C$8),FIND("-",TRIM('Template Setup'!$C$8))+1,10)),0))</f>
        <v/>
      </c>
      <c r="Q495" s="9" t="str">
        <f>IF($A495="","",$A495&amp;"-"&amp;'Template Setup'!$C$16)</f>
        <v/>
      </c>
      <c r="R495" s="24" t="str">
        <f t="shared" si="29"/>
        <v/>
      </c>
      <c r="S495" s="24"/>
      <c r="T495" s="24" t="str">
        <f t="shared" si="30"/>
        <v/>
      </c>
      <c r="U495" s="6" t="str">
        <f t="shared" si="32"/>
        <v/>
      </c>
    </row>
    <row r="496" spans="1:21">
      <c r="A496" s="11"/>
      <c r="B496" s="11"/>
      <c r="C496" s="11"/>
      <c r="D496" s="11" t="str">
        <f>IF($A496="","",_xlfn.TEXTJOIN(", ",TRUE,IF($G496&gt;0,'Template Setup'!$C$4,""),IF($H496&gt;0,'Template Setup'!$C$5,""),IF($I496&gt;0,'Template Setup'!$C$6,""),IF($J496&gt;0,'Template Setup'!$C$7,""),IF($K496&gt;0,'Template Setup'!$C$8,"")))</f>
        <v/>
      </c>
      <c r="E496" s="6" t="str" cm="1">
        <f t="array" ref="E496">IF($A496="","",_xlfn.LET(_xlpm.sheets,CHOOSE({1,2,3,4,5},'Template Setup'!$C$4,'Template Setup'!$C$5,'Template Setup'!$C$6,'Template Setup'!$C$7,'Template Setup'!$C$8),_xlpm.nums,CHOOSE({1,2,3,4,5},$L496,$M496,$N496,$O496,$P496),_xlpm.qtys,CHOOSE({1,2,3,4,5},$G496,$H496,$I496,$J496,$K496),_xlpm.validNums,_xlfn._xlws.FILTER(_xlpm.nums,_xlpm.qtys&gt;0),_xlpm.validSheets,_xlfn._xlws.FILTER(_xlpm.sheets,_xlpm.qtys&gt;0),_xlpm.mx,IFERROR(MAX(_xlpm.validNums),0),IF(_xlpm.mx=0,"",INDEX(_xlpm.validSheets,MATCH(_xlpm.mx,_xlpm.validNums,0))&amp;" (+"&amp;$R496&amp;")")))</f>
        <v/>
      </c>
      <c r="F496" s="11" t="str">
        <f t="shared" si="31"/>
        <v/>
      </c>
      <c r="G496" s="12" t="str">
        <f ca="1">IF($A496="","",IFERROR(SUMIF(INDIRECT("'"&amp;'Template Setup'!$C$4&amp;"'!C:C"),$A496,INDIRECT("'"&amp;'Template Setup'!$C$4&amp;"'!A:A")),0))</f>
        <v/>
      </c>
      <c r="H496" s="12" t="str">
        <f ca="1">IF($A496="","",IFERROR(SUMIF(INDIRECT("'"&amp;'Template Setup'!$C$5&amp;"'!C:C"),$A496,INDIRECT("'"&amp;'Template Setup'!$C$5&amp;"'!A:A")),0))</f>
        <v/>
      </c>
      <c r="I496" s="12" t="str">
        <f ca="1">IF($A496="","",IFERROR(SUMIF(INDIRECT("'"&amp;'Template Setup'!$C$6&amp;"'!C:C"),$A496,INDIRECT("'"&amp;'Template Setup'!$C$6&amp;"'!A:A")),0))</f>
        <v/>
      </c>
      <c r="J496" s="12" t="str">
        <f ca="1">IF($A496="","",IFERROR(SUMIF(INDIRECT("'"&amp;'Template Setup'!$C$7&amp;"'!C:C"),$A496,INDIRECT("'"&amp;'Template Setup'!$C$7&amp;"'!A:A")),0))</f>
        <v/>
      </c>
      <c r="K496" s="12" t="str">
        <f ca="1">IF($A496="","",IFERROR(SUMIF(INDIRECT("'"&amp;'Template Setup'!$C$8&amp;"'!C:C"),$A496,INDIRECT("'"&amp;'Template Setup'!$C$8&amp;"'!A:A")),0))</f>
        <v/>
      </c>
      <c r="L496" s="11" t="str">
        <f>IF($A496="","",IFERROR(VALUE(MID(TRIM('Template Setup'!$C$4),FIND("-",TRIM('Template Setup'!$C$4))+1,10)),0))</f>
        <v/>
      </c>
      <c r="M496" s="11" t="str">
        <f>IF($A496="","",IFERROR(VALUE(MID(TRIM('Template Setup'!$C$5),FIND("-",TRIM('Template Setup'!$C$5))+1,10)),0))</f>
        <v/>
      </c>
      <c r="N496" s="11" t="str">
        <f>IF($A496="","",IFERROR(VALUE(MID(TRIM('Template Setup'!$C$6),FIND("-",TRIM('Template Setup'!$C$6))+1,10)),0))</f>
        <v/>
      </c>
      <c r="O496" s="11" t="str">
        <f>IF($A496="","",IFERROR(VALUE(MID(TRIM('Template Setup'!$C$7),FIND("-",TRIM('Template Setup'!$C$7))+1,10)),0))</f>
        <v/>
      </c>
      <c r="P496" s="11" t="str">
        <f>IF($A496="","",IFERROR(VALUE(MID(TRIM('Template Setup'!$C$8),FIND("-",TRIM('Template Setup'!$C$8))+1,10)),0))</f>
        <v/>
      </c>
      <c r="Q496" s="9" t="str">
        <f>IF($A496="","",$A496&amp;"-"&amp;'Template Setup'!$C$16)</f>
        <v/>
      </c>
      <c r="R496" s="24" t="str">
        <f t="shared" si="29"/>
        <v/>
      </c>
      <c r="S496" s="24"/>
      <c r="T496" s="24" t="str">
        <f t="shared" si="30"/>
        <v/>
      </c>
      <c r="U496" s="6" t="str">
        <f t="shared" si="32"/>
        <v/>
      </c>
    </row>
    <row r="497" spans="1:21">
      <c r="A497" s="11"/>
      <c r="B497" s="11"/>
      <c r="C497" s="11"/>
      <c r="D497" s="11" t="str">
        <f>IF($A497="","",_xlfn.TEXTJOIN(", ",TRUE,IF($G497&gt;0,'Template Setup'!$C$4,""),IF($H497&gt;0,'Template Setup'!$C$5,""),IF($I497&gt;0,'Template Setup'!$C$6,""),IF($J497&gt;0,'Template Setup'!$C$7,""),IF($K497&gt;0,'Template Setup'!$C$8,"")))</f>
        <v/>
      </c>
      <c r="E497" s="6" t="str" cm="1">
        <f t="array" ref="E497">IF($A497="","",_xlfn.LET(_xlpm.sheets,CHOOSE({1,2,3,4,5},'Template Setup'!$C$4,'Template Setup'!$C$5,'Template Setup'!$C$6,'Template Setup'!$C$7,'Template Setup'!$C$8),_xlpm.nums,CHOOSE({1,2,3,4,5},$L497,$M497,$N497,$O497,$P497),_xlpm.qtys,CHOOSE({1,2,3,4,5},$G497,$H497,$I497,$J497,$K497),_xlpm.validNums,_xlfn._xlws.FILTER(_xlpm.nums,_xlpm.qtys&gt;0),_xlpm.validSheets,_xlfn._xlws.FILTER(_xlpm.sheets,_xlpm.qtys&gt;0),_xlpm.mx,IFERROR(MAX(_xlpm.validNums),0),IF(_xlpm.mx=0,"",INDEX(_xlpm.validSheets,MATCH(_xlpm.mx,_xlpm.validNums,0))&amp;" (+"&amp;$R497&amp;")")))</f>
        <v/>
      </c>
      <c r="F497" s="11" t="str">
        <f t="shared" si="31"/>
        <v/>
      </c>
      <c r="G497" s="12" t="str">
        <f ca="1">IF($A497="","",IFERROR(SUMIF(INDIRECT("'"&amp;'Template Setup'!$C$4&amp;"'!C:C"),$A497,INDIRECT("'"&amp;'Template Setup'!$C$4&amp;"'!A:A")),0))</f>
        <v/>
      </c>
      <c r="H497" s="12" t="str">
        <f ca="1">IF($A497="","",IFERROR(SUMIF(INDIRECT("'"&amp;'Template Setup'!$C$5&amp;"'!C:C"),$A497,INDIRECT("'"&amp;'Template Setup'!$C$5&amp;"'!A:A")),0))</f>
        <v/>
      </c>
      <c r="I497" s="12" t="str">
        <f ca="1">IF($A497="","",IFERROR(SUMIF(INDIRECT("'"&amp;'Template Setup'!$C$6&amp;"'!C:C"),$A497,INDIRECT("'"&amp;'Template Setup'!$C$6&amp;"'!A:A")),0))</f>
        <v/>
      </c>
      <c r="J497" s="12" t="str">
        <f ca="1">IF($A497="","",IFERROR(SUMIF(INDIRECT("'"&amp;'Template Setup'!$C$7&amp;"'!C:C"),$A497,INDIRECT("'"&amp;'Template Setup'!$C$7&amp;"'!A:A")),0))</f>
        <v/>
      </c>
      <c r="K497" s="12" t="str">
        <f ca="1">IF($A497="","",IFERROR(SUMIF(INDIRECT("'"&amp;'Template Setup'!$C$8&amp;"'!C:C"),$A497,INDIRECT("'"&amp;'Template Setup'!$C$8&amp;"'!A:A")),0))</f>
        <v/>
      </c>
      <c r="L497" s="11" t="str">
        <f>IF($A497="","",IFERROR(VALUE(MID(TRIM('Template Setup'!$C$4),FIND("-",TRIM('Template Setup'!$C$4))+1,10)),0))</f>
        <v/>
      </c>
      <c r="M497" s="11" t="str">
        <f>IF($A497="","",IFERROR(VALUE(MID(TRIM('Template Setup'!$C$5),FIND("-",TRIM('Template Setup'!$C$5))+1,10)),0))</f>
        <v/>
      </c>
      <c r="N497" s="11" t="str">
        <f>IF($A497="","",IFERROR(VALUE(MID(TRIM('Template Setup'!$C$6),FIND("-",TRIM('Template Setup'!$C$6))+1,10)),0))</f>
        <v/>
      </c>
      <c r="O497" s="11" t="str">
        <f>IF($A497="","",IFERROR(VALUE(MID(TRIM('Template Setup'!$C$7),FIND("-",TRIM('Template Setup'!$C$7))+1,10)),0))</f>
        <v/>
      </c>
      <c r="P497" s="11" t="str">
        <f>IF($A497="","",IFERROR(VALUE(MID(TRIM('Template Setup'!$C$8),FIND("-",TRIM('Template Setup'!$C$8))+1,10)),0))</f>
        <v/>
      </c>
      <c r="Q497" s="9" t="str">
        <f>IF($A497="","",$A497&amp;"-"&amp;'Template Setup'!$C$16)</f>
        <v/>
      </c>
      <c r="R497" s="24" t="str">
        <f t="shared" si="29"/>
        <v/>
      </c>
      <c r="S497" s="24"/>
      <c r="T497" s="24" t="str">
        <f t="shared" si="30"/>
        <v/>
      </c>
      <c r="U497" s="6" t="str">
        <f t="shared" si="32"/>
        <v/>
      </c>
    </row>
    <row r="498" spans="1:21">
      <c r="A498" s="11"/>
      <c r="B498" s="11"/>
      <c r="C498" s="11"/>
      <c r="D498" s="11" t="str">
        <f>IF($A498="","",_xlfn.TEXTJOIN(", ",TRUE,IF($G498&gt;0,'Template Setup'!$C$4,""),IF($H498&gt;0,'Template Setup'!$C$5,""),IF($I498&gt;0,'Template Setup'!$C$6,""),IF($J498&gt;0,'Template Setup'!$C$7,""),IF($K498&gt;0,'Template Setup'!$C$8,"")))</f>
        <v/>
      </c>
      <c r="E498" s="6" t="str" cm="1">
        <f t="array" ref="E498">IF($A498="","",_xlfn.LET(_xlpm.sheets,CHOOSE({1,2,3,4,5},'Template Setup'!$C$4,'Template Setup'!$C$5,'Template Setup'!$C$6,'Template Setup'!$C$7,'Template Setup'!$C$8),_xlpm.nums,CHOOSE({1,2,3,4,5},$L498,$M498,$N498,$O498,$P498),_xlpm.qtys,CHOOSE({1,2,3,4,5},$G498,$H498,$I498,$J498,$K498),_xlpm.validNums,_xlfn._xlws.FILTER(_xlpm.nums,_xlpm.qtys&gt;0),_xlpm.validSheets,_xlfn._xlws.FILTER(_xlpm.sheets,_xlpm.qtys&gt;0),_xlpm.mx,IFERROR(MAX(_xlpm.validNums),0),IF(_xlpm.mx=0,"",INDEX(_xlpm.validSheets,MATCH(_xlpm.mx,_xlpm.validNums,0))&amp;" (+"&amp;$R498&amp;")")))</f>
        <v/>
      </c>
      <c r="F498" s="11" t="str">
        <f t="shared" si="31"/>
        <v/>
      </c>
      <c r="G498" s="12" t="str">
        <f ca="1">IF($A498="","",IFERROR(SUMIF(INDIRECT("'"&amp;'Template Setup'!$C$4&amp;"'!C:C"),$A498,INDIRECT("'"&amp;'Template Setup'!$C$4&amp;"'!A:A")),0))</f>
        <v/>
      </c>
      <c r="H498" s="12" t="str">
        <f ca="1">IF($A498="","",IFERROR(SUMIF(INDIRECT("'"&amp;'Template Setup'!$C$5&amp;"'!C:C"),$A498,INDIRECT("'"&amp;'Template Setup'!$C$5&amp;"'!A:A")),0))</f>
        <v/>
      </c>
      <c r="I498" s="12" t="str">
        <f ca="1">IF($A498="","",IFERROR(SUMIF(INDIRECT("'"&amp;'Template Setup'!$C$6&amp;"'!C:C"),$A498,INDIRECT("'"&amp;'Template Setup'!$C$6&amp;"'!A:A")),0))</f>
        <v/>
      </c>
      <c r="J498" s="12" t="str">
        <f ca="1">IF($A498="","",IFERROR(SUMIF(INDIRECT("'"&amp;'Template Setup'!$C$7&amp;"'!C:C"),$A498,INDIRECT("'"&amp;'Template Setup'!$C$7&amp;"'!A:A")),0))</f>
        <v/>
      </c>
      <c r="K498" s="12" t="str">
        <f ca="1">IF($A498="","",IFERROR(SUMIF(INDIRECT("'"&amp;'Template Setup'!$C$8&amp;"'!C:C"),$A498,INDIRECT("'"&amp;'Template Setup'!$C$8&amp;"'!A:A")),0))</f>
        <v/>
      </c>
      <c r="L498" s="11" t="str">
        <f>IF($A498="","",IFERROR(VALUE(MID(TRIM('Template Setup'!$C$4),FIND("-",TRIM('Template Setup'!$C$4))+1,10)),0))</f>
        <v/>
      </c>
      <c r="M498" s="11" t="str">
        <f>IF($A498="","",IFERROR(VALUE(MID(TRIM('Template Setup'!$C$5),FIND("-",TRIM('Template Setup'!$C$5))+1,10)),0))</f>
        <v/>
      </c>
      <c r="N498" s="11" t="str">
        <f>IF($A498="","",IFERROR(VALUE(MID(TRIM('Template Setup'!$C$6),FIND("-",TRIM('Template Setup'!$C$6))+1,10)),0))</f>
        <v/>
      </c>
      <c r="O498" s="11" t="str">
        <f>IF($A498="","",IFERROR(VALUE(MID(TRIM('Template Setup'!$C$7),FIND("-",TRIM('Template Setup'!$C$7))+1,10)),0))</f>
        <v/>
      </c>
      <c r="P498" s="11" t="str">
        <f>IF($A498="","",IFERROR(VALUE(MID(TRIM('Template Setup'!$C$8),FIND("-",TRIM('Template Setup'!$C$8))+1,10)),0))</f>
        <v/>
      </c>
      <c r="Q498" s="9" t="str">
        <f>IF($A498="","",$A498&amp;"-"&amp;'Template Setup'!$C$16)</f>
        <v/>
      </c>
      <c r="R498" s="24" t="str">
        <f t="shared" si="29"/>
        <v/>
      </c>
      <c r="S498" s="24"/>
      <c r="T498" s="24" t="str">
        <f t="shared" si="30"/>
        <v/>
      </c>
      <c r="U498" s="6" t="str">
        <f t="shared" si="32"/>
        <v/>
      </c>
    </row>
    <row r="499" spans="1:21">
      <c r="A499" s="11"/>
      <c r="B499" s="11"/>
      <c r="C499" s="11"/>
      <c r="D499" s="11" t="str">
        <f>IF($A499="","",_xlfn.TEXTJOIN(", ",TRUE,IF($G499&gt;0,'Template Setup'!$C$4,""),IF($H499&gt;0,'Template Setup'!$C$5,""),IF($I499&gt;0,'Template Setup'!$C$6,""),IF($J499&gt;0,'Template Setup'!$C$7,""),IF($K499&gt;0,'Template Setup'!$C$8,"")))</f>
        <v/>
      </c>
      <c r="E499" s="6" t="str" cm="1">
        <f t="array" ref="E499">IF($A499="","",_xlfn.LET(_xlpm.sheets,CHOOSE({1,2,3,4,5},'Template Setup'!$C$4,'Template Setup'!$C$5,'Template Setup'!$C$6,'Template Setup'!$C$7,'Template Setup'!$C$8),_xlpm.nums,CHOOSE({1,2,3,4,5},$L499,$M499,$N499,$O499,$P499),_xlpm.qtys,CHOOSE({1,2,3,4,5},$G499,$H499,$I499,$J499,$K499),_xlpm.validNums,_xlfn._xlws.FILTER(_xlpm.nums,_xlpm.qtys&gt;0),_xlpm.validSheets,_xlfn._xlws.FILTER(_xlpm.sheets,_xlpm.qtys&gt;0),_xlpm.mx,IFERROR(MAX(_xlpm.validNums),0),IF(_xlpm.mx=0,"",INDEX(_xlpm.validSheets,MATCH(_xlpm.mx,_xlpm.validNums,0))&amp;" (+"&amp;$R499&amp;")")))</f>
        <v/>
      </c>
      <c r="F499" s="11" t="str">
        <f t="shared" si="31"/>
        <v/>
      </c>
      <c r="G499" s="12" t="str">
        <f ca="1">IF($A499="","",IFERROR(SUMIF(INDIRECT("'"&amp;'Template Setup'!$C$4&amp;"'!C:C"),$A499,INDIRECT("'"&amp;'Template Setup'!$C$4&amp;"'!A:A")),0))</f>
        <v/>
      </c>
      <c r="H499" s="12" t="str">
        <f ca="1">IF($A499="","",IFERROR(SUMIF(INDIRECT("'"&amp;'Template Setup'!$C$5&amp;"'!C:C"),$A499,INDIRECT("'"&amp;'Template Setup'!$C$5&amp;"'!A:A")),0))</f>
        <v/>
      </c>
      <c r="I499" s="12" t="str">
        <f ca="1">IF($A499="","",IFERROR(SUMIF(INDIRECT("'"&amp;'Template Setup'!$C$6&amp;"'!C:C"),$A499,INDIRECT("'"&amp;'Template Setup'!$C$6&amp;"'!A:A")),0))</f>
        <v/>
      </c>
      <c r="J499" s="12" t="str">
        <f ca="1">IF($A499="","",IFERROR(SUMIF(INDIRECT("'"&amp;'Template Setup'!$C$7&amp;"'!C:C"),$A499,INDIRECT("'"&amp;'Template Setup'!$C$7&amp;"'!A:A")),0))</f>
        <v/>
      </c>
      <c r="K499" s="12" t="str">
        <f ca="1">IF($A499="","",IFERROR(SUMIF(INDIRECT("'"&amp;'Template Setup'!$C$8&amp;"'!C:C"),$A499,INDIRECT("'"&amp;'Template Setup'!$C$8&amp;"'!A:A")),0))</f>
        <v/>
      </c>
      <c r="L499" s="11" t="str">
        <f>IF($A499="","",IFERROR(VALUE(MID(TRIM('Template Setup'!$C$4),FIND("-",TRIM('Template Setup'!$C$4))+1,10)),0))</f>
        <v/>
      </c>
      <c r="M499" s="11" t="str">
        <f>IF($A499="","",IFERROR(VALUE(MID(TRIM('Template Setup'!$C$5),FIND("-",TRIM('Template Setup'!$C$5))+1,10)),0))</f>
        <v/>
      </c>
      <c r="N499" s="11" t="str">
        <f>IF($A499="","",IFERROR(VALUE(MID(TRIM('Template Setup'!$C$6),FIND("-",TRIM('Template Setup'!$C$6))+1,10)),0))</f>
        <v/>
      </c>
      <c r="O499" s="11" t="str">
        <f>IF($A499="","",IFERROR(VALUE(MID(TRIM('Template Setup'!$C$7),FIND("-",TRIM('Template Setup'!$C$7))+1,10)),0))</f>
        <v/>
      </c>
      <c r="P499" s="11" t="str">
        <f>IF($A499="","",IFERROR(VALUE(MID(TRIM('Template Setup'!$C$8),FIND("-",TRIM('Template Setup'!$C$8))+1,10)),0))</f>
        <v/>
      </c>
      <c r="Q499" s="9" t="str">
        <f>IF($A499="","",$A499&amp;"-"&amp;'Template Setup'!$C$16)</f>
        <v/>
      </c>
      <c r="R499" s="24" t="str">
        <f t="shared" si="29"/>
        <v/>
      </c>
      <c r="S499" s="24"/>
      <c r="T499" s="24" t="str">
        <f t="shared" si="30"/>
        <v/>
      </c>
      <c r="U499" s="6" t="str">
        <f t="shared" si="32"/>
        <v/>
      </c>
    </row>
    <row r="500" spans="1:21">
      <c r="A500" s="11"/>
      <c r="B500" s="11"/>
      <c r="C500" s="11"/>
      <c r="D500" s="11" t="str">
        <f>IF($A500="","",_xlfn.TEXTJOIN(", ",TRUE,IF($G500&gt;0,'Template Setup'!$C$4,""),IF($H500&gt;0,'Template Setup'!$C$5,""),IF($I500&gt;0,'Template Setup'!$C$6,""),IF($J500&gt;0,'Template Setup'!$C$7,""),IF($K500&gt;0,'Template Setup'!$C$8,"")))</f>
        <v/>
      </c>
      <c r="E500" s="6" t="str" cm="1">
        <f t="array" ref="E500">IF($A500="","",_xlfn.LET(_xlpm.sheets,CHOOSE({1,2,3,4,5},'Template Setup'!$C$4,'Template Setup'!$C$5,'Template Setup'!$C$6,'Template Setup'!$C$7,'Template Setup'!$C$8),_xlpm.nums,CHOOSE({1,2,3,4,5},$L500,$M500,$N500,$O500,$P500),_xlpm.qtys,CHOOSE({1,2,3,4,5},$G500,$H500,$I500,$J500,$K500),_xlpm.validNums,_xlfn._xlws.FILTER(_xlpm.nums,_xlpm.qtys&gt;0),_xlpm.validSheets,_xlfn._xlws.FILTER(_xlpm.sheets,_xlpm.qtys&gt;0),_xlpm.mx,IFERROR(MAX(_xlpm.validNums),0),IF(_xlpm.mx=0,"",INDEX(_xlpm.validSheets,MATCH(_xlpm.mx,_xlpm.validNums,0))&amp;" (+"&amp;$R500&amp;")")))</f>
        <v/>
      </c>
      <c r="F500" s="11" t="str">
        <f t="shared" si="31"/>
        <v/>
      </c>
      <c r="G500" s="12" t="str">
        <f ca="1">IF($A500="","",IFERROR(SUMIF(INDIRECT("'"&amp;'Template Setup'!$C$4&amp;"'!C:C"),$A500,INDIRECT("'"&amp;'Template Setup'!$C$4&amp;"'!A:A")),0))</f>
        <v/>
      </c>
      <c r="H500" s="12" t="str">
        <f ca="1">IF($A500="","",IFERROR(SUMIF(INDIRECT("'"&amp;'Template Setup'!$C$5&amp;"'!C:C"),$A500,INDIRECT("'"&amp;'Template Setup'!$C$5&amp;"'!A:A")),0))</f>
        <v/>
      </c>
      <c r="I500" s="12" t="str">
        <f ca="1">IF($A500="","",IFERROR(SUMIF(INDIRECT("'"&amp;'Template Setup'!$C$6&amp;"'!C:C"),$A500,INDIRECT("'"&amp;'Template Setup'!$C$6&amp;"'!A:A")),0))</f>
        <v/>
      </c>
      <c r="J500" s="12" t="str">
        <f ca="1">IF($A500="","",IFERROR(SUMIF(INDIRECT("'"&amp;'Template Setup'!$C$7&amp;"'!C:C"),$A500,INDIRECT("'"&amp;'Template Setup'!$C$7&amp;"'!A:A")),0))</f>
        <v/>
      </c>
      <c r="K500" s="12" t="str">
        <f ca="1">IF($A500="","",IFERROR(SUMIF(INDIRECT("'"&amp;'Template Setup'!$C$8&amp;"'!C:C"),$A500,INDIRECT("'"&amp;'Template Setup'!$C$8&amp;"'!A:A")),0))</f>
        <v/>
      </c>
      <c r="L500" s="11" t="str">
        <f>IF($A500="","",IFERROR(VALUE(MID(TRIM('Template Setup'!$C$4),FIND("-",TRIM('Template Setup'!$C$4))+1,10)),0))</f>
        <v/>
      </c>
      <c r="M500" s="11" t="str">
        <f>IF($A500="","",IFERROR(VALUE(MID(TRIM('Template Setup'!$C$5),FIND("-",TRIM('Template Setup'!$C$5))+1,10)),0))</f>
        <v/>
      </c>
      <c r="N500" s="11" t="str">
        <f>IF($A500="","",IFERROR(VALUE(MID(TRIM('Template Setup'!$C$6),FIND("-",TRIM('Template Setup'!$C$6))+1,10)),0))</f>
        <v/>
      </c>
      <c r="O500" s="11" t="str">
        <f>IF($A500="","",IFERROR(VALUE(MID(TRIM('Template Setup'!$C$7),FIND("-",TRIM('Template Setup'!$C$7))+1,10)),0))</f>
        <v/>
      </c>
      <c r="P500" s="11" t="str">
        <f>IF($A500="","",IFERROR(VALUE(MID(TRIM('Template Setup'!$C$8),FIND("-",TRIM('Template Setup'!$C$8))+1,10)),0))</f>
        <v/>
      </c>
      <c r="Q500" s="9" t="str">
        <f>IF($A500="","",$A500&amp;"-"&amp;'Template Setup'!$C$16)</f>
        <v/>
      </c>
      <c r="R500" s="24" t="str">
        <f t="shared" si="29"/>
        <v/>
      </c>
      <c r="S500" s="24"/>
      <c r="T500" s="24" t="str">
        <f t="shared" si="30"/>
        <v/>
      </c>
      <c r="U500" s="6" t="str">
        <f t="shared" si="32"/>
        <v/>
      </c>
    </row>
    <row r="501" spans="1:21">
      <c r="A501" s="11"/>
      <c r="B501" s="11"/>
      <c r="C501" s="11"/>
      <c r="D501" s="11" t="str">
        <f>IF($A501="","",_xlfn.TEXTJOIN(", ",TRUE,IF($G501&gt;0,'Template Setup'!$C$4,""),IF($H501&gt;0,'Template Setup'!$C$5,""),IF($I501&gt;0,'Template Setup'!$C$6,""),IF($J501&gt;0,'Template Setup'!$C$7,""),IF($K501&gt;0,'Template Setup'!$C$8,"")))</f>
        <v/>
      </c>
      <c r="E501" s="6" t="str" cm="1">
        <f t="array" ref="E501">IF($A501="","",_xlfn.LET(_xlpm.sheets,CHOOSE({1,2,3,4,5},'Template Setup'!$C$4,'Template Setup'!$C$5,'Template Setup'!$C$6,'Template Setup'!$C$7,'Template Setup'!$C$8),_xlpm.nums,CHOOSE({1,2,3,4,5},$L501,$M501,$N501,$O501,$P501),_xlpm.qtys,CHOOSE({1,2,3,4,5},$G501,$H501,$I501,$J501,$K501),_xlpm.validNums,_xlfn._xlws.FILTER(_xlpm.nums,_xlpm.qtys&gt;0),_xlpm.validSheets,_xlfn._xlws.FILTER(_xlpm.sheets,_xlpm.qtys&gt;0),_xlpm.mx,IFERROR(MAX(_xlpm.validNums),0),IF(_xlpm.mx=0,"",INDEX(_xlpm.validSheets,MATCH(_xlpm.mx,_xlpm.validNums,0))&amp;" (+"&amp;$R501&amp;")")))</f>
        <v/>
      </c>
      <c r="F501" s="11" t="str">
        <f t="shared" si="31"/>
        <v/>
      </c>
      <c r="G501" s="12" t="str">
        <f ca="1">IF($A501="","",IFERROR(SUMIF(INDIRECT("'"&amp;'Template Setup'!$C$4&amp;"'!C:C"),$A501,INDIRECT("'"&amp;'Template Setup'!$C$4&amp;"'!A:A")),0))</f>
        <v/>
      </c>
      <c r="H501" s="12" t="str">
        <f ca="1">IF($A501="","",IFERROR(SUMIF(INDIRECT("'"&amp;'Template Setup'!$C$5&amp;"'!C:C"),$A501,INDIRECT("'"&amp;'Template Setup'!$C$5&amp;"'!A:A")),0))</f>
        <v/>
      </c>
      <c r="I501" s="12" t="str">
        <f ca="1">IF($A501="","",IFERROR(SUMIF(INDIRECT("'"&amp;'Template Setup'!$C$6&amp;"'!C:C"),$A501,INDIRECT("'"&amp;'Template Setup'!$C$6&amp;"'!A:A")),0))</f>
        <v/>
      </c>
      <c r="J501" s="12" t="str">
        <f ca="1">IF($A501="","",IFERROR(SUMIF(INDIRECT("'"&amp;'Template Setup'!$C$7&amp;"'!C:C"),$A501,INDIRECT("'"&amp;'Template Setup'!$C$7&amp;"'!A:A")),0))</f>
        <v/>
      </c>
      <c r="K501" s="12" t="str">
        <f ca="1">IF($A501="","",IFERROR(SUMIF(INDIRECT("'"&amp;'Template Setup'!$C$8&amp;"'!C:C"),$A501,INDIRECT("'"&amp;'Template Setup'!$C$8&amp;"'!A:A")),0))</f>
        <v/>
      </c>
      <c r="L501" s="11" t="str">
        <f>IF($A501="","",IFERROR(VALUE(MID(TRIM('Template Setup'!$C$4),FIND("-",TRIM('Template Setup'!$C$4))+1,10)),0))</f>
        <v/>
      </c>
      <c r="M501" s="11" t="str">
        <f>IF($A501="","",IFERROR(VALUE(MID(TRIM('Template Setup'!$C$5),FIND("-",TRIM('Template Setup'!$C$5))+1,10)),0))</f>
        <v/>
      </c>
      <c r="N501" s="11" t="str">
        <f>IF($A501="","",IFERROR(VALUE(MID(TRIM('Template Setup'!$C$6),FIND("-",TRIM('Template Setup'!$C$6))+1,10)),0))</f>
        <v/>
      </c>
      <c r="O501" s="11" t="str">
        <f>IF($A501="","",IFERROR(VALUE(MID(TRIM('Template Setup'!$C$7),FIND("-",TRIM('Template Setup'!$C$7))+1,10)),0))</f>
        <v/>
      </c>
      <c r="P501" s="11" t="str">
        <f>IF($A501="","",IFERROR(VALUE(MID(TRIM('Template Setup'!$C$8),FIND("-",TRIM('Template Setup'!$C$8))+1,10)),0))</f>
        <v/>
      </c>
      <c r="Q501" s="9" t="str">
        <f>IF($A501="","",$A501&amp;"-"&amp;'Template Setup'!$C$16)</f>
        <v/>
      </c>
      <c r="R501" s="24" t="str">
        <f t="shared" si="29"/>
        <v/>
      </c>
      <c r="S501" s="24"/>
      <c r="T501" s="24" t="str">
        <f t="shared" si="30"/>
        <v/>
      </c>
      <c r="U501" s="6" t="str">
        <f t="shared" si="32"/>
        <v/>
      </c>
    </row>
    <row r="502" spans="1:21">
      <c r="A502" s="11"/>
      <c r="B502" s="11"/>
      <c r="C502" s="11"/>
      <c r="D502" s="11" t="str">
        <f>IF($A502="","",_xlfn.TEXTJOIN(", ",TRUE,IF($G502&gt;0,'Template Setup'!$C$4,""),IF($H502&gt;0,'Template Setup'!$C$5,""),IF($I502&gt;0,'Template Setup'!$C$6,""),IF($J502&gt;0,'Template Setup'!$C$7,""),IF($K502&gt;0,'Template Setup'!$C$8,"")))</f>
        <v/>
      </c>
      <c r="E502" s="6" t="str" cm="1">
        <f t="array" ref="E502">IF($A502="","",_xlfn.LET(_xlpm.sheets,CHOOSE({1,2,3,4,5},'Template Setup'!$C$4,'Template Setup'!$C$5,'Template Setup'!$C$6,'Template Setup'!$C$7,'Template Setup'!$C$8),_xlpm.nums,CHOOSE({1,2,3,4,5},$L502,$M502,$N502,$O502,$P502),_xlpm.qtys,CHOOSE({1,2,3,4,5},$G502,$H502,$I502,$J502,$K502),_xlpm.validNums,_xlfn._xlws.FILTER(_xlpm.nums,_xlpm.qtys&gt;0),_xlpm.validSheets,_xlfn._xlws.FILTER(_xlpm.sheets,_xlpm.qtys&gt;0),_xlpm.mx,IFERROR(MAX(_xlpm.validNums),0),IF(_xlpm.mx=0,"",INDEX(_xlpm.validSheets,MATCH(_xlpm.mx,_xlpm.validNums,0))&amp;" (+"&amp;$R502&amp;")")))</f>
        <v/>
      </c>
      <c r="F502" s="11" t="str">
        <f t="shared" si="31"/>
        <v/>
      </c>
      <c r="G502" s="12" t="str">
        <f ca="1">IF($A502="","",IFERROR(SUMIF(INDIRECT("'"&amp;'Template Setup'!$C$4&amp;"'!C:C"),$A502,INDIRECT("'"&amp;'Template Setup'!$C$4&amp;"'!A:A")),0))</f>
        <v/>
      </c>
      <c r="H502" s="12" t="str">
        <f ca="1">IF($A502="","",IFERROR(SUMIF(INDIRECT("'"&amp;'Template Setup'!$C$5&amp;"'!C:C"),$A502,INDIRECT("'"&amp;'Template Setup'!$C$5&amp;"'!A:A")),0))</f>
        <v/>
      </c>
      <c r="I502" s="12" t="str">
        <f ca="1">IF($A502="","",IFERROR(SUMIF(INDIRECT("'"&amp;'Template Setup'!$C$6&amp;"'!C:C"),$A502,INDIRECT("'"&amp;'Template Setup'!$C$6&amp;"'!A:A")),0))</f>
        <v/>
      </c>
      <c r="J502" s="12" t="str">
        <f ca="1">IF($A502="","",IFERROR(SUMIF(INDIRECT("'"&amp;'Template Setup'!$C$7&amp;"'!C:C"),$A502,INDIRECT("'"&amp;'Template Setup'!$C$7&amp;"'!A:A")),0))</f>
        <v/>
      </c>
      <c r="K502" s="12" t="str">
        <f ca="1">IF($A502="","",IFERROR(SUMIF(INDIRECT("'"&amp;'Template Setup'!$C$8&amp;"'!C:C"),$A502,INDIRECT("'"&amp;'Template Setup'!$C$8&amp;"'!A:A")),0))</f>
        <v/>
      </c>
      <c r="L502" s="11" t="str">
        <f>IF($A502="","",IFERROR(VALUE(MID(TRIM('Template Setup'!$C$4),FIND("-",TRIM('Template Setup'!$C$4))+1,10)),0))</f>
        <v/>
      </c>
      <c r="M502" s="11" t="str">
        <f>IF($A502="","",IFERROR(VALUE(MID(TRIM('Template Setup'!$C$5),FIND("-",TRIM('Template Setup'!$C$5))+1,10)),0))</f>
        <v/>
      </c>
      <c r="N502" s="11" t="str">
        <f>IF($A502="","",IFERROR(VALUE(MID(TRIM('Template Setup'!$C$6),FIND("-",TRIM('Template Setup'!$C$6))+1,10)),0))</f>
        <v/>
      </c>
      <c r="O502" s="11" t="str">
        <f>IF($A502="","",IFERROR(VALUE(MID(TRIM('Template Setup'!$C$7),FIND("-",TRIM('Template Setup'!$C$7))+1,10)),0))</f>
        <v/>
      </c>
      <c r="P502" s="11" t="str">
        <f>IF($A502="","",IFERROR(VALUE(MID(TRIM('Template Setup'!$C$8),FIND("-",TRIM('Template Setup'!$C$8))+1,10)),0))</f>
        <v/>
      </c>
      <c r="Q502" s="9" t="str">
        <f>IF($A502="","",$A502&amp;"-"&amp;'Template Setup'!$C$16)</f>
        <v/>
      </c>
      <c r="R502" s="24" t="str">
        <f t="shared" si="29"/>
        <v/>
      </c>
      <c r="S502" s="24"/>
      <c r="T502" s="24" t="str">
        <f t="shared" si="30"/>
        <v/>
      </c>
      <c r="U502" s="6" t="str">
        <f t="shared" si="32"/>
        <v/>
      </c>
    </row>
    <row r="503" spans="1:21">
      <c r="A503" s="11"/>
      <c r="B503" s="11"/>
      <c r="C503" s="11"/>
      <c r="D503" s="11" t="str">
        <f>IF($A503="","",_xlfn.TEXTJOIN(", ",TRUE,IF($G503&gt;0,'Template Setup'!$C$4,""),IF($H503&gt;0,'Template Setup'!$C$5,""),IF($I503&gt;0,'Template Setup'!$C$6,""),IF($J503&gt;0,'Template Setup'!$C$7,""),IF($K503&gt;0,'Template Setup'!$C$8,"")))</f>
        <v/>
      </c>
      <c r="E503" s="6" t="str" cm="1">
        <f t="array" ref="E503">IF($A503="","",_xlfn.LET(_xlpm.sheets,CHOOSE({1,2,3,4,5},'Template Setup'!$C$4,'Template Setup'!$C$5,'Template Setup'!$C$6,'Template Setup'!$C$7,'Template Setup'!$C$8),_xlpm.nums,CHOOSE({1,2,3,4,5},$L503,$M503,$N503,$O503,$P503),_xlpm.qtys,CHOOSE({1,2,3,4,5},$G503,$H503,$I503,$J503,$K503),_xlpm.validNums,_xlfn._xlws.FILTER(_xlpm.nums,_xlpm.qtys&gt;0),_xlpm.validSheets,_xlfn._xlws.FILTER(_xlpm.sheets,_xlpm.qtys&gt;0),_xlpm.mx,IFERROR(MAX(_xlpm.validNums),0),IF(_xlpm.mx=0,"",INDEX(_xlpm.validSheets,MATCH(_xlpm.mx,_xlpm.validNums,0))&amp;" (+"&amp;$R503&amp;")")))</f>
        <v/>
      </c>
      <c r="F503" s="11" t="str">
        <f t="shared" si="31"/>
        <v/>
      </c>
      <c r="G503" s="12" t="str">
        <f ca="1">IF($A503="","",IFERROR(SUMIF(INDIRECT("'"&amp;'Template Setup'!$C$4&amp;"'!C:C"),$A503,INDIRECT("'"&amp;'Template Setup'!$C$4&amp;"'!A:A")),0))</f>
        <v/>
      </c>
      <c r="H503" s="12" t="str">
        <f ca="1">IF($A503="","",IFERROR(SUMIF(INDIRECT("'"&amp;'Template Setup'!$C$5&amp;"'!C:C"),$A503,INDIRECT("'"&amp;'Template Setup'!$C$5&amp;"'!A:A")),0))</f>
        <v/>
      </c>
      <c r="I503" s="12" t="str">
        <f ca="1">IF($A503="","",IFERROR(SUMIF(INDIRECT("'"&amp;'Template Setup'!$C$6&amp;"'!C:C"),$A503,INDIRECT("'"&amp;'Template Setup'!$C$6&amp;"'!A:A")),0))</f>
        <v/>
      </c>
      <c r="J503" s="12" t="str">
        <f ca="1">IF($A503="","",IFERROR(SUMIF(INDIRECT("'"&amp;'Template Setup'!$C$7&amp;"'!C:C"),$A503,INDIRECT("'"&amp;'Template Setup'!$C$7&amp;"'!A:A")),0))</f>
        <v/>
      </c>
      <c r="K503" s="12" t="str">
        <f ca="1">IF($A503="","",IFERROR(SUMIF(INDIRECT("'"&amp;'Template Setup'!$C$8&amp;"'!C:C"),$A503,INDIRECT("'"&amp;'Template Setup'!$C$8&amp;"'!A:A")),0))</f>
        <v/>
      </c>
      <c r="L503" s="11" t="str">
        <f>IF($A503="","",IFERROR(VALUE(MID(TRIM('Template Setup'!$C$4),FIND("-",TRIM('Template Setup'!$C$4))+1,10)),0))</f>
        <v/>
      </c>
      <c r="M503" s="11" t="str">
        <f>IF($A503="","",IFERROR(VALUE(MID(TRIM('Template Setup'!$C$5),FIND("-",TRIM('Template Setup'!$C$5))+1,10)),0))</f>
        <v/>
      </c>
      <c r="N503" s="11" t="str">
        <f>IF($A503="","",IFERROR(VALUE(MID(TRIM('Template Setup'!$C$6),FIND("-",TRIM('Template Setup'!$C$6))+1,10)),0))</f>
        <v/>
      </c>
      <c r="O503" s="11" t="str">
        <f>IF($A503="","",IFERROR(VALUE(MID(TRIM('Template Setup'!$C$7),FIND("-",TRIM('Template Setup'!$C$7))+1,10)),0))</f>
        <v/>
      </c>
      <c r="P503" s="11" t="str">
        <f>IF($A503="","",IFERROR(VALUE(MID(TRIM('Template Setup'!$C$8),FIND("-",TRIM('Template Setup'!$C$8))+1,10)),0))</f>
        <v/>
      </c>
      <c r="Q503" s="9" t="str">
        <f>IF($A503="","",$A503&amp;"-"&amp;'Template Setup'!$C$16)</f>
        <v/>
      </c>
      <c r="R503" s="24" t="str">
        <f t="shared" si="29"/>
        <v/>
      </c>
      <c r="S503" s="24"/>
      <c r="T503" s="24" t="str">
        <f t="shared" si="30"/>
        <v/>
      </c>
      <c r="U503" s="6" t="str">
        <f t="shared" si="32"/>
        <v/>
      </c>
    </row>
    <row r="504" spans="1:21">
      <c r="A504" s="11"/>
      <c r="B504" s="11"/>
      <c r="C504" s="11"/>
      <c r="D504" s="11" t="str">
        <f>IF($A504="","",_xlfn.TEXTJOIN(", ",TRUE,IF($G504&gt;0,'Template Setup'!$C$4,""),IF($H504&gt;0,'Template Setup'!$C$5,""),IF($I504&gt;0,'Template Setup'!$C$6,""),IF($J504&gt;0,'Template Setup'!$C$7,""),IF($K504&gt;0,'Template Setup'!$C$8,"")))</f>
        <v/>
      </c>
      <c r="E504" s="6" t="str" cm="1">
        <f t="array" ref="E504">IF($A504="","",_xlfn.LET(_xlpm.sheets,CHOOSE({1,2,3,4,5},'Template Setup'!$C$4,'Template Setup'!$C$5,'Template Setup'!$C$6,'Template Setup'!$C$7,'Template Setup'!$C$8),_xlpm.nums,CHOOSE({1,2,3,4,5},$L504,$M504,$N504,$O504,$P504),_xlpm.qtys,CHOOSE({1,2,3,4,5},$G504,$H504,$I504,$J504,$K504),_xlpm.validNums,_xlfn._xlws.FILTER(_xlpm.nums,_xlpm.qtys&gt;0),_xlpm.validSheets,_xlfn._xlws.FILTER(_xlpm.sheets,_xlpm.qtys&gt;0),_xlpm.mx,IFERROR(MAX(_xlpm.validNums),0),IF(_xlpm.mx=0,"",INDEX(_xlpm.validSheets,MATCH(_xlpm.mx,_xlpm.validNums,0))&amp;" (+"&amp;$R504&amp;")")))</f>
        <v/>
      </c>
      <c r="F504" s="11" t="str">
        <f t="shared" si="31"/>
        <v/>
      </c>
      <c r="G504" s="12" t="str">
        <f ca="1">IF($A504="","",IFERROR(SUMIF(INDIRECT("'"&amp;'Template Setup'!$C$4&amp;"'!C:C"),$A504,INDIRECT("'"&amp;'Template Setup'!$C$4&amp;"'!A:A")),0))</f>
        <v/>
      </c>
      <c r="H504" s="12" t="str">
        <f ca="1">IF($A504="","",IFERROR(SUMIF(INDIRECT("'"&amp;'Template Setup'!$C$5&amp;"'!C:C"),$A504,INDIRECT("'"&amp;'Template Setup'!$C$5&amp;"'!A:A")),0))</f>
        <v/>
      </c>
      <c r="I504" s="12" t="str">
        <f ca="1">IF($A504="","",IFERROR(SUMIF(INDIRECT("'"&amp;'Template Setup'!$C$6&amp;"'!C:C"),$A504,INDIRECT("'"&amp;'Template Setup'!$C$6&amp;"'!A:A")),0))</f>
        <v/>
      </c>
      <c r="J504" s="12" t="str">
        <f ca="1">IF($A504="","",IFERROR(SUMIF(INDIRECT("'"&amp;'Template Setup'!$C$7&amp;"'!C:C"),$A504,INDIRECT("'"&amp;'Template Setup'!$C$7&amp;"'!A:A")),0))</f>
        <v/>
      </c>
      <c r="K504" s="12" t="str">
        <f ca="1">IF($A504="","",IFERROR(SUMIF(INDIRECT("'"&amp;'Template Setup'!$C$8&amp;"'!C:C"),$A504,INDIRECT("'"&amp;'Template Setup'!$C$8&amp;"'!A:A")),0))</f>
        <v/>
      </c>
      <c r="L504" s="11" t="str">
        <f>IF($A504="","",IFERROR(VALUE(MID(TRIM('Template Setup'!$C$4),FIND("-",TRIM('Template Setup'!$C$4))+1,10)),0))</f>
        <v/>
      </c>
      <c r="M504" s="11" t="str">
        <f>IF($A504="","",IFERROR(VALUE(MID(TRIM('Template Setup'!$C$5),FIND("-",TRIM('Template Setup'!$C$5))+1,10)),0))</f>
        <v/>
      </c>
      <c r="N504" s="11" t="str">
        <f>IF($A504="","",IFERROR(VALUE(MID(TRIM('Template Setup'!$C$6),FIND("-",TRIM('Template Setup'!$C$6))+1,10)),0))</f>
        <v/>
      </c>
      <c r="O504" s="11" t="str">
        <f>IF($A504="","",IFERROR(VALUE(MID(TRIM('Template Setup'!$C$7),FIND("-",TRIM('Template Setup'!$C$7))+1,10)),0))</f>
        <v/>
      </c>
      <c r="P504" s="11" t="str">
        <f>IF($A504="","",IFERROR(VALUE(MID(TRIM('Template Setup'!$C$8),FIND("-",TRIM('Template Setup'!$C$8))+1,10)),0))</f>
        <v/>
      </c>
      <c r="Q504" s="9" t="str">
        <f>IF($A504="","",$A504&amp;"-"&amp;'Template Setup'!$C$16)</f>
        <v/>
      </c>
      <c r="R504" s="24" t="str">
        <f t="shared" si="29"/>
        <v/>
      </c>
      <c r="S504" s="24"/>
      <c r="T504" s="24" t="str">
        <f t="shared" si="30"/>
        <v/>
      </c>
      <c r="U504" s="6" t="str">
        <f t="shared" si="32"/>
        <v/>
      </c>
    </row>
    <row r="505" spans="1:21">
      <c r="A505" s="11"/>
      <c r="B505" s="11"/>
      <c r="C505" s="11"/>
      <c r="D505" s="11" t="str">
        <f>IF($A505="","",_xlfn.TEXTJOIN(", ",TRUE,IF($G505&gt;0,'Template Setup'!$C$4,""),IF($H505&gt;0,'Template Setup'!$C$5,""),IF($I505&gt;0,'Template Setup'!$C$6,""),IF($J505&gt;0,'Template Setup'!$C$7,""),IF($K505&gt;0,'Template Setup'!$C$8,"")))</f>
        <v/>
      </c>
      <c r="E505" s="6" t="str" cm="1">
        <f t="array" ref="E505">IF($A505="","",_xlfn.LET(_xlpm.sheets,CHOOSE({1,2,3,4,5},'Template Setup'!$C$4,'Template Setup'!$C$5,'Template Setup'!$C$6,'Template Setup'!$C$7,'Template Setup'!$C$8),_xlpm.nums,CHOOSE({1,2,3,4,5},$L505,$M505,$N505,$O505,$P505),_xlpm.qtys,CHOOSE({1,2,3,4,5},$G505,$H505,$I505,$J505,$K505),_xlpm.validNums,_xlfn._xlws.FILTER(_xlpm.nums,_xlpm.qtys&gt;0),_xlpm.validSheets,_xlfn._xlws.FILTER(_xlpm.sheets,_xlpm.qtys&gt;0),_xlpm.mx,IFERROR(MAX(_xlpm.validNums),0),IF(_xlpm.mx=0,"",INDEX(_xlpm.validSheets,MATCH(_xlpm.mx,_xlpm.validNums,0))&amp;" (+"&amp;$R505&amp;")")))</f>
        <v/>
      </c>
      <c r="F505" s="11" t="str">
        <f t="shared" si="31"/>
        <v/>
      </c>
      <c r="G505" s="12" t="str">
        <f ca="1">IF($A505="","",IFERROR(SUMIF(INDIRECT("'"&amp;'Template Setup'!$C$4&amp;"'!C:C"),$A505,INDIRECT("'"&amp;'Template Setup'!$C$4&amp;"'!A:A")),0))</f>
        <v/>
      </c>
      <c r="H505" s="12" t="str">
        <f ca="1">IF($A505="","",IFERROR(SUMIF(INDIRECT("'"&amp;'Template Setup'!$C$5&amp;"'!C:C"),$A505,INDIRECT("'"&amp;'Template Setup'!$C$5&amp;"'!A:A")),0))</f>
        <v/>
      </c>
      <c r="I505" s="12" t="str">
        <f ca="1">IF($A505="","",IFERROR(SUMIF(INDIRECT("'"&amp;'Template Setup'!$C$6&amp;"'!C:C"),$A505,INDIRECT("'"&amp;'Template Setup'!$C$6&amp;"'!A:A")),0))</f>
        <v/>
      </c>
      <c r="J505" s="12" t="str">
        <f ca="1">IF($A505="","",IFERROR(SUMIF(INDIRECT("'"&amp;'Template Setup'!$C$7&amp;"'!C:C"),$A505,INDIRECT("'"&amp;'Template Setup'!$C$7&amp;"'!A:A")),0))</f>
        <v/>
      </c>
      <c r="K505" s="12" t="str">
        <f ca="1">IF($A505="","",IFERROR(SUMIF(INDIRECT("'"&amp;'Template Setup'!$C$8&amp;"'!C:C"),$A505,INDIRECT("'"&amp;'Template Setup'!$C$8&amp;"'!A:A")),0))</f>
        <v/>
      </c>
      <c r="L505" s="11" t="str">
        <f>IF($A505="","",IFERROR(VALUE(MID(TRIM('Template Setup'!$C$4),FIND("-",TRIM('Template Setup'!$C$4))+1,10)),0))</f>
        <v/>
      </c>
      <c r="M505" s="11" t="str">
        <f>IF($A505="","",IFERROR(VALUE(MID(TRIM('Template Setup'!$C$5),FIND("-",TRIM('Template Setup'!$C$5))+1,10)),0))</f>
        <v/>
      </c>
      <c r="N505" s="11" t="str">
        <f>IF($A505="","",IFERROR(VALUE(MID(TRIM('Template Setup'!$C$6),FIND("-",TRIM('Template Setup'!$C$6))+1,10)),0))</f>
        <v/>
      </c>
      <c r="O505" s="11" t="str">
        <f>IF($A505="","",IFERROR(VALUE(MID(TRIM('Template Setup'!$C$7),FIND("-",TRIM('Template Setup'!$C$7))+1,10)),0))</f>
        <v/>
      </c>
      <c r="P505" s="11" t="str">
        <f>IF($A505="","",IFERROR(VALUE(MID(TRIM('Template Setup'!$C$8),FIND("-",TRIM('Template Setup'!$C$8))+1,10)),0))</f>
        <v/>
      </c>
      <c r="Q505" s="9" t="str">
        <f>IF($A505="","",$A505&amp;"-"&amp;'Template Setup'!$C$16)</f>
        <v/>
      </c>
      <c r="R505" s="24" t="str">
        <f t="shared" si="29"/>
        <v/>
      </c>
      <c r="S505" s="24"/>
      <c r="T505" s="24" t="str">
        <f t="shared" si="30"/>
        <v/>
      </c>
      <c r="U505" s="6" t="str">
        <f t="shared" si="32"/>
        <v/>
      </c>
    </row>
    <row r="506" spans="1:21">
      <c r="A506" s="11"/>
      <c r="B506" s="11"/>
      <c r="C506" s="11"/>
      <c r="D506" s="11" t="str">
        <f>IF($A506="","",_xlfn.TEXTJOIN(", ",TRUE,IF($G506&gt;0,'Template Setup'!$C$4,""),IF($H506&gt;0,'Template Setup'!$C$5,""),IF($I506&gt;0,'Template Setup'!$C$6,""),IF($J506&gt;0,'Template Setup'!$C$7,""),IF($K506&gt;0,'Template Setup'!$C$8,"")))</f>
        <v/>
      </c>
      <c r="E506" s="6" t="str" cm="1">
        <f t="array" ref="E506">IF($A506="","",_xlfn.LET(_xlpm.sheets,CHOOSE({1,2,3,4,5},'Template Setup'!$C$4,'Template Setup'!$C$5,'Template Setup'!$C$6,'Template Setup'!$C$7,'Template Setup'!$C$8),_xlpm.nums,CHOOSE({1,2,3,4,5},$L506,$M506,$N506,$O506,$P506),_xlpm.qtys,CHOOSE({1,2,3,4,5},$G506,$H506,$I506,$J506,$K506),_xlpm.validNums,_xlfn._xlws.FILTER(_xlpm.nums,_xlpm.qtys&gt;0),_xlpm.validSheets,_xlfn._xlws.FILTER(_xlpm.sheets,_xlpm.qtys&gt;0),_xlpm.mx,IFERROR(MAX(_xlpm.validNums),0),IF(_xlpm.mx=0,"",INDEX(_xlpm.validSheets,MATCH(_xlpm.mx,_xlpm.validNums,0))&amp;" (+"&amp;$R506&amp;")")))</f>
        <v/>
      </c>
      <c r="F506" s="11" t="str">
        <f t="shared" si="31"/>
        <v/>
      </c>
      <c r="G506" s="12" t="str">
        <f ca="1">IF($A506="","",IFERROR(SUMIF(INDIRECT("'"&amp;'Template Setup'!$C$4&amp;"'!C:C"),$A506,INDIRECT("'"&amp;'Template Setup'!$C$4&amp;"'!A:A")),0))</f>
        <v/>
      </c>
      <c r="H506" s="12" t="str">
        <f ca="1">IF($A506="","",IFERROR(SUMIF(INDIRECT("'"&amp;'Template Setup'!$C$5&amp;"'!C:C"),$A506,INDIRECT("'"&amp;'Template Setup'!$C$5&amp;"'!A:A")),0))</f>
        <v/>
      </c>
      <c r="I506" s="12" t="str">
        <f ca="1">IF($A506="","",IFERROR(SUMIF(INDIRECT("'"&amp;'Template Setup'!$C$6&amp;"'!C:C"),$A506,INDIRECT("'"&amp;'Template Setup'!$C$6&amp;"'!A:A")),0))</f>
        <v/>
      </c>
      <c r="J506" s="12" t="str">
        <f ca="1">IF($A506="","",IFERROR(SUMIF(INDIRECT("'"&amp;'Template Setup'!$C$7&amp;"'!C:C"),$A506,INDIRECT("'"&amp;'Template Setup'!$C$7&amp;"'!A:A")),0))</f>
        <v/>
      </c>
      <c r="K506" s="12" t="str">
        <f ca="1">IF($A506="","",IFERROR(SUMIF(INDIRECT("'"&amp;'Template Setup'!$C$8&amp;"'!C:C"),$A506,INDIRECT("'"&amp;'Template Setup'!$C$8&amp;"'!A:A")),0))</f>
        <v/>
      </c>
      <c r="L506" s="11" t="str">
        <f>IF($A506="","",IFERROR(VALUE(MID(TRIM('Template Setup'!$C$4),FIND("-",TRIM('Template Setup'!$C$4))+1,10)),0))</f>
        <v/>
      </c>
      <c r="M506" s="11" t="str">
        <f>IF($A506="","",IFERROR(VALUE(MID(TRIM('Template Setup'!$C$5),FIND("-",TRIM('Template Setup'!$C$5))+1,10)),0))</f>
        <v/>
      </c>
      <c r="N506" s="11" t="str">
        <f>IF($A506="","",IFERROR(VALUE(MID(TRIM('Template Setup'!$C$6),FIND("-",TRIM('Template Setup'!$C$6))+1,10)),0))</f>
        <v/>
      </c>
      <c r="O506" s="11" t="str">
        <f>IF($A506="","",IFERROR(VALUE(MID(TRIM('Template Setup'!$C$7),FIND("-",TRIM('Template Setup'!$C$7))+1,10)),0))</f>
        <v/>
      </c>
      <c r="P506" s="11" t="str">
        <f>IF($A506="","",IFERROR(VALUE(MID(TRIM('Template Setup'!$C$8),FIND("-",TRIM('Template Setup'!$C$8))+1,10)),0))</f>
        <v/>
      </c>
      <c r="Q506" s="9" t="str">
        <f>IF($A506="","",$A506&amp;"-"&amp;'Template Setup'!$C$16)</f>
        <v/>
      </c>
      <c r="R506" s="24" t="str">
        <f t="shared" si="29"/>
        <v/>
      </c>
      <c r="S506" s="24"/>
      <c r="T506" s="24" t="str">
        <f t="shared" si="30"/>
        <v/>
      </c>
      <c r="U506" s="6" t="str">
        <f t="shared" si="32"/>
        <v/>
      </c>
    </row>
    <row r="507" spans="1:21">
      <c r="A507" s="11"/>
      <c r="B507" s="11"/>
      <c r="C507" s="11"/>
      <c r="D507" s="11" t="str">
        <f>IF($A507="","",_xlfn.TEXTJOIN(", ",TRUE,IF($G507&gt;0,'Template Setup'!$C$4,""),IF($H507&gt;0,'Template Setup'!$C$5,""),IF($I507&gt;0,'Template Setup'!$C$6,""),IF($J507&gt;0,'Template Setup'!$C$7,""),IF($K507&gt;0,'Template Setup'!$C$8,"")))</f>
        <v/>
      </c>
      <c r="E507" s="6" t="str" cm="1">
        <f t="array" ref="E507">IF($A507="","",_xlfn.LET(_xlpm.sheets,CHOOSE({1,2,3,4,5},'Template Setup'!$C$4,'Template Setup'!$C$5,'Template Setup'!$C$6,'Template Setup'!$C$7,'Template Setup'!$C$8),_xlpm.nums,CHOOSE({1,2,3,4,5},$L507,$M507,$N507,$O507,$P507),_xlpm.qtys,CHOOSE({1,2,3,4,5},$G507,$H507,$I507,$J507,$K507),_xlpm.validNums,_xlfn._xlws.FILTER(_xlpm.nums,_xlpm.qtys&gt;0),_xlpm.validSheets,_xlfn._xlws.FILTER(_xlpm.sheets,_xlpm.qtys&gt;0),_xlpm.mx,IFERROR(MAX(_xlpm.validNums),0),IF(_xlpm.mx=0,"",INDEX(_xlpm.validSheets,MATCH(_xlpm.mx,_xlpm.validNums,0))&amp;" (+"&amp;$R507&amp;")")))</f>
        <v/>
      </c>
      <c r="F507" s="11" t="str">
        <f t="shared" si="31"/>
        <v/>
      </c>
      <c r="G507" s="12" t="str">
        <f ca="1">IF($A507="","",IFERROR(SUMIF(INDIRECT("'"&amp;'Template Setup'!$C$4&amp;"'!C:C"),$A507,INDIRECT("'"&amp;'Template Setup'!$C$4&amp;"'!A:A")),0))</f>
        <v/>
      </c>
      <c r="H507" s="12" t="str">
        <f ca="1">IF($A507="","",IFERROR(SUMIF(INDIRECT("'"&amp;'Template Setup'!$C$5&amp;"'!C:C"),$A507,INDIRECT("'"&amp;'Template Setup'!$C$5&amp;"'!A:A")),0))</f>
        <v/>
      </c>
      <c r="I507" s="12" t="str">
        <f ca="1">IF($A507="","",IFERROR(SUMIF(INDIRECT("'"&amp;'Template Setup'!$C$6&amp;"'!C:C"),$A507,INDIRECT("'"&amp;'Template Setup'!$C$6&amp;"'!A:A")),0))</f>
        <v/>
      </c>
      <c r="J507" s="12" t="str">
        <f ca="1">IF($A507="","",IFERROR(SUMIF(INDIRECT("'"&amp;'Template Setup'!$C$7&amp;"'!C:C"),$A507,INDIRECT("'"&amp;'Template Setup'!$C$7&amp;"'!A:A")),0))</f>
        <v/>
      </c>
      <c r="K507" s="12" t="str">
        <f ca="1">IF($A507="","",IFERROR(SUMIF(INDIRECT("'"&amp;'Template Setup'!$C$8&amp;"'!C:C"),$A507,INDIRECT("'"&amp;'Template Setup'!$C$8&amp;"'!A:A")),0))</f>
        <v/>
      </c>
      <c r="L507" s="11" t="str">
        <f>IF($A507="","",IFERROR(VALUE(MID(TRIM('Template Setup'!$C$4),FIND("-",TRIM('Template Setup'!$C$4))+1,10)),0))</f>
        <v/>
      </c>
      <c r="M507" s="11" t="str">
        <f>IF($A507="","",IFERROR(VALUE(MID(TRIM('Template Setup'!$C$5),FIND("-",TRIM('Template Setup'!$C$5))+1,10)),0))</f>
        <v/>
      </c>
      <c r="N507" s="11" t="str">
        <f>IF($A507="","",IFERROR(VALUE(MID(TRIM('Template Setup'!$C$6),FIND("-",TRIM('Template Setup'!$C$6))+1,10)),0))</f>
        <v/>
      </c>
      <c r="O507" s="11" t="str">
        <f>IF($A507="","",IFERROR(VALUE(MID(TRIM('Template Setup'!$C$7),FIND("-",TRIM('Template Setup'!$C$7))+1,10)),0))</f>
        <v/>
      </c>
      <c r="P507" s="11" t="str">
        <f>IF($A507="","",IFERROR(VALUE(MID(TRIM('Template Setup'!$C$8),FIND("-",TRIM('Template Setup'!$C$8))+1,10)),0))</f>
        <v/>
      </c>
      <c r="Q507" s="9" t="str">
        <f>IF($A507="","",$A507&amp;"-"&amp;'Template Setup'!$C$16)</f>
        <v/>
      </c>
      <c r="R507" s="24" t="str">
        <f t="shared" si="29"/>
        <v/>
      </c>
      <c r="S507" s="24"/>
      <c r="T507" s="24" t="str">
        <f t="shared" si="30"/>
        <v/>
      </c>
      <c r="U507" s="6" t="str">
        <f t="shared" si="32"/>
        <v/>
      </c>
    </row>
    <row r="508" spans="1:21">
      <c r="A508" s="11"/>
      <c r="B508" s="11"/>
      <c r="C508" s="11"/>
      <c r="D508" s="11" t="str">
        <f>IF($A508="","",_xlfn.TEXTJOIN(", ",TRUE,IF($G508&gt;0,'Template Setup'!$C$4,""),IF($H508&gt;0,'Template Setup'!$C$5,""),IF($I508&gt;0,'Template Setup'!$C$6,""),IF($J508&gt;0,'Template Setup'!$C$7,""),IF($K508&gt;0,'Template Setup'!$C$8,"")))</f>
        <v/>
      </c>
      <c r="E508" s="6" t="str" cm="1">
        <f t="array" ref="E508">IF($A508="","",_xlfn.LET(_xlpm.sheets,CHOOSE({1,2,3,4,5},'Template Setup'!$C$4,'Template Setup'!$C$5,'Template Setup'!$C$6,'Template Setup'!$C$7,'Template Setup'!$C$8),_xlpm.nums,CHOOSE({1,2,3,4,5},$L508,$M508,$N508,$O508,$P508),_xlpm.qtys,CHOOSE({1,2,3,4,5},$G508,$H508,$I508,$J508,$K508),_xlpm.validNums,_xlfn._xlws.FILTER(_xlpm.nums,_xlpm.qtys&gt;0),_xlpm.validSheets,_xlfn._xlws.FILTER(_xlpm.sheets,_xlpm.qtys&gt;0),_xlpm.mx,IFERROR(MAX(_xlpm.validNums),0),IF(_xlpm.mx=0,"",INDEX(_xlpm.validSheets,MATCH(_xlpm.mx,_xlpm.validNums,0))&amp;" (+"&amp;$R508&amp;")")))</f>
        <v/>
      </c>
      <c r="F508" s="11" t="str">
        <f t="shared" si="31"/>
        <v/>
      </c>
      <c r="G508" s="12" t="str">
        <f ca="1">IF($A508="","",IFERROR(SUMIF(INDIRECT("'"&amp;'Template Setup'!$C$4&amp;"'!C:C"),$A508,INDIRECT("'"&amp;'Template Setup'!$C$4&amp;"'!A:A")),0))</f>
        <v/>
      </c>
      <c r="H508" s="12" t="str">
        <f ca="1">IF($A508="","",IFERROR(SUMIF(INDIRECT("'"&amp;'Template Setup'!$C$5&amp;"'!C:C"),$A508,INDIRECT("'"&amp;'Template Setup'!$C$5&amp;"'!A:A")),0))</f>
        <v/>
      </c>
      <c r="I508" s="12" t="str">
        <f ca="1">IF($A508="","",IFERROR(SUMIF(INDIRECT("'"&amp;'Template Setup'!$C$6&amp;"'!C:C"),$A508,INDIRECT("'"&amp;'Template Setup'!$C$6&amp;"'!A:A")),0))</f>
        <v/>
      </c>
      <c r="J508" s="12" t="str">
        <f ca="1">IF($A508="","",IFERROR(SUMIF(INDIRECT("'"&amp;'Template Setup'!$C$7&amp;"'!C:C"),$A508,INDIRECT("'"&amp;'Template Setup'!$C$7&amp;"'!A:A")),0))</f>
        <v/>
      </c>
      <c r="K508" s="12" t="str">
        <f ca="1">IF($A508="","",IFERROR(SUMIF(INDIRECT("'"&amp;'Template Setup'!$C$8&amp;"'!C:C"),$A508,INDIRECT("'"&amp;'Template Setup'!$C$8&amp;"'!A:A")),0))</f>
        <v/>
      </c>
      <c r="L508" s="11" t="str">
        <f>IF($A508="","",IFERROR(VALUE(MID(TRIM('Template Setup'!$C$4),FIND("-",TRIM('Template Setup'!$C$4))+1,10)),0))</f>
        <v/>
      </c>
      <c r="M508" s="11" t="str">
        <f>IF($A508="","",IFERROR(VALUE(MID(TRIM('Template Setup'!$C$5),FIND("-",TRIM('Template Setup'!$C$5))+1,10)),0))</f>
        <v/>
      </c>
      <c r="N508" s="11" t="str">
        <f>IF($A508="","",IFERROR(VALUE(MID(TRIM('Template Setup'!$C$6),FIND("-",TRIM('Template Setup'!$C$6))+1,10)),0))</f>
        <v/>
      </c>
      <c r="O508" s="11" t="str">
        <f>IF($A508="","",IFERROR(VALUE(MID(TRIM('Template Setup'!$C$7),FIND("-",TRIM('Template Setup'!$C$7))+1,10)),0))</f>
        <v/>
      </c>
      <c r="P508" s="11" t="str">
        <f>IF($A508="","",IFERROR(VALUE(MID(TRIM('Template Setup'!$C$8),FIND("-",TRIM('Template Setup'!$C$8))+1,10)),0))</f>
        <v/>
      </c>
      <c r="Q508" s="9" t="str">
        <f>IF($A508="","",$A508&amp;"-"&amp;'Template Setup'!$C$16)</f>
        <v/>
      </c>
      <c r="R508" s="24" t="str">
        <f t="shared" si="29"/>
        <v/>
      </c>
      <c r="S508" s="24"/>
      <c r="T508" s="24" t="str">
        <f t="shared" si="30"/>
        <v/>
      </c>
      <c r="U508" s="6" t="str">
        <f t="shared" si="32"/>
        <v/>
      </c>
    </row>
    <row r="509" spans="1:21">
      <c r="A509" s="11"/>
      <c r="B509" s="11"/>
      <c r="C509" s="11"/>
      <c r="D509" s="11" t="str">
        <f>IF($A509="","",_xlfn.TEXTJOIN(", ",TRUE,IF($G509&gt;0,'Template Setup'!$C$4,""),IF($H509&gt;0,'Template Setup'!$C$5,""),IF($I509&gt;0,'Template Setup'!$C$6,""),IF($J509&gt;0,'Template Setup'!$C$7,""),IF($K509&gt;0,'Template Setup'!$C$8,"")))</f>
        <v/>
      </c>
      <c r="E509" s="6" t="str" cm="1">
        <f t="array" ref="E509">IF($A509="","",_xlfn.LET(_xlpm.sheets,CHOOSE({1,2,3,4,5},'Template Setup'!$C$4,'Template Setup'!$C$5,'Template Setup'!$C$6,'Template Setup'!$C$7,'Template Setup'!$C$8),_xlpm.nums,CHOOSE({1,2,3,4,5},$L509,$M509,$N509,$O509,$P509),_xlpm.qtys,CHOOSE({1,2,3,4,5},$G509,$H509,$I509,$J509,$K509),_xlpm.validNums,_xlfn._xlws.FILTER(_xlpm.nums,_xlpm.qtys&gt;0),_xlpm.validSheets,_xlfn._xlws.FILTER(_xlpm.sheets,_xlpm.qtys&gt;0),_xlpm.mx,IFERROR(MAX(_xlpm.validNums),0),IF(_xlpm.mx=0,"",INDEX(_xlpm.validSheets,MATCH(_xlpm.mx,_xlpm.validNums,0))&amp;" (+"&amp;$R509&amp;")")))</f>
        <v/>
      </c>
      <c r="F509" s="11" t="str">
        <f t="shared" si="31"/>
        <v/>
      </c>
      <c r="G509" s="12" t="str">
        <f ca="1">IF($A509="","",IFERROR(SUMIF(INDIRECT("'"&amp;'Template Setup'!$C$4&amp;"'!C:C"),$A509,INDIRECT("'"&amp;'Template Setup'!$C$4&amp;"'!A:A")),0))</f>
        <v/>
      </c>
      <c r="H509" s="12" t="str">
        <f ca="1">IF($A509="","",IFERROR(SUMIF(INDIRECT("'"&amp;'Template Setup'!$C$5&amp;"'!C:C"),$A509,INDIRECT("'"&amp;'Template Setup'!$C$5&amp;"'!A:A")),0))</f>
        <v/>
      </c>
      <c r="I509" s="12" t="str">
        <f ca="1">IF($A509="","",IFERROR(SUMIF(INDIRECT("'"&amp;'Template Setup'!$C$6&amp;"'!C:C"),$A509,INDIRECT("'"&amp;'Template Setup'!$C$6&amp;"'!A:A")),0))</f>
        <v/>
      </c>
      <c r="J509" s="12" t="str">
        <f ca="1">IF($A509="","",IFERROR(SUMIF(INDIRECT("'"&amp;'Template Setup'!$C$7&amp;"'!C:C"),$A509,INDIRECT("'"&amp;'Template Setup'!$C$7&amp;"'!A:A")),0))</f>
        <v/>
      </c>
      <c r="K509" s="12" t="str">
        <f ca="1">IF($A509="","",IFERROR(SUMIF(INDIRECT("'"&amp;'Template Setup'!$C$8&amp;"'!C:C"),$A509,INDIRECT("'"&amp;'Template Setup'!$C$8&amp;"'!A:A")),0))</f>
        <v/>
      </c>
      <c r="L509" s="11" t="str">
        <f>IF($A509="","",IFERROR(VALUE(MID(TRIM('Template Setup'!$C$4),FIND("-",TRIM('Template Setup'!$C$4))+1,10)),0))</f>
        <v/>
      </c>
      <c r="M509" s="11" t="str">
        <f>IF($A509="","",IFERROR(VALUE(MID(TRIM('Template Setup'!$C$5),FIND("-",TRIM('Template Setup'!$C$5))+1,10)),0))</f>
        <v/>
      </c>
      <c r="N509" s="11" t="str">
        <f>IF($A509="","",IFERROR(VALUE(MID(TRIM('Template Setup'!$C$6),FIND("-",TRIM('Template Setup'!$C$6))+1,10)),0))</f>
        <v/>
      </c>
      <c r="O509" s="11" t="str">
        <f>IF($A509="","",IFERROR(VALUE(MID(TRIM('Template Setup'!$C$7),FIND("-",TRIM('Template Setup'!$C$7))+1,10)),0))</f>
        <v/>
      </c>
      <c r="P509" s="11" t="str">
        <f>IF($A509="","",IFERROR(VALUE(MID(TRIM('Template Setup'!$C$8),FIND("-",TRIM('Template Setup'!$C$8))+1,10)),0))</f>
        <v/>
      </c>
      <c r="Q509" s="9" t="str">
        <f>IF($A509="","",$A509&amp;"-"&amp;'Template Setup'!$C$16)</f>
        <v/>
      </c>
      <c r="R509" s="24" t="str">
        <f t="shared" si="29"/>
        <v/>
      </c>
      <c r="S509" s="24"/>
      <c r="T509" s="24" t="str">
        <f t="shared" si="30"/>
        <v/>
      </c>
      <c r="U509" s="6" t="str">
        <f t="shared" si="32"/>
        <v/>
      </c>
    </row>
    <row r="510" spans="1:21">
      <c r="A510" s="11"/>
      <c r="B510" s="11"/>
      <c r="C510" s="11"/>
      <c r="D510" s="11" t="str">
        <f>IF($A510="","",_xlfn.TEXTJOIN(", ",TRUE,IF($G510&gt;0,'Template Setup'!$C$4,""),IF($H510&gt;0,'Template Setup'!$C$5,""),IF($I510&gt;0,'Template Setup'!$C$6,""),IF($J510&gt;0,'Template Setup'!$C$7,""),IF($K510&gt;0,'Template Setup'!$C$8,"")))</f>
        <v/>
      </c>
      <c r="E510" s="6" t="str" cm="1">
        <f t="array" ref="E510">IF($A510="","",_xlfn.LET(_xlpm.sheets,CHOOSE({1,2,3,4,5},'Template Setup'!$C$4,'Template Setup'!$C$5,'Template Setup'!$C$6,'Template Setup'!$C$7,'Template Setup'!$C$8),_xlpm.nums,CHOOSE({1,2,3,4,5},$L510,$M510,$N510,$O510,$P510),_xlpm.qtys,CHOOSE({1,2,3,4,5},$G510,$H510,$I510,$J510,$K510),_xlpm.validNums,_xlfn._xlws.FILTER(_xlpm.nums,_xlpm.qtys&gt;0),_xlpm.validSheets,_xlfn._xlws.FILTER(_xlpm.sheets,_xlpm.qtys&gt;0),_xlpm.mx,IFERROR(MAX(_xlpm.validNums),0),IF(_xlpm.mx=0,"",INDEX(_xlpm.validSheets,MATCH(_xlpm.mx,_xlpm.validNums,0))&amp;" (+"&amp;$R510&amp;")")))</f>
        <v/>
      </c>
      <c r="F510" s="11" t="str">
        <f t="shared" si="31"/>
        <v/>
      </c>
      <c r="G510" s="12" t="str">
        <f ca="1">IF($A510="","",IFERROR(SUMIF(INDIRECT("'"&amp;'Template Setup'!$C$4&amp;"'!C:C"),$A510,INDIRECT("'"&amp;'Template Setup'!$C$4&amp;"'!A:A")),0))</f>
        <v/>
      </c>
      <c r="H510" s="12" t="str">
        <f ca="1">IF($A510="","",IFERROR(SUMIF(INDIRECT("'"&amp;'Template Setup'!$C$5&amp;"'!C:C"),$A510,INDIRECT("'"&amp;'Template Setup'!$C$5&amp;"'!A:A")),0))</f>
        <v/>
      </c>
      <c r="I510" s="12" t="str">
        <f ca="1">IF($A510="","",IFERROR(SUMIF(INDIRECT("'"&amp;'Template Setup'!$C$6&amp;"'!C:C"),$A510,INDIRECT("'"&amp;'Template Setup'!$C$6&amp;"'!A:A")),0))</f>
        <v/>
      </c>
      <c r="J510" s="12" t="str">
        <f ca="1">IF($A510="","",IFERROR(SUMIF(INDIRECT("'"&amp;'Template Setup'!$C$7&amp;"'!C:C"),$A510,INDIRECT("'"&amp;'Template Setup'!$C$7&amp;"'!A:A")),0))</f>
        <v/>
      </c>
      <c r="K510" s="12" t="str">
        <f ca="1">IF($A510="","",IFERROR(SUMIF(INDIRECT("'"&amp;'Template Setup'!$C$8&amp;"'!C:C"),$A510,INDIRECT("'"&amp;'Template Setup'!$C$8&amp;"'!A:A")),0))</f>
        <v/>
      </c>
      <c r="L510" s="11" t="str">
        <f>IF($A510="","",IFERROR(VALUE(MID(TRIM('Template Setup'!$C$4),FIND("-",TRIM('Template Setup'!$C$4))+1,10)),0))</f>
        <v/>
      </c>
      <c r="M510" s="11" t="str">
        <f>IF($A510="","",IFERROR(VALUE(MID(TRIM('Template Setup'!$C$5),FIND("-",TRIM('Template Setup'!$C$5))+1,10)),0))</f>
        <v/>
      </c>
      <c r="N510" s="11" t="str">
        <f>IF($A510="","",IFERROR(VALUE(MID(TRIM('Template Setup'!$C$6),FIND("-",TRIM('Template Setup'!$C$6))+1,10)),0))</f>
        <v/>
      </c>
      <c r="O510" s="11" t="str">
        <f>IF($A510="","",IFERROR(VALUE(MID(TRIM('Template Setup'!$C$7),FIND("-",TRIM('Template Setup'!$C$7))+1,10)),0))</f>
        <v/>
      </c>
      <c r="P510" s="11" t="str">
        <f>IF($A510="","",IFERROR(VALUE(MID(TRIM('Template Setup'!$C$8),FIND("-",TRIM('Template Setup'!$C$8))+1,10)),0))</f>
        <v/>
      </c>
      <c r="Q510" s="9" t="str">
        <f>IF($A510="","",$A510&amp;"-"&amp;'Template Setup'!$C$16)</f>
        <v/>
      </c>
      <c r="R510" s="24" t="str">
        <f t="shared" si="29"/>
        <v/>
      </c>
      <c r="S510" s="24"/>
      <c r="T510" s="24" t="str">
        <f t="shared" si="30"/>
        <v/>
      </c>
      <c r="U510" s="6" t="str">
        <f t="shared" si="32"/>
        <v/>
      </c>
    </row>
    <row r="511" spans="1:21">
      <c r="A511" s="11"/>
      <c r="B511" s="11"/>
      <c r="C511" s="11"/>
      <c r="D511" s="11" t="str">
        <f>IF($A511="","",_xlfn.TEXTJOIN(", ",TRUE,IF($G511&gt;0,'Template Setup'!$C$4,""),IF($H511&gt;0,'Template Setup'!$C$5,""),IF($I511&gt;0,'Template Setup'!$C$6,""),IF($J511&gt;0,'Template Setup'!$C$7,""),IF($K511&gt;0,'Template Setup'!$C$8,"")))</f>
        <v/>
      </c>
      <c r="E511" s="6" t="str" cm="1">
        <f t="array" ref="E511">IF($A511="","",_xlfn.LET(_xlpm.sheets,CHOOSE({1,2,3,4,5},'Template Setup'!$C$4,'Template Setup'!$C$5,'Template Setup'!$C$6,'Template Setup'!$C$7,'Template Setup'!$C$8),_xlpm.nums,CHOOSE({1,2,3,4,5},$L511,$M511,$N511,$O511,$P511),_xlpm.qtys,CHOOSE({1,2,3,4,5},$G511,$H511,$I511,$J511,$K511),_xlpm.validNums,_xlfn._xlws.FILTER(_xlpm.nums,_xlpm.qtys&gt;0),_xlpm.validSheets,_xlfn._xlws.FILTER(_xlpm.sheets,_xlpm.qtys&gt;0),_xlpm.mx,IFERROR(MAX(_xlpm.validNums),0),IF(_xlpm.mx=0,"",INDEX(_xlpm.validSheets,MATCH(_xlpm.mx,_xlpm.validNums,0))&amp;" (+"&amp;$R511&amp;")")))</f>
        <v/>
      </c>
      <c r="F511" s="11" t="str">
        <f t="shared" si="31"/>
        <v/>
      </c>
      <c r="G511" s="12" t="str">
        <f ca="1">IF($A511="","",IFERROR(SUMIF(INDIRECT("'"&amp;'Template Setup'!$C$4&amp;"'!C:C"),$A511,INDIRECT("'"&amp;'Template Setup'!$C$4&amp;"'!A:A")),0))</f>
        <v/>
      </c>
      <c r="H511" s="12" t="str">
        <f ca="1">IF($A511="","",IFERROR(SUMIF(INDIRECT("'"&amp;'Template Setup'!$C$5&amp;"'!C:C"),$A511,INDIRECT("'"&amp;'Template Setup'!$C$5&amp;"'!A:A")),0))</f>
        <v/>
      </c>
      <c r="I511" s="12" t="str">
        <f ca="1">IF($A511="","",IFERROR(SUMIF(INDIRECT("'"&amp;'Template Setup'!$C$6&amp;"'!C:C"),$A511,INDIRECT("'"&amp;'Template Setup'!$C$6&amp;"'!A:A")),0))</f>
        <v/>
      </c>
      <c r="J511" s="12" t="str">
        <f ca="1">IF($A511="","",IFERROR(SUMIF(INDIRECT("'"&amp;'Template Setup'!$C$7&amp;"'!C:C"),$A511,INDIRECT("'"&amp;'Template Setup'!$C$7&amp;"'!A:A")),0))</f>
        <v/>
      </c>
      <c r="K511" s="12" t="str">
        <f ca="1">IF($A511="","",IFERROR(SUMIF(INDIRECT("'"&amp;'Template Setup'!$C$8&amp;"'!C:C"),$A511,INDIRECT("'"&amp;'Template Setup'!$C$8&amp;"'!A:A")),0))</f>
        <v/>
      </c>
      <c r="L511" s="11" t="str">
        <f>IF($A511="","",IFERROR(VALUE(MID(TRIM('Template Setup'!$C$4),FIND("-",TRIM('Template Setup'!$C$4))+1,10)),0))</f>
        <v/>
      </c>
      <c r="M511" s="11" t="str">
        <f>IF($A511="","",IFERROR(VALUE(MID(TRIM('Template Setup'!$C$5),FIND("-",TRIM('Template Setup'!$C$5))+1,10)),0))</f>
        <v/>
      </c>
      <c r="N511" s="11" t="str">
        <f>IF($A511="","",IFERROR(VALUE(MID(TRIM('Template Setup'!$C$6),FIND("-",TRIM('Template Setup'!$C$6))+1,10)),0))</f>
        <v/>
      </c>
      <c r="O511" s="11" t="str">
        <f>IF($A511="","",IFERROR(VALUE(MID(TRIM('Template Setup'!$C$7),FIND("-",TRIM('Template Setup'!$C$7))+1,10)),0))</f>
        <v/>
      </c>
      <c r="P511" s="11" t="str">
        <f>IF($A511="","",IFERROR(VALUE(MID(TRIM('Template Setup'!$C$8),FIND("-",TRIM('Template Setup'!$C$8))+1,10)),0))</f>
        <v/>
      </c>
      <c r="Q511" s="9" t="str">
        <f>IF($A511="","",$A511&amp;"-"&amp;'Template Setup'!$C$16)</f>
        <v/>
      </c>
      <c r="R511" s="24" t="str">
        <f t="shared" si="29"/>
        <v/>
      </c>
      <c r="S511" s="24"/>
      <c r="T511" s="24" t="str">
        <f t="shared" si="30"/>
        <v/>
      </c>
      <c r="U511" s="6" t="str">
        <f t="shared" si="32"/>
        <v/>
      </c>
    </row>
    <row r="512" spans="1:21">
      <c r="A512" s="11"/>
      <c r="B512" s="11"/>
      <c r="C512" s="11"/>
      <c r="D512" s="11" t="str">
        <f>IF($A512="","",_xlfn.TEXTJOIN(", ",TRUE,IF($G512&gt;0,'Template Setup'!$C$4,""),IF($H512&gt;0,'Template Setup'!$C$5,""),IF($I512&gt;0,'Template Setup'!$C$6,""),IF($J512&gt;0,'Template Setup'!$C$7,""),IF($K512&gt;0,'Template Setup'!$C$8,"")))</f>
        <v/>
      </c>
      <c r="E512" s="6" t="str" cm="1">
        <f t="array" ref="E512">IF($A512="","",_xlfn.LET(_xlpm.sheets,CHOOSE({1,2,3,4,5},'Template Setup'!$C$4,'Template Setup'!$C$5,'Template Setup'!$C$6,'Template Setup'!$C$7,'Template Setup'!$C$8),_xlpm.nums,CHOOSE({1,2,3,4,5},$L512,$M512,$N512,$O512,$P512),_xlpm.qtys,CHOOSE({1,2,3,4,5},$G512,$H512,$I512,$J512,$K512),_xlpm.validNums,_xlfn._xlws.FILTER(_xlpm.nums,_xlpm.qtys&gt;0),_xlpm.validSheets,_xlfn._xlws.FILTER(_xlpm.sheets,_xlpm.qtys&gt;0),_xlpm.mx,IFERROR(MAX(_xlpm.validNums),0),IF(_xlpm.mx=0,"",INDEX(_xlpm.validSheets,MATCH(_xlpm.mx,_xlpm.validNums,0))&amp;" (+"&amp;$R512&amp;")")))</f>
        <v/>
      </c>
      <c r="F512" s="11" t="str">
        <f t="shared" si="31"/>
        <v/>
      </c>
      <c r="G512" s="12" t="str">
        <f ca="1">IF($A512="","",IFERROR(SUMIF(INDIRECT("'"&amp;'Template Setup'!$C$4&amp;"'!C:C"),$A512,INDIRECT("'"&amp;'Template Setup'!$C$4&amp;"'!A:A")),0))</f>
        <v/>
      </c>
      <c r="H512" s="12" t="str">
        <f ca="1">IF($A512="","",IFERROR(SUMIF(INDIRECT("'"&amp;'Template Setup'!$C$5&amp;"'!C:C"),$A512,INDIRECT("'"&amp;'Template Setup'!$C$5&amp;"'!A:A")),0))</f>
        <v/>
      </c>
      <c r="I512" s="12" t="str">
        <f ca="1">IF($A512="","",IFERROR(SUMIF(INDIRECT("'"&amp;'Template Setup'!$C$6&amp;"'!C:C"),$A512,INDIRECT("'"&amp;'Template Setup'!$C$6&amp;"'!A:A")),0))</f>
        <v/>
      </c>
      <c r="J512" s="12" t="str">
        <f ca="1">IF($A512="","",IFERROR(SUMIF(INDIRECT("'"&amp;'Template Setup'!$C$7&amp;"'!C:C"),$A512,INDIRECT("'"&amp;'Template Setup'!$C$7&amp;"'!A:A")),0))</f>
        <v/>
      </c>
      <c r="K512" s="12" t="str">
        <f ca="1">IF($A512="","",IFERROR(SUMIF(INDIRECT("'"&amp;'Template Setup'!$C$8&amp;"'!C:C"),$A512,INDIRECT("'"&amp;'Template Setup'!$C$8&amp;"'!A:A")),0))</f>
        <v/>
      </c>
      <c r="L512" s="11" t="str">
        <f>IF($A512="","",IFERROR(VALUE(MID(TRIM('Template Setup'!$C$4),FIND("-",TRIM('Template Setup'!$C$4))+1,10)),0))</f>
        <v/>
      </c>
      <c r="M512" s="11" t="str">
        <f>IF($A512="","",IFERROR(VALUE(MID(TRIM('Template Setup'!$C$5),FIND("-",TRIM('Template Setup'!$C$5))+1,10)),0))</f>
        <v/>
      </c>
      <c r="N512" s="11" t="str">
        <f>IF($A512="","",IFERROR(VALUE(MID(TRIM('Template Setup'!$C$6),FIND("-",TRIM('Template Setup'!$C$6))+1,10)),0))</f>
        <v/>
      </c>
      <c r="O512" s="11" t="str">
        <f>IF($A512="","",IFERROR(VALUE(MID(TRIM('Template Setup'!$C$7),FIND("-",TRIM('Template Setup'!$C$7))+1,10)),0))</f>
        <v/>
      </c>
      <c r="P512" s="11" t="str">
        <f>IF($A512="","",IFERROR(VALUE(MID(TRIM('Template Setup'!$C$8),FIND("-",TRIM('Template Setup'!$C$8))+1,10)),0))</f>
        <v/>
      </c>
      <c r="Q512" s="9" t="str">
        <f>IF($A512="","",$A512&amp;"-"&amp;'Template Setup'!$C$16)</f>
        <v/>
      </c>
      <c r="R512" s="24" t="str">
        <f t="shared" si="29"/>
        <v/>
      </c>
      <c r="S512" s="24"/>
      <c r="T512" s="24" t="str">
        <f t="shared" si="30"/>
        <v/>
      </c>
      <c r="U512" s="6" t="str">
        <f t="shared" si="32"/>
        <v/>
      </c>
    </row>
    <row r="513" spans="1:21">
      <c r="A513" s="11"/>
      <c r="B513" s="11"/>
      <c r="C513" s="11"/>
      <c r="D513" s="11" t="str">
        <f>IF($A513="","",_xlfn.TEXTJOIN(", ",TRUE,IF($G513&gt;0,'Template Setup'!$C$4,""),IF($H513&gt;0,'Template Setup'!$C$5,""),IF($I513&gt;0,'Template Setup'!$C$6,""),IF($J513&gt;0,'Template Setup'!$C$7,""),IF($K513&gt;0,'Template Setup'!$C$8,"")))</f>
        <v/>
      </c>
      <c r="E513" s="6" t="str" cm="1">
        <f t="array" ref="E513">IF($A513="","",_xlfn.LET(_xlpm.sheets,CHOOSE({1,2,3,4,5},'Template Setup'!$C$4,'Template Setup'!$C$5,'Template Setup'!$C$6,'Template Setup'!$C$7,'Template Setup'!$C$8),_xlpm.nums,CHOOSE({1,2,3,4,5},$L513,$M513,$N513,$O513,$P513),_xlpm.qtys,CHOOSE({1,2,3,4,5},$G513,$H513,$I513,$J513,$K513),_xlpm.validNums,_xlfn._xlws.FILTER(_xlpm.nums,_xlpm.qtys&gt;0),_xlpm.validSheets,_xlfn._xlws.FILTER(_xlpm.sheets,_xlpm.qtys&gt;0),_xlpm.mx,IFERROR(MAX(_xlpm.validNums),0),IF(_xlpm.mx=0,"",INDEX(_xlpm.validSheets,MATCH(_xlpm.mx,_xlpm.validNums,0))&amp;" (+"&amp;$R513&amp;")")))</f>
        <v/>
      </c>
      <c r="F513" s="11" t="str">
        <f t="shared" si="31"/>
        <v/>
      </c>
      <c r="G513" s="12" t="str">
        <f ca="1">IF($A513="","",IFERROR(SUMIF(INDIRECT("'"&amp;'Template Setup'!$C$4&amp;"'!C:C"),$A513,INDIRECT("'"&amp;'Template Setup'!$C$4&amp;"'!A:A")),0))</f>
        <v/>
      </c>
      <c r="H513" s="12" t="str">
        <f ca="1">IF($A513="","",IFERROR(SUMIF(INDIRECT("'"&amp;'Template Setup'!$C$5&amp;"'!C:C"),$A513,INDIRECT("'"&amp;'Template Setup'!$C$5&amp;"'!A:A")),0))</f>
        <v/>
      </c>
      <c r="I513" s="12" t="str">
        <f ca="1">IF($A513="","",IFERROR(SUMIF(INDIRECT("'"&amp;'Template Setup'!$C$6&amp;"'!C:C"),$A513,INDIRECT("'"&amp;'Template Setup'!$C$6&amp;"'!A:A")),0))</f>
        <v/>
      </c>
      <c r="J513" s="12" t="str">
        <f ca="1">IF($A513="","",IFERROR(SUMIF(INDIRECT("'"&amp;'Template Setup'!$C$7&amp;"'!C:C"),$A513,INDIRECT("'"&amp;'Template Setup'!$C$7&amp;"'!A:A")),0))</f>
        <v/>
      </c>
      <c r="K513" s="12" t="str">
        <f ca="1">IF($A513="","",IFERROR(SUMIF(INDIRECT("'"&amp;'Template Setup'!$C$8&amp;"'!C:C"),$A513,INDIRECT("'"&amp;'Template Setup'!$C$8&amp;"'!A:A")),0))</f>
        <v/>
      </c>
      <c r="L513" s="11" t="str">
        <f>IF($A513="","",IFERROR(VALUE(MID(TRIM('Template Setup'!$C$4),FIND("-",TRIM('Template Setup'!$C$4))+1,10)),0))</f>
        <v/>
      </c>
      <c r="M513" s="11" t="str">
        <f>IF($A513="","",IFERROR(VALUE(MID(TRIM('Template Setup'!$C$5),FIND("-",TRIM('Template Setup'!$C$5))+1,10)),0))</f>
        <v/>
      </c>
      <c r="N513" s="11" t="str">
        <f>IF($A513="","",IFERROR(VALUE(MID(TRIM('Template Setup'!$C$6),FIND("-",TRIM('Template Setup'!$C$6))+1,10)),0))</f>
        <v/>
      </c>
      <c r="O513" s="11" t="str">
        <f>IF($A513="","",IFERROR(VALUE(MID(TRIM('Template Setup'!$C$7),FIND("-",TRIM('Template Setup'!$C$7))+1,10)),0))</f>
        <v/>
      </c>
      <c r="P513" s="11" t="str">
        <f>IF($A513="","",IFERROR(VALUE(MID(TRIM('Template Setup'!$C$8),FIND("-",TRIM('Template Setup'!$C$8))+1,10)),0))</f>
        <v/>
      </c>
      <c r="Q513" s="9" t="str">
        <f>IF($A513="","",$A513&amp;"-"&amp;'Template Setup'!$C$16)</f>
        <v/>
      </c>
      <c r="R513" s="24" t="str">
        <f t="shared" si="29"/>
        <v/>
      </c>
      <c r="S513" s="24"/>
      <c r="T513" s="24" t="str">
        <f t="shared" si="30"/>
        <v/>
      </c>
      <c r="U513" s="6" t="str">
        <f t="shared" si="32"/>
        <v/>
      </c>
    </row>
    <row r="514" spans="1:21">
      <c r="A514" s="11"/>
      <c r="B514" s="11"/>
      <c r="C514" s="11"/>
      <c r="D514" s="11" t="str">
        <f>IF($A514="","",_xlfn.TEXTJOIN(", ",TRUE,IF($G514&gt;0,'Template Setup'!$C$4,""),IF($H514&gt;0,'Template Setup'!$C$5,""),IF($I514&gt;0,'Template Setup'!$C$6,""),IF($J514&gt;0,'Template Setup'!$C$7,""),IF($K514&gt;0,'Template Setup'!$C$8,"")))</f>
        <v/>
      </c>
      <c r="E514" s="6" t="str" cm="1">
        <f t="array" ref="E514">IF($A514="","",_xlfn.LET(_xlpm.sheets,CHOOSE({1,2,3,4,5},'Template Setup'!$C$4,'Template Setup'!$C$5,'Template Setup'!$C$6,'Template Setup'!$C$7,'Template Setup'!$C$8),_xlpm.nums,CHOOSE({1,2,3,4,5},$L514,$M514,$N514,$O514,$P514),_xlpm.qtys,CHOOSE({1,2,3,4,5},$G514,$H514,$I514,$J514,$K514),_xlpm.validNums,_xlfn._xlws.FILTER(_xlpm.nums,_xlpm.qtys&gt;0),_xlpm.validSheets,_xlfn._xlws.FILTER(_xlpm.sheets,_xlpm.qtys&gt;0),_xlpm.mx,IFERROR(MAX(_xlpm.validNums),0),IF(_xlpm.mx=0,"",INDEX(_xlpm.validSheets,MATCH(_xlpm.mx,_xlpm.validNums,0))&amp;" (+"&amp;$R514&amp;")")))</f>
        <v/>
      </c>
      <c r="F514" s="11" t="str">
        <f t="shared" si="31"/>
        <v/>
      </c>
      <c r="G514" s="12" t="str">
        <f ca="1">IF($A514="","",IFERROR(SUMIF(INDIRECT("'"&amp;'Template Setup'!$C$4&amp;"'!C:C"),$A514,INDIRECT("'"&amp;'Template Setup'!$C$4&amp;"'!A:A")),0))</f>
        <v/>
      </c>
      <c r="H514" s="12" t="str">
        <f ca="1">IF($A514="","",IFERROR(SUMIF(INDIRECT("'"&amp;'Template Setup'!$C$5&amp;"'!C:C"),$A514,INDIRECT("'"&amp;'Template Setup'!$C$5&amp;"'!A:A")),0))</f>
        <v/>
      </c>
      <c r="I514" s="12" t="str">
        <f ca="1">IF($A514="","",IFERROR(SUMIF(INDIRECT("'"&amp;'Template Setup'!$C$6&amp;"'!C:C"),$A514,INDIRECT("'"&amp;'Template Setup'!$C$6&amp;"'!A:A")),0))</f>
        <v/>
      </c>
      <c r="J514" s="12" t="str">
        <f ca="1">IF($A514="","",IFERROR(SUMIF(INDIRECT("'"&amp;'Template Setup'!$C$7&amp;"'!C:C"),$A514,INDIRECT("'"&amp;'Template Setup'!$C$7&amp;"'!A:A")),0))</f>
        <v/>
      </c>
      <c r="K514" s="12" t="str">
        <f ca="1">IF($A514="","",IFERROR(SUMIF(INDIRECT("'"&amp;'Template Setup'!$C$8&amp;"'!C:C"),$A514,INDIRECT("'"&amp;'Template Setup'!$C$8&amp;"'!A:A")),0))</f>
        <v/>
      </c>
      <c r="L514" s="11" t="str">
        <f>IF($A514="","",IFERROR(VALUE(MID(TRIM('Template Setup'!$C$4),FIND("-",TRIM('Template Setup'!$C$4))+1,10)),0))</f>
        <v/>
      </c>
      <c r="M514" s="11" t="str">
        <f>IF($A514="","",IFERROR(VALUE(MID(TRIM('Template Setup'!$C$5),FIND("-",TRIM('Template Setup'!$C$5))+1,10)),0))</f>
        <v/>
      </c>
      <c r="N514" s="11" t="str">
        <f>IF($A514="","",IFERROR(VALUE(MID(TRIM('Template Setup'!$C$6),FIND("-",TRIM('Template Setup'!$C$6))+1,10)),0))</f>
        <v/>
      </c>
      <c r="O514" s="11" t="str">
        <f>IF($A514="","",IFERROR(VALUE(MID(TRIM('Template Setup'!$C$7),FIND("-",TRIM('Template Setup'!$C$7))+1,10)),0))</f>
        <v/>
      </c>
      <c r="P514" s="11" t="str">
        <f>IF($A514="","",IFERROR(VALUE(MID(TRIM('Template Setup'!$C$8),FIND("-",TRIM('Template Setup'!$C$8))+1,10)),0))</f>
        <v/>
      </c>
      <c r="Q514" s="9" t="str">
        <f>IF($A514="","",$A514&amp;"-"&amp;'Template Setup'!$C$16)</f>
        <v/>
      </c>
      <c r="R514" s="24" t="str">
        <f t="shared" ref="R514:R577" si="33">IF($A514="","",SUM($G514:$K514))</f>
        <v/>
      </c>
      <c r="S514" s="24"/>
      <c r="T514" s="24" t="str">
        <f t="shared" ref="T514:T577" si="34">IF($A514="","",IF(ISBLANK(S514),"",N(R514)+S514))</f>
        <v/>
      </c>
      <c r="U514" s="6" t="str">
        <f t="shared" si="32"/>
        <v/>
      </c>
    </row>
    <row r="515" spans="1:21">
      <c r="A515" s="11"/>
      <c r="B515" s="11"/>
      <c r="C515" s="11"/>
      <c r="D515" s="11" t="str">
        <f>IF($A515="","",_xlfn.TEXTJOIN(", ",TRUE,IF($G515&gt;0,'Template Setup'!$C$4,""),IF($H515&gt;0,'Template Setup'!$C$5,""),IF($I515&gt;0,'Template Setup'!$C$6,""),IF($J515&gt;0,'Template Setup'!$C$7,""),IF($K515&gt;0,'Template Setup'!$C$8,"")))</f>
        <v/>
      </c>
      <c r="E515" s="6" t="str" cm="1">
        <f t="array" ref="E515">IF($A515="","",_xlfn.LET(_xlpm.sheets,CHOOSE({1,2,3,4,5},'Template Setup'!$C$4,'Template Setup'!$C$5,'Template Setup'!$C$6,'Template Setup'!$C$7,'Template Setup'!$C$8),_xlpm.nums,CHOOSE({1,2,3,4,5},$L515,$M515,$N515,$O515,$P515),_xlpm.qtys,CHOOSE({1,2,3,4,5},$G515,$H515,$I515,$J515,$K515),_xlpm.validNums,_xlfn._xlws.FILTER(_xlpm.nums,_xlpm.qtys&gt;0),_xlpm.validSheets,_xlfn._xlws.FILTER(_xlpm.sheets,_xlpm.qtys&gt;0),_xlpm.mx,IFERROR(MAX(_xlpm.validNums),0),IF(_xlpm.mx=0,"",INDEX(_xlpm.validSheets,MATCH(_xlpm.mx,_xlpm.validNums,0))&amp;" (+"&amp;$R515&amp;")")))</f>
        <v/>
      </c>
      <c r="F515" s="11" t="str">
        <f t="shared" ref="F515:F578" si="35">IF($E515="","","PACP-"&amp;LEFT($E515,FIND("-",$E515)-1)&amp;"-000"&amp;MID($E515,FIND("-",$E515)+1,3))</f>
        <v/>
      </c>
      <c r="G515" s="12" t="str">
        <f ca="1">IF($A515="","",IFERROR(SUMIF(INDIRECT("'"&amp;'Template Setup'!$C$4&amp;"'!C:C"),$A515,INDIRECT("'"&amp;'Template Setup'!$C$4&amp;"'!A:A")),0))</f>
        <v/>
      </c>
      <c r="H515" s="12" t="str">
        <f ca="1">IF($A515="","",IFERROR(SUMIF(INDIRECT("'"&amp;'Template Setup'!$C$5&amp;"'!C:C"),$A515,INDIRECT("'"&amp;'Template Setup'!$C$5&amp;"'!A:A")),0))</f>
        <v/>
      </c>
      <c r="I515" s="12" t="str">
        <f ca="1">IF($A515="","",IFERROR(SUMIF(INDIRECT("'"&amp;'Template Setup'!$C$6&amp;"'!C:C"),$A515,INDIRECT("'"&amp;'Template Setup'!$C$6&amp;"'!A:A")),0))</f>
        <v/>
      </c>
      <c r="J515" s="12" t="str">
        <f ca="1">IF($A515="","",IFERROR(SUMIF(INDIRECT("'"&amp;'Template Setup'!$C$7&amp;"'!C:C"),$A515,INDIRECT("'"&amp;'Template Setup'!$C$7&amp;"'!A:A")),0))</f>
        <v/>
      </c>
      <c r="K515" s="12" t="str">
        <f ca="1">IF($A515="","",IFERROR(SUMIF(INDIRECT("'"&amp;'Template Setup'!$C$8&amp;"'!C:C"),$A515,INDIRECT("'"&amp;'Template Setup'!$C$8&amp;"'!A:A")),0))</f>
        <v/>
      </c>
      <c r="L515" s="11" t="str">
        <f>IF($A515="","",IFERROR(VALUE(MID(TRIM('Template Setup'!$C$4),FIND("-",TRIM('Template Setup'!$C$4))+1,10)),0))</f>
        <v/>
      </c>
      <c r="M515" s="11" t="str">
        <f>IF($A515="","",IFERROR(VALUE(MID(TRIM('Template Setup'!$C$5),FIND("-",TRIM('Template Setup'!$C$5))+1,10)),0))</f>
        <v/>
      </c>
      <c r="N515" s="11" t="str">
        <f>IF($A515="","",IFERROR(VALUE(MID(TRIM('Template Setup'!$C$6),FIND("-",TRIM('Template Setup'!$C$6))+1,10)),0))</f>
        <v/>
      </c>
      <c r="O515" s="11" t="str">
        <f>IF($A515="","",IFERROR(VALUE(MID(TRIM('Template Setup'!$C$7),FIND("-",TRIM('Template Setup'!$C$7))+1,10)),0))</f>
        <v/>
      </c>
      <c r="P515" s="11" t="str">
        <f>IF($A515="","",IFERROR(VALUE(MID(TRIM('Template Setup'!$C$8),FIND("-",TRIM('Template Setup'!$C$8))+1,10)),0))</f>
        <v/>
      </c>
      <c r="Q515" s="9" t="str">
        <f>IF($A515="","",$A515&amp;"-"&amp;'Template Setup'!$C$16)</f>
        <v/>
      </c>
      <c r="R515" s="24" t="str">
        <f t="shared" si="33"/>
        <v/>
      </c>
      <c r="S515" s="24"/>
      <c r="T515" s="24" t="str">
        <f t="shared" si="34"/>
        <v/>
      </c>
      <c r="U515" s="6" t="str">
        <f t="shared" si="32"/>
        <v/>
      </c>
    </row>
    <row r="516" spans="1:21">
      <c r="A516" s="11"/>
      <c r="B516" s="11"/>
      <c r="C516" s="11"/>
      <c r="D516" s="11" t="str">
        <f>IF($A516="","",_xlfn.TEXTJOIN(", ",TRUE,IF($G516&gt;0,'Template Setup'!$C$4,""),IF($H516&gt;0,'Template Setup'!$C$5,""),IF($I516&gt;0,'Template Setup'!$C$6,""),IF($J516&gt;0,'Template Setup'!$C$7,""),IF($K516&gt;0,'Template Setup'!$C$8,"")))</f>
        <v/>
      </c>
      <c r="E516" s="6" t="str" cm="1">
        <f t="array" ref="E516">IF($A516="","",_xlfn.LET(_xlpm.sheets,CHOOSE({1,2,3,4,5},'Template Setup'!$C$4,'Template Setup'!$C$5,'Template Setup'!$C$6,'Template Setup'!$C$7,'Template Setup'!$C$8),_xlpm.nums,CHOOSE({1,2,3,4,5},$L516,$M516,$N516,$O516,$P516),_xlpm.qtys,CHOOSE({1,2,3,4,5},$G516,$H516,$I516,$J516,$K516),_xlpm.validNums,_xlfn._xlws.FILTER(_xlpm.nums,_xlpm.qtys&gt;0),_xlpm.validSheets,_xlfn._xlws.FILTER(_xlpm.sheets,_xlpm.qtys&gt;0),_xlpm.mx,IFERROR(MAX(_xlpm.validNums),0),IF(_xlpm.mx=0,"",INDEX(_xlpm.validSheets,MATCH(_xlpm.mx,_xlpm.validNums,0))&amp;" (+"&amp;$R516&amp;")")))</f>
        <v/>
      </c>
      <c r="F516" s="11" t="str">
        <f t="shared" si="35"/>
        <v/>
      </c>
      <c r="G516" s="12" t="str">
        <f ca="1">IF($A516="","",IFERROR(SUMIF(INDIRECT("'"&amp;'Template Setup'!$C$4&amp;"'!C:C"),$A516,INDIRECT("'"&amp;'Template Setup'!$C$4&amp;"'!A:A")),0))</f>
        <v/>
      </c>
      <c r="H516" s="12" t="str">
        <f ca="1">IF($A516="","",IFERROR(SUMIF(INDIRECT("'"&amp;'Template Setup'!$C$5&amp;"'!C:C"),$A516,INDIRECT("'"&amp;'Template Setup'!$C$5&amp;"'!A:A")),0))</f>
        <v/>
      </c>
      <c r="I516" s="12" t="str">
        <f ca="1">IF($A516="","",IFERROR(SUMIF(INDIRECT("'"&amp;'Template Setup'!$C$6&amp;"'!C:C"),$A516,INDIRECT("'"&amp;'Template Setup'!$C$6&amp;"'!A:A")),0))</f>
        <v/>
      </c>
      <c r="J516" s="12" t="str">
        <f ca="1">IF($A516="","",IFERROR(SUMIF(INDIRECT("'"&amp;'Template Setup'!$C$7&amp;"'!C:C"),$A516,INDIRECT("'"&amp;'Template Setup'!$C$7&amp;"'!A:A")),0))</f>
        <v/>
      </c>
      <c r="K516" s="12" t="str">
        <f ca="1">IF($A516="","",IFERROR(SUMIF(INDIRECT("'"&amp;'Template Setup'!$C$8&amp;"'!C:C"),$A516,INDIRECT("'"&amp;'Template Setup'!$C$8&amp;"'!A:A")),0))</f>
        <v/>
      </c>
      <c r="L516" s="11" t="str">
        <f>IF($A516="","",IFERROR(VALUE(MID(TRIM('Template Setup'!$C$4),FIND("-",TRIM('Template Setup'!$C$4))+1,10)),0))</f>
        <v/>
      </c>
      <c r="M516" s="11" t="str">
        <f>IF($A516="","",IFERROR(VALUE(MID(TRIM('Template Setup'!$C$5),FIND("-",TRIM('Template Setup'!$C$5))+1,10)),0))</f>
        <v/>
      </c>
      <c r="N516" s="11" t="str">
        <f>IF($A516="","",IFERROR(VALUE(MID(TRIM('Template Setup'!$C$6),FIND("-",TRIM('Template Setup'!$C$6))+1,10)),0))</f>
        <v/>
      </c>
      <c r="O516" s="11" t="str">
        <f>IF($A516="","",IFERROR(VALUE(MID(TRIM('Template Setup'!$C$7),FIND("-",TRIM('Template Setup'!$C$7))+1,10)),0))</f>
        <v/>
      </c>
      <c r="P516" s="11" t="str">
        <f>IF($A516="","",IFERROR(VALUE(MID(TRIM('Template Setup'!$C$8),FIND("-",TRIM('Template Setup'!$C$8))+1,10)),0))</f>
        <v/>
      </c>
      <c r="Q516" s="9" t="str">
        <f>IF($A516="","",$A516&amp;"-"&amp;'Template Setup'!$C$16)</f>
        <v/>
      </c>
      <c r="R516" s="24" t="str">
        <f t="shared" si="33"/>
        <v/>
      </c>
      <c r="S516" s="24"/>
      <c r="T516" s="24" t="str">
        <f t="shared" si="34"/>
        <v/>
      </c>
      <c r="U516" s="6" t="str">
        <f t="shared" si="32"/>
        <v/>
      </c>
    </row>
    <row r="517" spans="1:21">
      <c r="A517" s="11"/>
      <c r="B517" s="11"/>
      <c r="C517" s="11"/>
      <c r="D517" s="11" t="str">
        <f>IF($A517="","",_xlfn.TEXTJOIN(", ",TRUE,IF($G517&gt;0,'Template Setup'!$C$4,""),IF($H517&gt;0,'Template Setup'!$C$5,""),IF($I517&gt;0,'Template Setup'!$C$6,""),IF($J517&gt;0,'Template Setup'!$C$7,""),IF($K517&gt;0,'Template Setup'!$C$8,"")))</f>
        <v/>
      </c>
      <c r="E517" s="6" t="str" cm="1">
        <f t="array" ref="E517">IF($A517="","",_xlfn.LET(_xlpm.sheets,CHOOSE({1,2,3,4,5},'Template Setup'!$C$4,'Template Setup'!$C$5,'Template Setup'!$C$6,'Template Setup'!$C$7,'Template Setup'!$C$8),_xlpm.nums,CHOOSE({1,2,3,4,5},$L517,$M517,$N517,$O517,$P517),_xlpm.qtys,CHOOSE({1,2,3,4,5},$G517,$H517,$I517,$J517,$K517),_xlpm.validNums,_xlfn._xlws.FILTER(_xlpm.nums,_xlpm.qtys&gt;0),_xlpm.validSheets,_xlfn._xlws.FILTER(_xlpm.sheets,_xlpm.qtys&gt;0),_xlpm.mx,IFERROR(MAX(_xlpm.validNums),0),IF(_xlpm.mx=0,"",INDEX(_xlpm.validSheets,MATCH(_xlpm.mx,_xlpm.validNums,0))&amp;" (+"&amp;$R517&amp;")")))</f>
        <v/>
      </c>
      <c r="F517" s="11" t="str">
        <f t="shared" si="35"/>
        <v/>
      </c>
      <c r="G517" s="12" t="str">
        <f ca="1">IF($A517="","",IFERROR(SUMIF(INDIRECT("'"&amp;'Template Setup'!$C$4&amp;"'!C:C"),$A517,INDIRECT("'"&amp;'Template Setup'!$C$4&amp;"'!A:A")),0))</f>
        <v/>
      </c>
      <c r="H517" s="12" t="str">
        <f ca="1">IF($A517="","",IFERROR(SUMIF(INDIRECT("'"&amp;'Template Setup'!$C$5&amp;"'!C:C"),$A517,INDIRECT("'"&amp;'Template Setup'!$C$5&amp;"'!A:A")),0))</f>
        <v/>
      </c>
      <c r="I517" s="12" t="str">
        <f ca="1">IF($A517="","",IFERROR(SUMIF(INDIRECT("'"&amp;'Template Setup'!$C$6&amp;"'!C:C"),$A517,INDIRECT("'"&amp;'Template Setup'!$C$6&amp;"'!A:A")),0))</f>
        <v/>
      </c>
      <c r="J517" s="12" t="str">
        <f ca="1">IF($A517="","",IFERROR(SUMIF(INDIRECT("'"&amp;'Template Setup'!$C$7&amp;"'!C:C"),$A517,INDIRECT("'"&amp;'Template Setup'!$C$7&amp;"'!A:A")),0))</f>
        <v/>
      </c>
      <c r="K517" s="12" t="str">
        <f ca="1">IF($A517="","",IFERROR(SUMIF(INDIRECT("'"&amp;'Template Setup'!$C$8&amp;"'!C:C"),$A517,INDIRECT("'"&amp;'Template Setup'!$C$8&amp;"'!A:A")),0))</f>
        <v/>
      </c>
      <c r="L517" s="11" t="str">
        <f>IF($A517="","",IFERROR(VALUE(MID(TRIM('Template Setup'!$C$4),FIND("-",TRIM('Template Setup'!$C$4))+1,10)),0))</f>
        <v/>
      </c>
      <c r="M517" s="11" t="str">
        <f>IF($A517="","",IFERROR(VALUE(MID(TRIM('Template Setup'!$C$5),FIND("-",TRIM('Template Setup'!$C$5))+1,10)),0))</f>
        <v/>
      </c>
      <c r="N517" s="11" t="str">
        <f>IF($A517="","",IFERROR(VALUE(MID(TRIM('Template Setup'!$C$6),FIND("-",TRIM('Template Setup'!$C$6))+1,10)),0))</f>
        <v/>
      </c>
      <c r="O517" s="11" t="str">
        <f>IF($A517="","",IFERROR(VALUE(MID(TRIM('Template Setup'!$C$7),FIND("-",TRIM('Template Setup'!$C$7))+1,10)),0))</f>
        <v/>
      </c>
      <c r="P517" s="11" t="str">
        <f>IF($A517="","",IFERROR(VALUE(MID(TRIM('Template Setup'!$C$8),FIND("-",TRIM('Template Setup'!$C$8))+1,10)),0))</f>
        <v/>
      </c>
      <c r="Q517" s="9" t="str">
        <f>IF($A517="","",$A517&amp;"-"&amp;'Template Setup'!$C$16)</f>
        <v/>
      </c>
      <c r="R517" s="24" t="str">
        <f t="shared" si="33"/>
        <v/>
      </c>
      <c r="S517" s="24"/>
      <c r="T517" s="24" t="str">
        <f t="shared" si="34"/>
        <v/>
      </c>
      <c r="U517" s="6" t="str">
        <f t="shared" si="32"/>
        <v/>
      </c>
    </row>
    <row r="518" spans="1:21">
      <c r="A518" s="11"/>
      <c r="B518" s="11"/>
      <c r="C518" s="11"/>
      <c r="D518" s="11" t="str">
        <f>IF($A518="","",_xlfn.TEXTJOIN(", ",TRUE,IF($G518&gt;0,'Template Setup'!$C$4,""),IF($H518&gt;0,'Template Setup'!$C$5,""),IF($I518&gt;0,'Template Setup'!$C$6,""),IF($J518&gt;0,'Template Setup'!$C$7,""),IF($K518&gt;0,'Template Setup'!$C$8,"")))</f>
        <v/>
      </c>
      <c r="E518" s="6" t="str" cm="1">
        <f t="array" ref="E518">IF($A518="","",_xlfn.LET(_xlpm.sheets,CHOOSE({1,2,3,4,5},'Template Setup'!$C$4,'Template Setup'!$C$5,'Template Setup'!$C$6,'Template Setup'!$C$7,'Template Setup'!$C$8),_xlpm.nums,CHOOSE({1,2,3,4,5},$L518,$M518,$N518,$O518,$P518),_xlpm.qtys,CHOOSE({1,2,3,4,5},$G518,$H518,$I518,$J518,$K518),_xlpm.validNums,_xlfn._xlws.FILTER(_xlpm.nums,_xlpm.qtys&gt;0),_xlpm.validSheets,_xlfn._xlws.FILTER(_xlpm.sheets,_xlpm.qtys&gt;0),_xlpm.mx,IFERROR(MAX(_xlpm.validNums),0),IF(_xlpm.mx=0,"",INDEX(_xlpm.validSheets,MATCH(_xlpm.mx,_xlpm.validNums,0))&amp;" (+"&amp;$R518&amp;")")))</f>
        <v/>
      </c>
      <c r="F518" s="11" t="str">
        <f t="shared" si="35"/>
        <v/>
      </c>
      <c r="G518" s="12" t="str">
        <f ca="1">IF($A518="","",IFERROR(SUMIF(INDIRECT("'"&amp;'Template Setup'!$C$4&amp;"'!C:C"),$A518,INDIRECT("'"&amp;'Template Setup'!$C$4&amp;"'!A:A")),0))</f>
        <v/>
      </c>
      <c r="H518" s="12" t="str">
        <f ca="1">IF($A518="","",IFERROR(SUMIF(INDIRECT("'"&amp;'Template Setup'!$C$5&amp;"'!C:C"),$A518,INDIRECT("'"&amp;'Template Setup'!$C$5&amp;"'!A:A")),0))</f>
        <v/>
      </c>
      <c r="I518" s="12" t="str">
        <f ca="1">IF($A518="","",IFERROR(SUMIF(INDIRECT("'"&amp;'Template Setup'!$C$6&amp;"'!C:C"),$A518,INDIRECT("'"&amp;'Template Setup'!$C$6&amp;"'!A:A")),0))</f>
        <v/>
      </c>
      <c r="J518" s="12" t="str">
        <f ca="1">IF($A518="","",IFERROR(SUMIF(INDIRECT("'"&amp;'Template Setup'!$C$7&amp;"'!C:C"),$A518,INDIRECT("'"&amp;'Template Setup'!$C$7&amp;"'!A:A")),0))</f>
        <v/>
      </c>
      <c r="K518" s="12" t="str">
        <f ca="1">IF($A518="","",IFERROR(SUMIF(INDIRECT("'"&amp;'Template Setup'!$C$8&amp;"'!C:C"),$A518,INDIRECT("'"&amp;'Template Setup'!$C$8&amp;"'!A:A")),0))</f>
        <v/>
      </c>
      <c r="L518" s="11" t="str">
        <f>IF($A518="","",IFERROR(VALUE(MID(TRIM('Template Setup'!$C$4),FIND("-",TRIM('Template Setup'!$C$4))+1,10)),0))</f>
        <v/>
      </c>
      <c r="M518" s="11" t="str">
        <f>IF($A518="","",IFERROR(VALUE(MID(TRIM('Template Setup'!$C$5),FIND("-",TRIM('Template Setup'!$C$5))+1,10)),0))</f>
        <v/>
      </c>
      <c r="N518" s="11" t="str">
        <f>IF($A518="","",IFERROR(VALUE(MID(TRIM('Template Setup'!$C$6),FIND("-",TRIM('Template Setup'!$C$6))+1,10)),0))</f>
        <v/>
      </c>
      <c r="O518" s="11" t="str">
        <f>IF($A518="","",IFERROR(VALUE(MID(TRIM('Template Setup'!$C$7),FIND("-",TRIM('Template Setup'!$C$7))+1,10)),0))</f>
        <v/>
      </c>
      <c r="P518" s="11" t="str">
        <f>IF($A518="","",IFERROR(VALUE(MID(TRIM('Template Setup'!$C$8),FIND("-",TRIM('Template Setup'!$C$8))+1,10)),0))</f>
        <v/>
      </c>
      <c r="Q518" s="9" t="str">
        <f>IF($A518="","",$A518&amp;"-"&amp;'Template Setup'!$C$16)</f>
        <v/>
      </c>
      <c r="R518" s="24" t="str">
        <f t="shared" si="33"/>
        <v/>
      </c>
      <c r="S518" s="24"/>
      <c r="T518" s="24" t="str">
        <f t="shared" si="34"/>
        <v/>
      </c>
      <c r="U518" s="6" t="str">
        <f t="shared" si="32"/>
        <v/>
      </c>
    </row>
    <row r="519" spans="1:21">
      <c r="A519" s="11"/>
      <c r="B519" s="11"/>
      <c r="C519" s="11"/>
      <c r="D519" s="11" t="str">
        <f>IF($A519="","",_xlfn.TEXTJOIN(", ",TRUE,IF($G519&gt;0,'Template Setup'!$C$4,""),IF($H519&gt;0,'Template Setup'!$C$5,""),IF($I519&gt;0,'Template Setup'!$C$6,""),IF($J519&gt;0,'Template Setup'!$C$7,""),IF($K519&gt;0,'Template Setup'!$C$8,"")))</f>
        <v/>
      </c>
      <c r="E519" s="6" t="str" cm="1">
        <f t="array" ref="E519">IF($A519="","",_xlfn.LET(_xlpm.sheets,CHOOSE({1,2,3,4,5},'Template Setup'!$C$4,'Template Setup'!$C$5,'Template Setup'!$C$6,'Template Setup'!$C$7,'Template Setup'!$C$8),_xlpm.nums,CHOOSE({1,2,3,4,5},$L519,$M519,$N519,$O519,$P519),_xlpm.qtys,CHOOSE({1,2,3,4,5},$G519,$H519,$I519,$J519,$K519),_xlpm.validNums,_xlfn._xlws.FILTER(_xlpm.nums,_xlpm.qtys&gt;0),_xlpm.validSheets,_xlfn._xlws.FILTER(_xlpm.sheets,_xlpm.qtys&gt;0),_xlpm.mx,IFERROR(MAX(_xlpm.validNums),0),IF(_xlpm.mx=0,"",INDEX(_xlpm.validSheets,MATCH(_xlpm.mx,_xlpm.validNums,0))&amp;" (+"&amp;$R519&amp;")")))</f>
        <v/>
      </c>
      <c r="F519" s="11" t="str">
        <f t="shared" si="35"/>
        <v/>
      </c>
      <c r="G519" s="12" t="str">
        <f ca="1">IF($A519="","",IFERROR(SUMIF(INDIRECT("'"&amp;'Template Setup'!$C$4&amp;"'!C:C"),$A519,INDIRECT("'"&amp;'Template Setup'!$C$4&amp;"'!A:A")),0))</f>
        <v/>
      </c>
      <c r="H519" s="12" t="str">
        <f ca="1">IF($A519="","",IFERROR(SUMIF(INDIRECT("'"&amp;'Template Setup'!$C$5&amp;"'!C:C"),$A519,INDIRECT("'"&amp;'Template Setup'!$C$5&amp;"'!A:A")),0))</f>
        <v/>
      </c>
      <c r="I519" s="12" t="str">
        <f ca="1">IF($A519="","",IFERROR(SUMIF(INDIRECT("'"&amp;'Template Setup'!$C$6&amp;"'!C:C"),$A519,INDIRECT("'"&amp;'Template Setup'!$C$6&amp;"'!A:A")),0))</f>
        <v/>
      </c>
      <c r="J519" s="12" t="str">
        <f ca="1">IF($A519="","",IFERROR(SUMIF(INDIRECT("'"&amp;'Template Setup'!$C$7&amp;"'!C:C"),$A519,INDIRECT("'"&amp;'Template Setup'!$C$7&amp;"'!A:A")),0))</f>
        <v/>
      </c>
      <c r="K519" s="12" t="str">
        <f ca="1">IF($A519="","",IFERROR(SUMIF(INDIRECT("'"&amp;'Template Setup'!$C$8&amp;"'!C:C"),$A519,INDIRECT("'"&amp;'Template Setup'!$C$8&amp;"'!A:A")),0))</f>
        <v/>
      </c>
      <c r="L519" s="11" t="str">
        <f>IF($A519="","",IFERROR(VALUE(MID(TRIM('Template Setup'!$C$4),FIND("-",TRIM('Template Setup'!$C$4))+1,10)),0))</f>
        <v/>
      </c>
      <c r="M519" s="11" t="str">
        <f>IF($A519="","",IFERROR(VALUE(MID(TRIM('Template Setup'!$C$5),FIND("-",TRIM('Template Setup'!$C$5))+1,10)),0))</f>
        <v/>
      </c>
      <c r="N519" s="11" t="str">
        <f>IF($A519="","",IFERROR(VALUE(MID(TRIM('Template Setup'!$C$6),FIND("-",TRIM('Template Setup'!$C$6))+1,10)),0))</f>
        <v/>
      </c>
      <c r="O519" s="11" t="str">
        <f>IF($A519="","",IFERROR(VALUE(MID(TRIM('Template Setup'!$C$7),FIND("-",TRIM('Template Setup'!$C$7))+1,10)),0))</f>
        <v/>
      </c>
      <c r="P519" s="11" t="str">
        <f>IF($A519="","",IFERROR(VALUE(MID(TRIM('Template Setup'!$C$8),FIND("-",TRIM('Template Setup'!$C$8))+1,10)),0))</f>
        <v/>
      </c>
      <c r="Q519" s="9" t="str">
        <f>IF($A519="","",$A519&amp;"-"&amp;'Template Setup'!$C$16)</f>
        <v/>
      </c>
      <c r="R519" s="24" t="str">
        <f t="shared" si="33"/>
        <v/>
      </c>
      <c r="S519" s="24"/>
      <c r="T519" s="24" t="str">
        <f t="shared" si="34"/>
        <v/>
      </c>
      <c r="U519" s="6" t="str">
        <f t="shared" si="32"/>
        <v/>
      </c>
    </row>
    <row r="520" spans="1:21">
      <c r="A520" s="11"/>
      <c r="B520" s="11"/>
      <c r="C520" s="11"/>
      <c r="D520" s="11" t="str">
        <f>IF($A520="","",_xlfn.TEXTJOIN(", ",TRUE,IF($G520&gt;0,'Template Setup'!$C$4,""),IF($H520&gt;0,'Template Setup'!$C$5,""),IF($I520&gt;0,'Template Setup'!$C$6,""),IF($J520&gt;0,'Template Setup'!$C$7,""),IF($K520&gt;0,'Template Setup'!$C$8,"")))</f>
        <v/>
      </c>
      <c r="E520" s="6" t="str" cm="1">
        <f t="array" ref="E520">IF($A520="","",_xlfn.LET(_xlpm.sheets,CHOOSE({1,2,3,4,5},'Template Setup'!$C$4,'Template Setup'!$C$5,'Template Setup'!$C$6,'Template Setup'!$C$7,'Template Setup'!$C$8),_xlpm.nums,CHOOSE({1,2,3,4,5},$L520,$M520,$N520,$O520,$P520),_xlpm.qtys,CHOOSE({1,2,3,4,5},$G520,$H520,$I520,$J520,$K520),_xlpm.validNums,_xlfn._xlws.FILTER(_xlpm.nums,_xlpm.qtys&gt;0),_xlpm.validSheets,_xlfn._xlws.FILTER(_xlpm.sheets,_xlpm.qtys&gt;0),_xlpm.mx,IFERROR(MAX(_xlpm.validNums),0),IF(_xlpm.mx=0,"",INDEX(_xlpm.validSheets,MATCH(_xlpm.mx,_xlpm.validNums,0))&amp;" (+"&amp;$R520&amp;")")))</f>
        <v/>
      </c>
      <c r="F520" s="11" t="str">
        <f t="shared" si="35"/>
        <v/>
      </c>
      <c r="G520" s="12" t="str">
        <f ca="1">IF($A520="","",IFERROR(SUMIF(INDIRECT("'"&amp;'Template Setup'!$C$4&amp;"'!C:C"),$A520,INDIRECT("'"&amp;'Template Setup'!$C$4&amp;"'!A:A")),0))</f>
        <v/>
      </c>
      <c r="H520" s="12" t="str">
        <f ca="1">IF($A520="","",IFERROR(SUMIF(INDIRECT("'"&amp;'Template Setup'!$C$5&amp;"'!C:C"),$A520,INDIRECT("'"&amp;'Template Setup'!$C$5&amp;"'!A:A")),0))</f>
        <v/>
      </c>
      <c r="I520" s="12" t="str">
        <f ca="1">IF($A520="","",IFERROR(SUMIF(INDIRECT("'"&amp;'Template Setup'!$C$6&amp;"'!C:C"),$A520,INDIRECT("'"&amp;'Template Setup'!$C$6&amp;"'!A:A")),0))</f>
        <v/>
      </c>
      <c r="J520" s="12" t="str">
        <f ca="1">IF($A520="","",IFERROR(SUMIF(INDIRECT("'"&amp;'Template Setup'!$C$7&amp;"'!C:C"),$A520,INDIRECT("'"&amp;'Template Setup'!$C$7&amp;"'!A:A")),0))</f>
        <v/>
      </c>
      <c r="K520" s="12" t="str">
        <f ca="1">IF($A520="","",IFERROR(SUMIF(INDIRECT("'"&amp;'Template Setup'!$C$8&amp;"'!C:C"),$A520,INDIRECT("'"&amp;'Template Setup'!$C$8&amp;"'!A:A")),0))</f>
        <v/>
      </c>
      <c r="L520" s="11" t="str">
        <f>IF($A520="","",IFERROR(VALUE(MID(TRIM('Template Setup'!$C$4),FIND("-",TRIM('Template Setup'!$C$4))+1,10)),0))</f>
        <v/>
      </c>
      <c r="M520" s="11" t="str">
        <f>IF($A520="","",IFERROR(VALUE(MID(TRIM('Template Setup'!$C$5),FIND("-",TRIM('Template Setup'!$C$5))+1,10)),0))</f>
        <v/>
      </c>
      <c r="N520" s="11" t="str">
        <f>IF($A520="","",IFERROR(VALUE(MID(TRIM('Template Setup'!$C$6),FIND("-",TRIM('Template Setup'!$C$6))+1,10)),0))</f>
        <v/>
      </c>
      <c r="O520" s="11" t="str">
        <f>IF($A520="","",IFERROR(VALUE(MID(TRIM('Template Setup'!$C$7),FIND("-",TRIM('Template Setup'!$C$7))+1,10)),0))</f>
        <v/>
      </c>
      <c r="P520" s="11" t="str">
        <f>IF($A520="","",IFERROR(VALUE(MID(TRIM('Template Setup'!$C$8),FIND("-",TRIM('Template Setup'!$C$8))+1,10)),0))</f>
        <v/>
      </c>
      <c r="Q520" s="9" t="str">
        <f>IF($A520="","",$A520&amp;"-"&amp;'Template Setup'!$C$16)</f>
        <v/>
      </c>
      <c r="R520" s="24" t="str">
        <f t="shared" si="33"/>
        <v/>
      </c>
      <c r="S520" s="24"/>
      <c r="T520" s="24" t="str">
        <f t="shared" si="34"/>
        <v/>
      </c>
      <c r="U520" s="6" t="str">
        <f t="shared" si="32"/>
        <v/>
      </c>
    </row>
    <row r="521" spans="1:21">
      <c r="A521" s="11"/>
      <c r="B521" s="11"/>
      <c r="C521" s="11"/>
      <c r="D521" s="11" t="str">
        <f>IF($A521="","",_xlfn.TEXTJOIN(", ",TRUE,IF($G521&gt;0,'Template Setup'!$C$4,""),IF($H521&gt;0,'Template Setup'!$C$5,""),IF($I521&gt;0,'Template Setup'!$C$6,""),IF($J521&gt;0,'Template Setup'!$C$7,""),IF($K521&gt;0,'Template Setup'!$C$8,"")))</f>
        <v/>
      </c>
      <c r="E521" s="6" t="str" cm="1">
        <f t="array" ref="E521">IF($A521="","",_xlfn.LET(_xlpm.sheets,CHOOSE({1,2,3,4,5},'Template Setup'!$C$4,'Template Setup'!$C$5,'Template Setup'!$C$6,'Template Setup'!$C$7,'Template Setup'!$C$8),_xlpm.nums,CHOOSE({1,2,3,4,5},$L521,$M521,$N521,$O521,$P521),_xlpm.qtys,CHOOSE({1,2,3,4,5},$G521,$H521,$I521,$J521,$K521),_xlpm.validNums,_xlfn._xlws.FILTER(_xlpm.nums,_xlpm.qtys&gt;0),_xlpm.validSheets,_xlfn._xlws.FILTER(_xlpm.sheets,_xlpm.qtys&gt;0),_xlpm.mx,IFERROR(MAX(_xlpm.validNums),0),IF(_xlpm.mx=0,"",INDEX(_xlpm.validSheets,MATCH(_xlpm.mx,_xlpm.validNums,0))&amp;" (+"&amp;$R521&amp;")")))</f>
        <v/>
      </c>
      <c r="F521" s="11" t="str">
        <f t="shared" si="35"/>
        <v/>
      </c>
      <c r="G521" s="12" t="str">
        <f ca="1">IF($A521="","",IFERROR(SUMIF(INDIRECT("'"&amp;'Template Setup'!$C$4&amp;"'!C:C"),$A521,INDIRECT("'"&amp;'Template Setup'!$C$4&amp;"'!A:A")),0))</f>
        <v/>
      </c>
      <c r="H521" s="12" t="str">
        <f ca="1">IF($A521="","",IFERROR(SUMIF(INDIRECT("'"&amp;'Template Setup'!$C$5&amp;"'!C:C"),$A521,INDIRECT("'"&amp;'Template Setup'!$C$5&amp;"'!A:A")),0))</f>
        <v/>
      </c>
      <c r="I521" s="12" t="str">
        <f ca="1">IF($A521="","",IFERROR(SUMIF(INDIRECT("'"&amp;'Template Setup'!$C$6&amp;"'!C:C"),$A521,INDIRECT("'"&amp;'Template Setup'!$C$6&amp;"'!A:A")),0))</f>
        <v/>
      </c>
      <c r="J521" s="12" t="str">
        <f ca="1">IF($A521="","",IFERROR(SUMIF(INDIRECT("'"&amp;'Template Setup'!$C$7&amp;"'!C:C"),$A521,INDIRECT("'"&amp;'Template Setup'!$C$7&amp;"'!A:A")),0))</f>
        <v/>
      </c>
      <c r="K521" s="12" t="str">
        <f ca="1">IF($A521="","",IFERROR(SUMIF(INDIRECT("'"&amp;'Template Setup'!$C$8&amp;"'!C:C"),$A521,INDIRECT("'"&amp;'Template Setup'!$C$8&amp;"'!A:A")),0))</f>
        <v/>
      </c>
      <c r="L521" s="11" t="str">
        <f>IF($A521="","",IFERROR(VALUE(MID(TRIM('Template Setup'!$C$4),FIND("-",TRIM('Template Setup'!$C$4))+1,10)),0))</f>
        <v/>
      </c>
      <c r="M521" s="11" t="str">
        <f>IF($A521="","",IFERROR(VALUE(MID(TRIM('Template Setup'!$C$5),FIND("-",TRIM('Template Setup'!$C$5))+1,10)),0))</f>
        <v/>
      </c>
      <c r="N521" s="11" t="str">
        <f>IF($A521="","",IFERROR(VALUE(MID(TRIM('Template Setup'!$C$6),FIND("-",TRIM('Template Setup'!$C$6))+1,10)),0))</f>
        <v/>
      </c>
      <c r="O521" s="11" t="str">
        <f>IF($A521="","",IFERROR(VALUE(MID(TRIM('Template Setup'!$C$7),FIND("-",TRIM('Template Setup'!$C$7))+1,10)),0))</f>
        <v/>
      </c>
      <c r="P521" s="11" t="str">
        <f>IF($A521="","",IFERROR(VALUE(MID(TRIM('Template Setup'!$C$8),FIND("-",TRIM('Template Setup'!$C$8))+1,10)),0))</f>
        <v/>
      </c>
      <c r="Q521" s="9" t="str">
        <f>IF($A521="","",$A521&amp;"-"&amp;'Template Setup'!$C$16)</f>
        <v/>
      </c>
      <c r="R521" s="24" t="str">
        <f t="shared" si="33"/>
        <v/>
      </c>
      <c r="S521" s="24"/>
      <c r="T521" s="24" t="str">
        <f t="shared" si="34"/>
        <v/>
      </c>
      <c r="U521" s="6" t="str">
        <f t="shared" si="32"/>
        <v/>
      </c>
    </row>
    <row r="522" spans="1:21">
      <c r="A522" s="11"/>
      <c r="B522" s="11"/>
      <c r="C522" s="11"/>
      <c r="D522" s="11" t="str">
        <f>IF($A522="","",_xlfn.TEXTJOIN(", ",TRUE,IF($G522&gt;0,'Template Setup'!$C$4,""),IF($H522&gt;0,'Template Setup'!$C$5,""),IF($I522&gt;0,'Template Setup'!$C$6,""),IF($J522&gt;0,'Template Setup'!$C$7,""),IF($K522&gt;0,'Template Setup'!$C$8,"")))</f>
        <v/>
      </c>
      <c r="E522" s="6" t="str" cm="1">
        <f t="array" ref="E522">IF($A522="","",_xlfn.LET(_xlpm.sheets,CHOOSE({1,2,3,4,5},'Template Setup'!$C$4,'Template Setup'!$C$5,'Template Setup'!$C$6,'Template Setup'!$C$7,'Template Setup'!$C$8),_xlpm.nums,CHOOSE({1,2,3,4,5},$L522,$M522,$N522,$O522,$P522),_xlpm.qtys,CHOOSE({1,2,3,4,5},$G522,$H522,$I522,$J522,$K522),_xlpm.validNums,_xlfn._xlws.FILTER(_xlpm.nums,_xlpm.qtys&gt;0),_xlpm.validSheets,_xlfn._xlws.FILTER(_xlpm.sheets,_xlpm.qtys&gt;0),_xlpm.mx,IFERROR(MAX(_xlpm.validNums),0),IF(_xlpm.mx=0,"",INDEX(_xlpm.validSheets,MATCH(_xlpm.mx,_xlpm.validNums,0))&amp;" (+"&amp;$R522&amp;")")))</f>
        <v/>
      </c>
      <c r="F522" s="11" t="str">
        <f t="shared" si="35"/>
        <v/>
      </c>
      <c r="G522" s="12" t="str">
        <f ca="1">IF($A522="","",IFERROR(SUMIF(INDIRECT("'"&amp;'Template Setup'!$C$4&amp;"'!C:C"),$A522,INDIRECT("'"&amp;'Template Setup'!$C$4&amp;"'!A:A")),0))</f>
        <v/>
      </c>
      <c r="H522" s="12" t="str">
        <f ca="1">IF($A522="","",IFERROR(SUMIF(INDIRECT("'"&amp;'Template Setup'!$C$5&amp;"'!C:C"),$A522,INDIRECT("'"&amp;'Template Setup'!$C$5&amp;"'!A:A")),0))</f>
        <v/>
      </c>
      <c r="I522" s="12" t="str">
        <f ca="1">IF($A522="","",IFERROR(SUMIF(INDIRECT("'"&amp;'Template Setup'!$C$6&amp;"'!C:C"),$A522,INDIRECT("'"&amp;'Template Setup'!$C$6&amp;"'!A:A")),0))</f>
        <v/>
      </c>
      <c r="J522" s="12" t="str">
        <f ca="1">IF($A522="","",IFERROR(SUMIF(INDIRECT("'"&amp;'Template Setup'!$C$7&amp;"'!C:C"),$A522,INDIRECT("'"&amp;'Template Setup'!$C$7&amp;"'!A:A")),0))</f>
        <v/>
      </c>
      <c r="K522" s="12" t="str">
        <f ca="1">IF($A522="","",IFERROR(SUMIF(INDIRECT("'"&amp;'Template Setup'!$C$8&amp;"'!C:C"),$A522,INDIRECT("'"&amp;'Template Setup'!$C$8&amp;"'!A:A")),0))</f>
        <v/>
      </c>
      <c r="L522" s="11" t="str">
        <f>IF($A522="","",IFERROR(VALUE(MID(TRIM('Template Setup'!$C$4),FIND("-",TRIM('Template Setup'!$C$4))+1,10)),0))</f>
        <v/>
      </c>
      <c r="M522" s="11" t="str">
        <f>IF($A522="","",IFERROR(VALUE(MID(TRIM('Template Setup'!$C$5),FIND("-",TRIM('Template Setup'!$C$5))+1,10)),0))</f>
        <v/>
      </c>
      <c r="N522" s="11" t="str">
        <f>IF($A522="","",IFERROR(VALUE(MID(TRIM('Template Setup'!$C$6),FIND("-",TRIM('Template Setup'!$C$6))+1,10)),0))</f>
        <v/>
      </c>
      <c r="O522" s="11" t="str">
        <f>IF($A522="","",IFERROR(VALUE(MID(TRIM('Template Setup'!$C$7),FIND("-",TRIM('Template Setup'!$C$7))+1,10)),0))</f>
        <v/>
      </c>
      <c r="P522" s="11" t="str">
        <f>IF($A522="","",IFERROR(VALUE(MID(TRIM('Template Setup'!$C$8),FIND("-",TRIM('Template Setup'!$C$8))+1,10)),0))</f>
        <v/>
      </c>
      <c r="Q522" s="9" t="str">
        <f>IF($A522="","",$A522&amp;"-"&amp;'Template Setup'!$C$16)</f>
        <v/>
      </c>
      <c r="R522" s="24" t="str">
        <f t="shared" si="33"/>
        <v/>
      </c>
      <c r="S522" s="24"/>
      <c r="T522" s="24" t="str">
        <f t="shared" si="34"/>
        <v/>
      </c>
      <c r="U522" s="6" t="str">
        <f t="shared" si="32"/>
        <v/>
      </c>
    </row>
    <row r="523" spans="1:21">
      <c r="A523" s="11"/>
      <c r="B523" s="11"/>
      <c r="C523" s="11"/>
      <c r="D523" s="11" t="str">
        <f>IF($A523="","",_xlfn.TEXTJOIN(", ",TRUE,IF($G523&gt;0,'Template Setup'!$C$4,""),IF($H523&gt;0,'Template Setup'!$C$5,""),IF($I523&gt;0,'Template Setup'!$C$6,""),IF($J523&gt;0,'Template Setup'!$C$7,""),IF($K523&gt;0,'Template Setup'!$C$8,"")))</f>
        <v/>
      </c>
      <c r="E523" s="6" t="str" cm="1">
        <f t="array" ref="E523">IF($A523="","",_xlfn.LET(_xlpm.sheets,CHOOSE({1,2,3,4,5},'Template Setup'!$C$4,'Template Setup'!$C$5,'Template Setup'!$C$6,'Template Setup'!$C$7,'Template Setup'!$C$8),_xlpm.nums,CHOOSE({1,2,3,4,5},$L523,$M523,$N523,$O523,$P523),_xlpm.qtys,CHOOSE({1,2,3,4,5},$G523,$H523,$I523,$J523,$K523),_xlpm.validNums,_xlfn._xlws.FILTER(_xlpm.nums,_xlpm.qtys&gt;0),_xlpm.validSheets,_xlfn._xlws.FILTER(_xlpm.sheets,_xlpm.qtys&gt;0),_xlpm.mx,IFERROR(MAX(_xlpm.validNums),0),IF(_xlpm.mx=0,"",INDEX(_xlpm.validSheets,MATCH(_xlpm.mx,_xlpm.validNums,0))&amp;" (+"&amp;$R523&amp;")")))</f>
        <v/>
      </c>
      <c r="F523" s="11" t="str">
        <f t="shared" si="35"/>
        <v/>
      </c>
      <c r="G523" s="12" t="str">
        <f ca="1">IF($A523="","",IFERROR(SUMIF(INDIRECT("'"&amp;'Template Setup'!$C$4&amp;"'!C:C"),$A523,INDIRECT("'"&amp;'Template Setup'!$C$4&amp;"'!A:A")),0))</f>
        <v/>
      </c>
      <c r="H523" s="12" t="str">
        <f ca="1">IF($A523="","",IFERROR(SUMIF(INDIRECT("'"&amp;'Template Setup'!$C$5&amp;"'!C:C"),$A523,INDIRECT("'"&amp;'Template Setup'!$C$5&amp;"'!A:A")),0))</f>
        <v/>
      </c>
      <c r="I523" s="12" t="str">
        <f ca="1">IF($A523="","",IFERROR(SUMIF(INDIRECT("'"&amp;'Template Setup'!$C$6&amp;"'!C:C"),$A523,INDIRECT("'"&amp;'Template Setup'!$C$6&amp;"'!A:A")),0))</f>
        <v/>
      </c>
      <c r="J523" s="12" t="str">
        <f ca="1">IF($A523="","",IFERROR(SUMIF(INDIRECT("'"&amp;'Template Setup'!$C$7&amp;"'!C:C"),$A523,INDIRECT("'"&amp;'Template Setup'!$C$7&amp;"'!A:A")),0))</f>
        <v/>
      </c>
      <c r="K523" s="12" t="str">
        <f ca="1">IF($A523="","",IFERROR(SUMIF(INDIRECT("'"&amp;'Template Setup'!$C$8&amp;"'!C:C"),$A523,INDIRECT("'"&amp;'Template Setup'!$C$8&amp;"'!A:A")),0))</f>
        <v/>
      </c>
      <c r="L523" s="11" t="str">
        <f>IF($A523="","",IFERROR(VALUE(MID(TRIM('Template Setup'!$C$4),FIND("-",TRIM('Template Setup'!$C$4))+1,10)),0))</f>
        <v/>
      </c>
      <c r="M523" s="11" t="str">
        <f>IF($A523="","",IFERROR(VALUE(MID(TRIM('Template Setup'!$C$5),FIND("-",TRIM('Template Setup'!$C$5))+1,10)),0))</f>
        <v/>
      </c>
      <c r="N523" s="11" t="str">
        <f>IF($A523="","",IFERROR(VALUE(MID(TRIM('Template Setup'!$C$6),FIND("-",TRIM('Template Setup'!$C$6))+1,10)),0))</f>
        <v/>
      </c>
      <c r="O523" s="11" t="str">
        <f>IF($A523="","",IFERROR(VALUE(MID(TRIM('Template Setup'!$C$7),FIND("-",TRIM('Template Setup'!$C$7))+1,10)),0))</f>
        <v/>
      </c>
      <c r="P523" s="11" t="str">
        <f>IF($A523="","",IFERROR(VALUE(MID(TRIM('Template Setup'!$C$8),FIND("-",TRIM('Template Setup'!$C$8))+1,10)),0))</f>
        <v/>
      </c>
      <c r="Q523" s="9" t="str">
        <f>IF($A523="","",$A523&amp;"-"&amp;'Template Setup'!$C$16)</f>
        <v/>
      </c>
      <c r="R523" s="24" t="str">
        <f t="shared" si="33"/>
        <v/>
      </c>
      <c r="S523" s="24"/>
      <c r="T523" s="24" t="str">
        <f t="shared" si="34"/>
        <v/>
      </c>
      <c r="U523" s="6" t="str">
        <f t="shared" si="32"/>
        <v/>
      </c>
    </row>
    <row r="524" spans="1:21">
      <c r="A524" s="11"/>
      <c r="B524" s="11"/>
      <c r="C524" s="11"/>
      <c r="D524" s="11" t="str">
        <f>IF($A524="","",_xlfn.TEXTJOIN(", ",TRUE,IF($G524&gt;0,'Template Setup'!$C$4,""),IF($H524&gt;0,'Template Setup'!$C$5,""),IF($I524&gt;0,'Template Setup'!$C$6,""),IF($J524&gt;0,'Template Setup'!$C$7,""),IF($K524&gt;0,'Template Setup'!$C$8,"")))</f>
        <v/>
      </c>
      <c r="E524" s="6" t="str" cm="1">
        <f t="array" ref="E524">IF($A524="","",_xlfn.LET(_xlpm.sheets,CHOOSE({1,2,3,4,5},'Template Setup'!$C$4,'Template Setup'!$C$5,'Template Setup'!$C$6,'Template Setup'!$C$7,'Template Setup'!$C$8),_xlpm.nums,CHOOSE({1,2,3,4,5},$L524,$M524,$N524,$O524,$P524),_xlpm.qtys,CHOOSE({1,2,3,4,5},$G524,$H524,$I524,$J524,$K524),_xlpm.validNums,_xlfn._xlws.FILTER(_xlpm.nums,_xlpm.qtys&gt;0),_xlpm.validSheets,_xlfn._xlws.FILTER(_xlpm.sheets,_xlpm.qtys&gt;0),_xlpm.mx,IFERROR(MAX(_xlpm.validNums),0),IF(_xlpm.mx=0,"",INDEX(_xlpm.validSheets,MATCH(_xlpm.mx,_xlpm.validNums,0))&amp;" (+"&amp;$R524&amp;")")))</f>
        <v/>
      </c>
      <c r="F524" s="11" t="str">
        <f t="shared" si="35"/>
        <v/>
      </c>
      <c r="G524" s="12" t="str">
        <f ca="1">IF($A524="","",IFERROR(SUMIF(INDIRECT("'"&amp;'Template Setup'!$C$4&amp;"'!C:C"),$A524,INDIRECT("'"&amp;'Template Setup'!$C$4&amp;"'!A:A")),0))</f>
        <v/>
      </c>
      <c r="H524" s="12" t="str">
        <f ca="1">IF($A524="","",IFERROR(SUMIF(INDIRECT("'"&amp;'Template Setup'!$C$5&amp;"'!C:C"),$A524,INDIRECT("'"&amp;'Template Setup'!$C$5&amp;"'!A:A")),0))</f>
        <v/>
      </c>
      <c r="I524" s="12" t="str">
        <f ca="1">IF($A524="","",IFERROR(SUMIF(INDIRECT("'"&amp;'Template Setup'!$C$6&amp;"'!C:C"),$A524,INDIRECT("'"&amp;'Template Setup'!$C$6&amp;"'!A:A")),0))</f>
        <v/>
      </c>
      <c r="J524" s="12" t="str">
        <f ca="1">IF($A524="","",IFERROR(SUMIF(INDIRECT("'"&amp;'Template Setup'!$C$7&amp;"'!C:C"),$A524,INDIRECT("'"&amp;'Template Setup'!$C$7&amp;"'!A:A")),0))</f>
        <v/>
      </c>
      <c r="K524" s="12" t="str">
        <f ca="1">IF($A524="","",IFERROR(SUMIF(INDIRECT("'"&amp;'Template Setup'!$C$8&amp;"'!C:C"),$A524,INDIRECT("'"&amp;'Template Setup'!$C$8&amp;"'!A:A")),0))</f>
        <v/>
      </c>
      <c r="L524" s="11" t="str">
        <f>IF($A524="","",IFERROR(VALUE(MID(TRIM('Template Setup'!$C$4),FIND("-",TRIM('Template Setup'!$C$4))+1,10)),0))</f>
        <v/>
      </c>
      <c r="M524" s="11" t="str">
        <f>IF($A524="","",IFERROR(VALUE(MID(TRIM('Template Setup'!$C$5),FIND("-",TRIM('Template Setup'!$C$5))+1,10)),0))</f>
        <v/>
      </c>
      <c r="N524" s="11" t="str">
        <f>IF($A524="","",IFERROR(VALUE(MID(TRIM('Template Setup'!$C$6),FIND("-",TRIM('Template Setup'!$C$6))+1,10)),0))</f>
        <v/>
      </c>
      <c r="O524" s="11" t="str">
        <f>IF($A524="","",IFERROR(VALUE(MID(TRIM('Template Setup'!$C$7),FIND("-",TRIM('Template Setup'!$C$7))+1,10)),0))</f>
        <v/>
      </c>
      <c r="P524" s="11" t="str">
        <f>IF($A524="","",IFERROR(VALUE(MID(TRIM('Template Setup'!$C$8),FIND("-",TRIM('Template Setup'!$C$8))+1,10)),0))</f>
        <v/>
      </c>
      <c r="Q524" s="9" t="str">
        <f>IF($A524="","",$A524&amp;"-"&amp;'Template Setup'!$C$16)</f>
        <v/>
      </c>
      <c r="R524" s="24" t="str">
        <f t="shared" si="33"/>
        <v/>
      </c>
      <c r="S524" s="24"/>
      <c r="T524" s="24" t="str">
        <f t="shared" si="34"/>
        <v/>
      </c>
      <c r="U524" s="6" t="str">
        <f t="shared" si="32"/>
        <v/>
      </c>
    </row>
    <row r="525" spans="1:21">
      <c r="A525" s="11"/>
      <c r="B525" s="11"/>
      <c r="C525" s="11"/>
      <c r="D525" s="11" t="str">
        <f>IF($A525="","",_xlfn.TEXTJOIN(", ",TRUE,IF($G525&gt;0,'Template Setup'!$C$4,""),IF($H525&gt;0,'Template Setup'!$C$5,""),IF($I525&gt;0,'Template Setup'!$C$6,""),IF($J525&gt;0,'Template Setup'!$C$7,""),IF($K525&gt;0,'Template Setup'!$C$8,"")))</f>
        <v/>
      </c>
      <c r="E525" s="6" t="str" cm="1">
        <f t="array" ref="E525">IF($A525="","",_xlfn.LET(_xlpm.sheets,CHOOSE({1,2,3,4,5},'Template Setup'!$C$4,'Template Setup'!$C$5,'Template Setup'!$C$6,'Template Setup'!$C$7,'Template Setup'!$C$8),_xlpm.nums,CHOOSE({1,2,3,4,5},$L525,$M525,$N525,$O525,$P525),_xlpm.qtys,CHOOSE({1,2,3,4,5},$G525,$H525,$I525,$J525,$K525),_xlpm.validNums,_xlfn._xlws.FILTER(_xlpm.nums,_xlpm.qtys&gt;0),_xlpm.validSheets,_xlfn._xlws.FILTER(_xlpm.sheets,_xlpm.qtys&gt;0),_xlpm.mx,IFERROR(MAX(_xlpm.validNums),0),IF(_xlpm.mx=0,"",INDEX(_xlpm.validSheets,MATCH(_xlpm.mx,_xlpm.validNums,0))&amp;" (+"&amp;$R525&amp;")")))</f>
        <v/>
      </c>
      <c r="F525" s="11" t="str">
        <f t="shared" si="35"/>
        <v/>
      </c>
      <c r="G525" s="12" t="str">
        <f ca="1">IF($A525="","",IFERROR(SUMIF(INDIRECT("'"&amp;'Template Setup'!$C$4&amp;"'!C:C"),$A525,INDIRECT("'"&amp;'Template Setup'!$C$4&amp;"'!A:A")),0))</f>
        <v/>
      </c>
      <c r="H525" s="12" t="str">
        <f ca="1">IF($A525="","",IFERROR(SUMIF(INDIRECT("'"&amp;'Template Setup'!$C$5&amp;"'!C:C"),$A525,INDIRECT("'"&amp;'Template Setup'!$C$5&amp;"'!A:A")),0))</f>
        <v/>
      </c>
      <c r="I525" s="12" t="str">
        <f ca="1">IF($A525="","",IFERROR(SUMIF(INDIRECT("'"&amp;'Template Setup'!$C$6&amp;"'!C:C"),$A525,INDIRECT("'"&amp;'Template Setup'!$C$6&amp;"'!A:A")),0))</f>
        <v/>
      </c>
      <c r="J525" s="12" t="str">
        <f ca="1">IF($A525="","",IFERROR(SUMIF(INDIRECT("'"&amp;'Template Setup'!$C$7&amp;"'!C:C"),$A525,INDIRECT("'"&amp;'Template Setup'!$C$7&amp;"'!A:A")),0))</f>
        <v/>
      </c>
      <c r="K525" s="12" t="str">
        <f ca="1">IF($A525="","",IFERROR(SUMIF(INDIRECT("'"&amp;'Template Setup'!$C$8&amp;"'!C:C"),$A525,INDIRECT("'"&amp;'Template Setup'!$C$8&amp;"'!A:A")),0))</f>
        <v/>
      </c>
      <c r="L525" s="11" t="str">
        <f>IF($A525="","",IFERROR(VALUE(MID(TRIM('Template Setup'!$C$4),FIND("-",TRIM('Template Setup'!$C$4))+1,10)),0))</f>
        <v/>
      </c>
      <c r="M525" s="11" t="str">
        <f>IF($A525="","",IFERROR(VALUE(MID(TRIM('Template Setup'!$C$5),FIND("-",TRIM('Template Setup'!$C$5))+1,10)),0))</f>
        <v/>
      </c>
      <c r="N525" s="11" t="str">
        <f>IF($A525="","",IFERROR(VALUE(MID(TRIM('Template Setup'!$C$6),FIND("-",TRIM('Template Setup'!$C$6))+1,10)),0))</f>
        <v/>
      </c>
      <c r="O525" s="11" t="str">
        <f>IF($A525="","",IFERROR(VALUE(MID(TRIM('Template Setup'!$C$7),FIND("-",TRIM('Template Setup'!$C$7))+1,10)),0))</f>
        <v/>
      </c>
      <c r="P525" s="11" t="str">
        <f>IF($A525="","",IFERROR(VALUE(MID(TRIM('Template Setup'!$C$8),FIND("-",TRIM('Template Setup'!$C$8))+1,10)),0))</f>
        <v/>
      </c>
      <c r="Q525" s="9" t="str">
        <f>IF($A525="","",$A525&amp;"-"&amp;'Template Setup'!$C$16)</f>
        <v/>
      </c>
      <c r="R525" s="24" t="str">
        <f t="shared" si="33"/>
        <v/>
      </c>
      <c r="S525" s="24"/>
      <c r="T525" s="24" t="str">
        <f t="shared" si="34"/>
        <v/>
      </c>
      <c r="U525" s="6" t="str">
        <f t="shared" si="32"/>
        <v/>
      </c>
    </row>
    <row r="526" spans="1:21">
      <c r="A526" s="11"/>
      <c r="B526" s="11"/>
      <c r="C526" s="11"/>
      <c r="D526" s="11" t="str">
        <f>IF($A526="","",_xlfn.TEXTJOIN(", ",TRUE,IF($G526&gt;0,'Template Setup'!$C$4,""),IF($H526&gt;0,'Template Setup'!$C$5,""),IF($I526&gt;0,'Template Setup'!$C$6,""),IF($J526&gt;0,'Template Setup'!$C$7,""),IF($K526&gt;0,'Template Setup'!$C$8,"")))</f>
        <v/>
      </c>
      <c r="E526" s="6" t="str" cm="1">
        <f t="array" ref="E526">IF($A526="","",_xlfn.LET(_xlpm.sheets,CHOOSE({1,2,3,4,5},'Template Setup'!$C$4,'Template Setup'!$C$5,'Template Setup'!$C$6,'Template Setup'!$C$7,'Template Setup'!$C$8),_xlpm.nums,CHOOSE({1,2,3,4,5},$L526,$M526,$N526,$O526,$P526),_xlpm.qtys,CHOOSE({1,2,3,4,5},$G526,$H526,$I526,$J526,$K526),_xlpm.validNums,_xlfn._xlws.FILTER(_xlpm.nums,_xlpm.qtys&gt;0),_xlpm.validSheets,_xlfn._xlws.FILTER(_xlpm.sheets,_xlpm.qtys&gt;0),_xlpm.mx,IFERROR(MAX(_xlpm.validNums),0),IF(_xlpm.mx=0,"",INDEX(_xlpm.validSheets,MATCH(_xlpm.mx,_xlpm.validNums,0))&amp;" (+"&amp;$R526&amp;")")))</f>
        <v/>
      </c>
      <c r="F526" s="11" t="str">
        <f t="shared" si="35"/>
        <v/>
      </c>
      <c r="G526" s="12" t="str">
        <f ca="1">IF($A526="","",IFERROR(SUMIF(INDIRECT("'"&amp;'Template Setup'!$C$4&amp;"'!C:C"),$A526,INDIRECT("'"&amp;'Template Setup'!$C$4&amp;"'!A:A")),0))</f>
        <v/>
      </c>
      <c r="H526" s="12" t="str">
        <f ca="1">IF($A526="","",IFERROR(SUMIF(INDIRECT("'"&amp;'Template Setup'!$C$5&amp;"'!C:C"),$A526,INDIRECT("'"&amp;'Template Setup'!$C$5&amp;"'!A:A")),0))</f>
        <v/>
      </c>
      <c r="I526" s="12" t="str">
        <f ca="1">IF($A526="","",IFERROR(SUMIF(INDIRECT("'"&amp;'Template Setup'!$C$6&amp;"'!C:C"),$A526,INDIRECT("'"&amp;'Template Setup'!$C$6&amp;"'!A:A")),0))</f>
        <v/>
      </c>
      <c r="J526" s="12" t="str">
        <f ca="1">IF($A526="","",IFERROR(SUMIF(INDIRECT("'"&amp;'Template Setup'!$C$7&amp;"'!C:C"),$A526,INDIRECT("'"&amp;'Template Setup'!$C$7&amp;"'!A:A")),0))</f>
        <v/>
      </c>
      <c r="K526" s="12" t="str">
        <f ca="1">IF($A526="","",IFERROR(SUMIF(INDIRECT("'"&amp;'Template Setup'!$C$8&amp;"'!C:C"),$A526,INDIRECT("'"&amp;'Template Setup'!$C$8&amp;"'!A:A")),0))</f>
        <v/>
      </c>
      <c r="L526" s="11" t="str">
        <f>IF($A526="","",IFERROR(VALUE(MID(TRIM('Template Setup'!$C$4),FIND("-",TRIM('Template Setup'!$C$4))+1,10)),0))</f>
        <v/>
      </c>
      <c r="M526" s="11" t="str">
        <f>IF($A526="","",IFERROR(VALUE(MID(TRIM('Template Setup'!$C$5),FIND("-",TRIM('Template Setup'!$C$5))+1,10)),0))</f>
        <v/>
      </c>
      <c r="N526" s="11" t="str">
        <f>IF($A526="","",IFERROR(VALUE(MID(TRIM('Template Setup'!$C$6),FIND("-",TRIM('Template Setup'!$C$6))+1,10)),0))</f>
        <v/>
      </c>
      <c r="O526" s="11" t="str">
        <f>IF($A526="","",IFERROR(VALUE(MID(TRIM('Template Setup'!$C$7),FIND("-",TRIM('Template Setup'!$C$7))+1,10)),0))</f>
        <v/>
      </c>
      <c r="P526" s="11" t="str">
        <f>IF($A526="","",IFERROR(VALUE(MID(TRIM('Template Setup'!$C$8),FIND("-",TRIM('Template Setup'!$C$8))+1,10)),0))</f>
        <v/>
      </c>
      <c r="Q526" s="9" t="str">
        <f>IF($A526="","",$A526&amp;"-"&amp;'Template Setup'!$C$16)</f>
        <v/>
      </c>
      <c r="R526" s="24" t="str">
        <f t="shared" si="33"/>
        <v/>
      </c>
      <c r="S526" s="24"/>
      <c r="T526" s="24" t="str">
        <f t="shared" si="34"/>
        <v/>
      </c>
      <c r="U526" s="6" t="str">
        <f t="shared" si="32"/>
        <v/>
      </c>
    </row>
    <row r="527" spans="1:21">
      <c r="A527" s="11"/>
      <c r="B527" s="11"/>
      <c r="C527" s="11"/>
      <c r="D527" s="11" t="str">
        <f>IF($A527="","",_xlfn.TEXTJOIN(", ",TRUE,IF($G527&gt;0,'Template Setup'!$C$4,""),IF($H527&gt;0,'Template Setup'!$C$5,""),IF($I527&gt;0,'Template Setup'!$C$6,""),IF($J527&gt;0,'Template Setup'!$C$7,""),IF($K527&gt;0,'Template Setup'!$C$8,"")))</f>
        <v/>
      </c>
      <c r="E527" s="6" t="str" cm="1">
        <f t="array" ref="E527">IF($A527="","",_xlfn.LET(_xlpm.sheets,CHOOSE({1,2,3,4,5},'Template Setup'!$C$4,'Template Setup'!$C$5,'Template Setup'!$C$6,'Template Setup'!$C$7,'Template Setup'!$C$8),_xlpm.nums,CHOOSE({1,2,3,4,5},$L527,$M527,$N527,$O527,$P527),_xlpm.qtys,CHOOSE({1,2,3,4,5},$G527,$H527,$I527,$J527,$K527),_xlpm.validNums,_xlfn._xlws.FILTER(_xlpm.nums,_xlpm.qtys&gt;0),_xlpm.validSheets,_xlfn._xlws.FILTER(_xlpm.sheets,_xlpm.qtys&gt;0),_xlpm.mx,IFERROR(MAX(_xlpm.validNums),0),IF(_xlpm.mx=0,"",INDEX(_xlpm.validSheets,MATCH(_xlpm.mx,_xlpm.validNums,0))&amp;" (+"&amp;$R527&amp;")")))</f>
        <v/>
      </c>
      <c r="F527" s="11" t="str">
        <f t="shared" si="35"/>
        <v/>
      </c>
      <c r="G527" s="12" t="str">
        <f ca="1">IF($A527="","",IFERROR(SUMIF(INDIRECT("'"&amp;'Template Setup'!$C$4&amp;"'!C:C"),$A527,INDIRECT("'"&amp;'Template Setup'!$C$4&amp;"'!A:A")),0))</f>
        <v/>
      </c>
      <c r="H527" s="12" t="str">
        <f ca="1">IF($A527="","",IFERROR(SUMIF(INDIRECT("'"&amp;'Template Setup'!$C$5&amp;"'!C:C"),$A527,INDIRECT("'"&amp;'Template Setup'!$C$5&amp;"'!A:A")),0))</f>
        <v/>
      </c>
      <c r="I527" s="12" t="str">
        <f ca="1">IF($A527="","",IFERROR(SUMIF(INDIRECT("'"&amp;'Template Setup'!$C$6&amp;"'!C:C"),$A527,INDIRECT("'"&amp;'Template Setup'!$C$6&amp;"'!A:A")),0))</f>
        <v/>
      </c>
      <c r="J527" s="12" t="str">
        <f ca="1">IF($A527="","",IFERROR(SUMIF(INDIRECT("'"&amp;'Template Setup'!$C$7&amp;"'!C:C"),$A527,INDIRECT("'"&amp;'Template Setup'!$C$7&amp;"'!A:A")),0))</f>
        <v/>
      </c>
      <c r="K527" s="12" t="str">
        <f ca="1">IF($A527="","",IFERROR(SUMIF(INDIRECT("'"&amp;'Template Setup'!$C$8&amp;"'!C:C"),$A527,INDIRECT("'"&amp;'Template Setup'!$C$8&amp;"'!A:A")),0))</f>
        <v/>
      </c>
      <c r="L527" s="11" t="str">
        <f>IF($A527="","",IFERROR(VALUE(MID(TRIM('Template Setup'!$C$4),FIND("-",TRIM('Template Setup'!$C$4))+1,10)),0))</f>
        <v/>
      </c>
      <c r="M527" s="11" t="str">
        <f>IF($A527="","",IFERROR(VALUE(MID(TRIM('Template Setup'!$C$5),FIND("-",TRIM('Template Setup'!$C$5))+1,10)),0))</f>
        <v/>
      </c>
      <c r="N527" s="11" t="str">
        <f>IF($A527="","",IFERROR(VALUE(MID(TRIM('Template Setup'!$C$6),FIND("-",TRIM('Template Setup'!$C$6))+1,10)),0))</f>
        <v/>
      </c>
      <c r="O527" s="11" t="str">
        <f>IF($A527="","",IFERROR(VALUE(MID(TRIM('Template Setup'!$C$7),FIND("-",TRIM('Template Setup'!$C$7))+1,10)),0))</f>
        <v/>
      </c>
      <c r="P527" s="11" t="str">
        <f>IF($A527="","",IFERROR(VALUE(MID(TRIM('Template Setup'!$C$8),FIND("-",TRIM('Template Setup'!$C$8))+1,10)),0))</f>
        <v/>
      </c>
      <c r="Q527" s="9" t="str">
        <f>IF($A527="","",$A527&amp;"-"&amp;'Template Setup'!$C$16)</f>
        <v/>
      </c>
      <c r="R527" s="24" t="str">
        <f t="shared" si="33"/>
        <v/>
      </c>
      <c r="S527" s="24"/>
      <c r="T527" s="24" t="str">
        <f t="shared" si="34"/>
        <v/>
      </c>
      <c r="U527" s="6" t="str">
        <f t="shared" si="32"/>
        <v/>
      </c>
    </row>
    <row r="528" spans="1:21">
      <c r="A528" s="11"/>
      <c r="B528" s="11"/>
      <c r="C528" s="11"/>
      <c r="D528" s="11" t="str">
        <f>IF($A528="","",_xlfn.TEXTJOIN(", ",TRUE,IF($G528&gt;0,'Template Setup'!$C$4,""),IF($H528&gt;0,'Template Setup'!$C$5,""),IF($I528&gt;0,'Template Setup'!$C$6,""),IF($J528&gt;0,'Template Setup'!$C$7,""),IF($K528&gt;0,'Template Setup'!$C$8,"")))</f>
        <v/>
      </c>
      <c r="E528" s="6" t="str" cm="1">
        <f t="array" ref="E528">IF($A528="","",_xlfn.LET(_xlpm.sheets,CHOOSE({1,2,3,4,5},'Template Setup'!$C$4,'Template Setup'!$C$5,'Template Setup'!$C$6,'Template Setup'!$C$7,'Template Setup'!$C$8),_xlpm.nums,CHOOSE({1,2,3,4,5},$L528,$M528,$N528,$O528,$P528),_xlpm.qtys,CHOOSE({1,2,3,4,5},$G528,$H528,$I528,$J528,$K528),_xlpm.validNums,_xlfn._xlws.FILTER(_xlpm.nums,_xlpm.qtys&gt;0),_xlpm.validSheets,_xlfn._xlws.FILTER(_xlpm.sheets,_xlpm.qtys&gt;0),_xlpm.mx,IFERROR(MAX(_xlpm.validNums),0),IF(_xlpm.mx=0,"",INDEX(_xlpm.validSheets,MATCH(_xlpm.mx,_xlpm.validNums,0))&amp;" (+"&amp;$R528&amp;")")))</f>
        <v/>
      </c>
      <c r="F528" s="11" t="str">
        <f t="shared" si="35"/>
        <v/>
      </c>
      <c r="G528" s="12" t="str">
        <f ca="1">IF($A528="","",IFERROR(SUMIF(INDIRECT("'"&amp;'Template Setup'!$C$4&amp;"'!C:C"),$A528,INDIRECT("'"&amp;'Template Setup'!$C$4&amp;"'!A:A")),0))</f>
        <v/>
      </c>
      <c r="H528" s="12" t="str">
        <f ca="1">IF($A528="","",IFERROR(SUMIF(INDIRECT("'"&amp;'Template Setup'!$C$5&amp;"'!C:C"),$A528,INDIRECT("'"&amp;'Template Setup'!$C$5&amp;"'!A:A")),0))</f>
        <v/>
      </c>
      <c r="I528" s="12" t="str">
        <f ca="1">IF($A528="","",IFERROR(SUMIF(INDIRECT("'"&amp;'Template Setup'!$C$6&amp;"'!C:C"),$A528,INDIRECT("'"&amp;'Template Setup'!$C$6&amp;"'!A:A")),0))</f>
        <v/>
      </c>
      <c r="J528" s="12" t="str">
        <f ca="1">IF($A528="","",IFERROR(SUMIF(INDIRECT("'"&amp;'Template Setup'!$C$7&amp;"'!C:C"),$A528,INDIRECT("'"&amp;'Template Setup'!$C$7&amp;"'!A:A")),0))</f>
        <v/>
      </c>
      <c r="K528" s="12" t="str">
        <f ca="1">IF($A528="","",IFERROR(SUMIF(INDIRECT("'"&amp;'Template Setup'!$C$8&amp;"'!C:C"),$A528,INDIRECT("'"&amp;'Template Setup'!$C$8&amp;"'!A:A")),0))</f>
        <v/>
      </c>
      <c r="L528" s="11" t="str">
        <f>IF($A528="","",IFERROR(VALUE(MID(TRIM('Template Setup'!$C$4),FIND("-",TRIM('Template Setup'!$C$4))+1,10)),0))</f>
        <v/>
      </c>
      <c r="M528" s="11" t="str">
        <f>IF($A528="","",IFERROR(VALUE(MID(TRIM('Template Setup'!$C$5),FIND("-",TRIM('Template Setup'!$C$5))+1,10)),0))</f>
        <v/>
      </c>
      <c r="N528" s="11" t="str">
        <f>IF($A528="","",IFERROR(VALUE(MID(TRIM('Template Setup'!$C$6),FIND("-",TRIM('Template Setup'!$C$6))+1,10)),0))</f>
        <v/>
      </c>
      <c r="O528" s="11" t="str">
        <f>IF($A528="","",IFERROR(VALUE(MID(TRIM('Template Setup'!$C$7),FIND("-",TRIM('Template Setup'!$C$7))+1,10)),0))</f>
        <v/>
      </c>
      <c r="P528" s="11" t="str">
        <f>IF($A528="","",IFERROR(VALUE(MID(TRIM('Template Setup'!$C$8),FIND("-",TRIM('Template Setup'!$C$8))+1,10)),0))</f>
        <v/>
      </c>
      <c r="Q528" s="9" t="str">
        <f>IF($A528="","",$A528&amp;"-"&amp;'Template Setup'!$C$16)</f>
        <v/>
      </c>
      <c r="R528" s="24" t="str">
        <f t="shared" si="33"/>
        <v/>
      </c>
      <c r="S528" s="24"/>
      <c r="T528" s="24" t="str">
        <f t="shared" si="34"/>
        <v/>
      </c>
      <c r="U528" s="6" t="str">
        <f t="shared" si="32"/>
        <v/>
      </c>
    </row>
    <row r="529" spans="1:21">
      <c r="A529" s="11"/>
      <c r="B529" s="11"/>
      <c r="C529" s="11"/>
      <c r="D529" s="11" t="str">
        <f>IF($A529="","",_xlfn.TEXTJOIN(", ",TRUE,IF($G529&gt;0,'Template Setup'!$C$4,""),IF($H529&gt;0,'Template Setup'!$C$5,""),IF($I529&gt;0,'Template Setup'!$C$6,""),IF($J529&gt;0,'Template Setup'!$C$7,""),IF($K529&gt;0,'Template Setup'!$C$8,"")))</f>
        <v/>
      </c>
      <c r="E529" s="6" t="str" cm="1">
        <f t="array" ref="E529">IF($A529="","",_xlfn.LET(_xlpm.sheets,CHOOSE({1,2,3,4,5},'Template Setup'!$C$4,'Template Setup'!$C$5,'Template Setup'!$C$6,'Template Setup'!$C$7,'Template Setup'!$C$8),_xlpm.nums,CHOOSE({1,2,3,4,5},$L529,$M529,$N529,$O529,$P529),_xlpm.qtys,CHOOSE({1,2,3,4,5},$G529,$H529,$I529,$J529,$K529),_xlpm.validNums,_xlfn._xlws.FILTER(_xlpm.nums,_xlpm.qtys&gt;0),_xlpm.validSheets,_xlfn._xlws.FILTER(_xlpm.sheets,_xlpm.qtys&gt;0),_xlpm.mx,IFERROR(MAX(_xlpm.validNums),0),IF(_xlpm.mx=0,"",INDEX(_xlpm.validSheets,MATCH(_xlpm.mx,_xlpm.validNums,0))&amp;" (+"&amp;$R529&amp;")")))</f>
        <v/>
      </c>
      <c r="F529" s="11" t="str">
        <f t="shared" si="35"/>
        <v/>
      </c>
      <c r="G529" s="12" t="str">
        <f ca="1">IF($A529="","",IFERROR(SUMIF(INDIRECT("'"&amp;'Template Setup'!$C$4&amp;"'!C:C"),$A529,INDIRECT("'"&amp;'Template Setup'!$C$4&amp;"'!A:A")),0))</f>
        <v/>
      </c>
      <c r="H529" s="12" t="str">
        <f ca="1">IF($A529="","",IFERROR(SUMIF(INDIRECT("'"&amp;'Template Setup'!$C$5&amp;"'!C:C"),$A529,INDIRECT("'"&amp;'Template Setup'!$C$5&amp;"'!A:A")),0))</f>
        <v/>
      </c>
      <c r="I529" s="12" t="str">
        <f ca="1">IF($A529="","",IFERROR(SUMIF(INDIRECT("'"&amp;'Template Setup'!$C$6&amp;"'!C:C"),$A529,INDIRECT("'"&amp;'Template Setup'!$C$6&amp;"'!A:A")),0))</f>
        <v/>
      </c>
      <c r="J529" s="12" t="str">
        <f ca="1">IF($A529="","",IFERROR(SUMIF(INDIRECT("'"&amp;'Template Setup'!$C$7&amp;"'!C:C"),$A529,INDIRECT("'"&amp;'Template Setup'!$C$7&amp;"'!A:A")),0))</f>
        <v/>
      </c>
      <c r="K529" s="12" t="str">
        <f ca="1">IF($A529="","",IFERROR(SUMIF(INDIRECT("'"&amp;'Template Setup'!$C$8&amp;"'!C:C"),$A529,INDIRECT("'"&amp;'Template Setup'!$C$8&amp;"'!A:A")),0))</f>
        <v/>
      </c>
      <c r="L529" s="11" t="str">
        <f>IF($A529="","",IFERROR(VALUE(MID(TRIM('Template Setup'!$C$4),FIND("-",TRIM('Template Setup'!$C$4))+1,10)),0))</f>
        <v/>
      </c>
      <c r="M529" s="11" t="str">
        <f>IF($A529="","",IFERROR(VALUE(MID(TRIM('Template Setup'!$C$5),FIND("-",TRIM('Template Setup'!$C$5))+1,10)),0))</f>
        <v/>
      </c>
      <c r="N529" s="11" t="str">
        <f>IF($A529="","",IFERROR(VALUE(MID(TRIM('Template Setup'!$C$6),FIND("-",TRIM('Template Setup'!$C$6))+1,10)),0))</f>
        <v/>
      </c>
      <c r="O529" s="11" t="str">
        <f>IF($A529="","",IFERROR(VALUE(MID(TRIM('Template Setup'!$C$7),FIND("-",TRIM('Template Setup'!$C$7))+1,10)),0))</f>
        <v/>
      </c>
      <c r="P529" s="11" t="str">
        <f>IF($A529="","",IFERROR(VALUE(MID(TRIM('Template Setup'!$C$8),FIND("-",TRIM('Template Setup'!$C$8))+1,10)),0))</f>
        <v/>
      </c>
      <c r="Q529" s="9" t="str">
        <f>IF($A529="","",$A529&amp;"-"&amp;'Template Setup'!$C$16)</f>
        <v/>
      </c>
      <c r="R529" s="24" t="str">
        <f t="shared" si="33"/>
        <v/>
      </c>
      <c r="S529" s="24"/>
      <c r="T529" s="24" t="str">
        <f t="shared" si="34"/>
        <v/>
      </c>
      <c r="U529" s="6" t="str">
        <f t="shared" si="32"/>
        <v/>
      </c>
    </row>
    <row r="530" spans="1:21">
      <c r="A530" s="11"/>
      <c r="B530" s="11"/>
      <c r="C530" s="11"/>
      <c r="D530" s="11" t="str">
        <f>IF($A530="","",_xlfn.TEXTJOIN(", ",TRUE,IF($G530&gt;0,'Template Setup'!$C$4,""),IF($H530&gt;0,'Template Setup'!$C$5,""),IF($I530&gt;0,'Template Setup'!$C$6,""),IF($J530&gt;0,'Template Setup'!$C$7,""),IF($K530&gt;0,'Template Setup'!$C$8,"")))</f>
        <v/>
      </c>
      <c r="E530" s="6" t="str" cm="1">
        <f t="array" ref="E530">IF($A530="","",_xlfn.LET(_xlpm.sheets,CHOOSE({1,2,3,4,5},'Template Setup'!$C$4,'Template Setup'!$C$5,'Template Setup'!$C$6,'Template Setup'!$C$7,'Template Setup'!$C$8),_xlpm.nums,CHOOSE({1,2,3,4,5},$L530,$M530,$N530,$O530,$P530),_xlpm.qtys,CHOOSE({1,2,3,4,5},$G530,$H530,$I530,$J530,$K530),_xlpm.validNums,_xlfn._xlws.FILTER(_xlpm.nums,_xlpm.qtys&gt;0),_xlpm.validSheets,_xlfn._xlws.FILTER(_xlpm.sheets,_xlpm.qtys&gt;0),_xlpm.mx,IFERROR(MAX(_xlpm.validNums),0),IF(_xlpm.mx=0,"",INDEX(_xlpm.validSheets,MATCH(_xlpm.mx,_xlpm.validNums,0))&amp;" (+"&amp;$R530&amp;")")))</f>
        <v/>
      </c>
      <c r="F530" s="11" t="str">
        <f t="shared" si="35"/>
        <v/>
      </c>
      <c r="G530" s="12" t="str">
        <f ca="1">IF($A530="","",IFERROR(SUMIF(INDIRECT("'"&amp;'Template Setup'!$C$4&amp;"'!C:C"),$A530,INDIRECT("'"&amp;'Template Setup'!$C$4&amp;"'!A:A")),0))</f>
        <v/>
      </c>
      <c r="H530" s="12" t="str">
        <f ca="1">IF($A530="","",IFERROR(SUMIF(INDIRECT("'"&amp;'Template Setup'!$C$5&amp;"'!C:C"),$A530,INDIRECT("'"&amp;'Template Setup'!$C$5&amp;"'!A:A")),0))</f>
        <v/>
      </c>
      <c r="I530" s="12" t="str">
        <f ca="1">IF($A530="","",IFERROR(SUMIF(INDIRECT("'"&amp;'Template Setup'!$C$6&amp;"'!C:C"),$A530,INDIRECT("'"&amp;'Template Setup'!$C$6&amp;"'!A:A")),0))</f>
        <v/>
      </c>
      <c r="J530" s="12" t="str">
        <f ca="1">IF($A530="","",IFERROR(SUMIF(INDIRECT("'"&amp;'Template Setup'!$C$7&amp;"'!C:C"),$A530,INDIRECT("'"&amp;'Template Setup'!$C$7&amp;"'!A:A")),0))</f>
        <v/>
      </c>
      <c r="K530" s="12" t="str">
        <f ca="1">IF($A530="","",IFERROR(SUMIF(INDIRECT("'"&amp;'Template Setup'!$C$8&amp;"'!C:C"),$A530,INDIRECT("'"&amp;'Template Setup'!$C$8&amp;"'!A:A")),0))</f>
        <v/>
      </c>
      <c r="L530" s="11" t="str">
        <f>IF($A530="","",IFERROR(VALUE(MID(TRIM('Template Setup'!$C$4),FIND("-",TRIM('Template Setup'!$C$4))+1,10)),0))</f>
        <v/>
      </c>
      <c r="M530" s="11" t="str">
        <f>IF($A530="","",IFERROR(VALUE(MID(TRIM('Template Setup'!$C$5),FIND("-",TRIM('Template Setup'!$C$5))+1,10)),0))</f>
        <v/>
      </c>
      <c r="N530" s="11" t="str">
        <f>IF($A530="","",IFERROR(VALUE(MID(TRIM('Template Setup'!$C$6),FIND("-",TRIM('Template Setup'!$C$6))+1,10)),0))</f>
        <v/>
      </c>
      <c r="O530" s="11" t="str">
        <f>IF($A530="","",IFERROR(VALUE(MID(TRIM('Template Setup'!$C$7),FIND("-",TRIM('Template Setup'!$C$7))+1,10)),0))</f>
        <v/>
      </c>
      <c r="P530" s="11" t="str">
        <f>IF($A530="","",IFERROR(VALUE(MID(TRIM('Template Setup'!$C$8),FIND("-",TRIM('Template Setup'!$C$8))+1,10)),0))</f>
        <v/>
      </c>
      <c r="Q530" s="9" t="str">
        <f>IF($A530="","",$A530&amp;"-"&amp;'Template Setup'!$C$16)</f>
        <v/>
      </c>
      <c r="R530" s="24" t="str">
        <f t="shared" si="33"/>
        <v/>
      </c>
      <c r="S530" s="24"/>
      <c r="T530" s="24" t="str">
        <f t="shared" si="34"/>
        <v/>
      </c>
      <c r="U530" s="6" t="str">
        <f t="shared" ref="U530:U593" si="36">IF($A530="","","☐")</f>
        <v/>
      </c>
    </row>
    <row r="531" spans="1:21">
      <c r="A531" s="11"/>
      <c r="B531" s="11"/>
      <c r="C531" s="11"/>
      <c r="D531" s="11" t="str">
        <f>IF($A531="","",_xlfn.TEXTJOIN(", ",TRUE,IF($G531&gt;0,'Template Setup'!$C$4,""),IF($H531&gt;0,'Template Setup'!$C$5,""),IF($I531&gt;0,'Template Setup'!$C$6,""),IF($J531&gt;0,'Template Setup'!$C$7,""),IF($K531&gt;0,'Template Setup'!$C$8,"")))</f>
        <v/>
      </c>
      <c r="E531" s="6" t="str" cm="1">
        <f t="array" ref="E531">IF($A531="","",_xlfn.LET(_xlpm.sheets,CHOOSE({1,2,3,4,5},'Template Setup'!$C$4,'Template Setup'!$C$5,'Template Setup'!$C$6,'Template Setup'!$C$7,'Template Setup'!$C$8),_xlpm.nums,CHOOSE({1,2,3,4,5},$L531,$M531,$N531,$O531,$P531),_xlpm.qtys,CHOOSE({1,2,3,4,5},$G531,$H531,$I531,$J531,$K531),_xlpm.validNums,_xlfn._xlws.FILTER(_xlpm.nums,_xlpm.qtys&gt;0),_xlpm.validSheets,_xlfn._xlws.FILTER(_xlpm.sheets,_xlpm.qtys&gt;0),_xlpm.mx,IFERROR(MAX(_xlpm.validNums),0),IF(_xlpm.mx=0,"",INDEX(_xlpm.validSheets,MATCH(_xlpm.mx,_xlpm.validNums,0))&amp;" (+"&amp;$R531&amp;")")))</f>
        <v/>
      </c>
      <c r="F531" s="11" t="str">
        <f t="shared" si="35"/>
        <v/>
      </c>
      <c r="G531" s="12" t="str">
        <f ca="1">IF($A531="","",IFERROR(SUMIF(INDIRECT("'"&amp;'Template Setup'!$C$4&amp;"'!C:C"),$A531,INDIRECT("'"&amp;'Template Setup'!$C$4&amp;"'!A:A")),0))</f>
        <v/>
      </c>
      <c r="H531" s="12" t="str">
        <f ca="1">IF($A531="","",IFERROR(SUMIF(INDIRECT("'"&amp;'Template Setup'!$C$5&amp;"'!C:C"),$A531,INDIRECT("'"&amp;'Template Setup'!$C$5&amp;"'!A:A")),0))</f>
        <v/>
      </c>
      <c r="I531" s="12" t="str">
        <f ca="1">IF($A531="","",IFERROR(SUMIF(INDIRECT("'"&amp;'Template Setup'!$C$6&amp;"'!C:C"),$A531,INDIRECT("'"&amp;'Template Setup'!$C$6&amp;"'!A:A")),0))</f>
        <v/>
      </c>
      <c r="J531" s="12" t="str">
        <f ca="1">IF($A531="","",IFERROR(SUMIF(INDIRECT("'"&amp;'Template Setup'!$C$7&amp;"'!C:C"),$A531,INDIRECT("'"&amp;'Template Setup'!$C$7&amp;"'!A:A")),0))</f>
        <v/>
      </c>
      <c r="K531" s="12" t="str">
        <f ca="1">IF($A531="","",IFERROR(SUMIF(INDIRECT("'"&amp;'Template Setup'!$C$8&amp;"'!C:C"),$A531,INDIRECT("'"&amp;'Template Setup'!$C$8&amp;"'!A:A")),0))</f>
        <v/>
      </c>
      <c r="L531" s="11" t="str">
        <f>IF($A531="","",IFERROR(VALUE(MID(TRIM('Template Setup'!$C$4),FIND("-",TRIM('Template Setup'!$C$4))+1,10)),0))</f>
        <v/>
      </c>
      <c r="M531" s="11" t="str">
        <f>IF($A531="","",IFERROR(VALUE(MID(TRIM('Template Setup'!$C$5),FIND("-",TRIM('Template Setup'!$C$5))+1,10)),0))</f>
        <v/>
      </c>
      <c r="N531" s="11" t="str">
        <f>IF($A531="","",IFERROR(VALUE(MID(TRIM('Template Setup'!$C$6),FIND("-",TRIM('Template Setup'!$C$6))+1,10)),0))</f>
        <v/>
      </c>
      <c r="O531" s="11" t="str">
        <f>IF($A531="","",IFERROR(VALUE(MID(TRIM('Template Setup'!$C$7),FIND("-",TRIM('Template Setup'!$C$7))+1,10)),0))</f>
        <v/>
      </c>
      <c r="P531" s="11" t="str">
        <f>IF($A531="","",IFERROR(VALUE(MID(TRIM('Template Setup'!$C$8),FIND("-",TRIM('Template Setup'!$C$8))+1,10)),0))</f>
        <v/>
      </c>
      <c r="Q531" s="9" t="str">
        <f>IF($A531="","",$A531&amp;"-"&amp;'Template Setup'!$C$16)</f>
        <v/>
      </c>
      <c r="R531" s="24" t="str">
        <f t="shared" si="33"/>
        <v/>
      </c>
      <c r="S531" s="24"/>
      <c r="T531" s="24" t="str">
        <f t="shared" si="34"/>
        <v/>
      </c>
      <c r="U531" s="6" t="str">
        <f t="shared" si="36"/>
        <v/>
      </c>
    </row>
    <row r="532" spans="1:21">
      <c r="A532" s="11"/>
      <c r="B532" s="11"/>
      <c r="C532" s="11"/>
      <c r="D532" s="11" t="str">
        <f>IF($A532="","",_xlfn.TEXTJOIN(", ",TRUE,IF($G532&gt;0,'Template Setup'!$C$4,""),IF($H532&gt;0,'Template Setup'!$C$5,""),IF($I532&gt;0,'Template Setup'!$C$6,""),IF($J532&gt;0,'Template Setup'!$C$7,""),IF($K532&gt;0,'Template Setup'!$C$8,"")))</f>
        <v/>
      </c>
      <c r="E532" s="6" t="str" cm="1">
        <f t="array" ref="E532">IF($A532="","",_xlfn.LET(_xlpm.sheets,CHOOSE({1,2,3,4,5},'Template Setup'!$C$4,'Template Setup'!$C$5,'Template Setup'!$C$6,'Template Setup'!$C$7,'Template Setup'!$C$8),_xlpm.nums,CHOOSE({1,2,3,4,5},$L532,$M532,$N532,$O532,$P532),_xlpm.qtys,CHOOSE({1,2,3,4,5},$G532,$H532,$I532,$J532,$K532),_xlpm.validNums,_xlfn._xlws.FILTER(_xlpm.nums,_xlpm.qtys&gt;0),_xlpm.validSheets,_xlfn._xlws.FILTER(_xlpm.sheets,_xlpm.qtys&gt;0),_xlpm.mx,IFERROR(MAX(_xlpm.validNums),0),IF(_xlpm.mx=0,"",INDEX(_xlpm.validSheets,MATCH(_xlpm.mx,_xlpm.validNums,0))&amp;" (+"&amp;$R532&amp;")")))</f>
        <v/>
      </c>
      <c r="F532" s="11" t="str">
        <f t="shared" si="35"/>
        <v/>
      </c>
      <c r="G532" s="12" t="str">
        <f ca="1">IF($A532="","",IFERROR(SUMIF(INDIRECT("'"&amp;'Template Setup'!$C$4&amp;"'!C:C"),$A532,INDIRECT("'"&amp;'Template Setup'!$C$4&amp;"'!A:A")),0))</f>
        <v/>
      </c>
      <c r="H532" s="12" t="str">
        <f ca="1">IF($A532="","",IFERROR(SUMIF(INDIRECT("'"&amp;'Template Setup'!$C$5&amp;"'!C:C"),$A532,INDIRECT("'"&amp;'Template Setup'!$C$5&amp;"'!A:A")),0))</f>
        <v/>
      </c>
      <c r="I532" s="12" t="str">
        <f ca="1">IF($A532="","",IFERROR(SUMIF(INDIRECT("'"&amp;'Template Setup'!$C$6&amp;"'!C:C"),$A532,INDIRECT("'"&amp;'Template Setup'!$C$6&amp;"'!A:A")),0))</f>
        <v/>
      </c>
      <c r="J532" s="12" t="str">
        <f ca="1">IF($A532="","",IFERROR(SUMIF(INDIRECT("'"&amp;'Template Setup'!$C$7&amp;"'!C:C"),$A532,INDIRECT("'"&amp;'Template Setup'!$C$7&amp;"'!A:A")),0))</f>
        <v/>
      </c>
      <c r="K532" s="12" t="str">
        <f ca="1">IF($A532="","",IFERROR(SUMIF(INDIRECT("'"&amp;'Template Setup'!$C$8&amp;"'!C:C"),$A532,INDIRECT("'"&amp;'Template Setup'!$C$8&amp;"'!A:A")),0))</f>
        <v/>
      </c>
      <c r="L532" s="11" t="str">
        <f>IF($A532="","",IFERROR(VALUE(MID(TRIM('Template Setup'!$C$4),FIND("-",TRIM('Template Setup'!$C$4))+1,10)),0))</f>
        <v/>
      </c>
      <c r="M532" s="11" t="str">
        <f>IF($A532="","",IFERROR(VALUE(MID(TRIM('Template Setup'!$C$5),FIND("-",TRIM('Template Setup'!$C$5))+1,10)),0))</f>
        <v/>
      </c>
      <c r="N532" s="11" t="str">
        <f>IF($A532="","",IFERROR(VALUE(MID(TRIM('Template Setup'!$C$6),FIND("-",TRIM('Template Setup'!$C$6))+1,10)),0))</f>
        <v/>
      </c>
      <c r="O532" s="11" t="str">
        <f>IF($A532="","",IFERROR(VALUE(MID(TRIM('Template Setup'!$C$7),FIND("-",TRIM('Template Setup'!$C$7))+1,10)),0))</f>
        <v/>
      </c>
      <c r="P532" s="11" t="str">
        <f>IF($A532="","",IFERROR(VALUE(MID(TRIM('Template Setup'!$C$8),FIND("-",TRIM('Template Setup'!$C$8))+1,10)),0))</f>
        <v/>
      </c>
      <c r="Q532" s="9" t="str">
        <f>IF($A532="","",$A532&amp;"-"&amp;'Template Setup'!$C$16)</f>
        <v/>
      </c>
      <c r="R532" s="24" t="str">
        <f t="shared" si="33"/>
        <v/>
      </c>
      <c r="S532" s="24"/>
      <c r="T532" s="24" t="str">
        <f t="shared" si="34"/>
        <v/>
      </c>
      <c r="U532" s="6" t="str">
        <f t="shared" si="36"/>
        <v/>
      </c>
    </row>
    <row r="533" spans="1:21">
      <c r="A533" s="11"/>
      <c r="B533" s="11"/>
      <c r="C533" s="11"/>
      <c r="D533" s="11" t="str">
        <f>IF($A533="","",_xlfn.TEXTJOIN(", ",TRUE,IF($G533&gt;0,'Template Setup'!$C$4,""),IF($H533&gt;0,'Template Setup'!$C$5,""),IF($I533&gt;0,'Template Setup'!$C$6,""),IF($J533&gt;0,'Template Setup'!$C$7,""),IF($K533&gt;0,'Template Setup'!$C$8,"")))</f>
        <v/>
      </c>
      <c r="E533" s="6" t="str" cm="1">
        <f t="array" ref="E533">IF($A533="","",_xlfn.LET(_xlpm.sheets,CHOOSE({1,2,3,4,5},'Template Setup'!$C$4,'Template Setup'!$C$5,'Template Setup'!$C$6,'Template Setup'!$C$7,'Template Setup'!$C$8),_xlpm.nums,CHOOSE({1,2,3,4,5},$L533,$M533,$N533,$O533,$P533),_xlpm.qtys,CHOOSE({1,2,3,4,5},$G533,$H533,$I533,$J533,$K533),_xlpm.validNums,_xlfn._xlws.FILTER(_xlpm.nums,_xlpm.qtys&gt;0),_xlpm.validSheets,_xlfn._xlws.FILTER(_xlpm.sheets,_xlpm.qtys&gt;0),_xlpm.mx,IFERROR(MAX(_xlpm.validNums),0),IF(_xlpm.mx=0,"",INDEX(_xlpm.validSheets,MATCH(_xlpm.mx,_xlpm.validNums,0))&amp;" (+"&amp;$R533&amp;")")))</f>
        <v/>
      </c>
      <c r="F533" s="11" t="str">
        <f t="shared" si="35"/>
        <v/>
      </c>
      <c r="G533" s="12" t="str">
        <f ca="1">IF($A533="","",IFERROR(SUMIF(INDIRECT("'"&amp;'Template Setup'!$C$4&amp;"'!C:C"),$A533,INDIRECT("'"&amp;'Template Setup'!$C$4&amp;"'!A:A")),0))</f>
        <v/>
      </c>
      <c r="H533" s="12" t="str">
        <f ca="1">IF($A533="","",IFERROR(SUMIF(INDIRECT("'"&amp;'Template Setup'!$C$5&amp;"'!C:C"),$A533,INDIRECT("'"&amp;'Template Setup'!$C$5&amp;"'!A:A")),0))</f>
        <v/>
      </c>
      <c r="I533" s="12" t="str">
        <f ca="1">IF($A533="","",IFERROR(SUMIF(INDIRECT("'"&amp;'Template Setup'!$C$6&amp;"'!C:C"),$A533,INDIRECT("'"&amp;'Template Setup'!$C$6&amp;"'!A:A")),0))</f>
        <v/>
      </c>
      <c r="J533" s="12" t="str">
        <f ca="1">IF($A533="","",IFERROR(SUMIF(INDIRECT("'"&amp;'Template Setup'!$C$7&amp;"'!C:C"),$A533,INDIRECT("'"&amp;'Template Setup'!$C$7&amp;"'!A:A")),0))</f>
        <v/>
      </c>
      <c r="K533" s="12" t="str">
        <f ca="1">IF($A533="","",IFERROR(SUMIF(INDIRECT("'"&amp;'Template Setup'!$C$8&amp;"'!C:C"),$A533,INDIRECT("'"&amp;'Template Setup'!$C$8&amp;"'!A:A")),0))</f>
        <v/>
      </c>
      <c r="L533" s="11" t="str">
        <f>IF($A533="","",IFERROR(VALUE(MID(TRIM('Template Setup'!$C$4),FIND("-",TRIM('Template Setup'!$C$4))+1,10)),0))</f>
        <v/>
      </c>
      <c r="M533" s="11" t="str">
        <f>IF($A533="","",IFERROR(VALUE(MID(TRIM('Template Setup'!$C$5),FIND("-",TRIM('Template Setup'!$C$5))+1,10)),0))</f>
        <v/>
      </c>
      <c r="N533" s="11" t="str">
        <f>IF($A533="","",IFERROR(VALUE(MID(TRIM('Template Setup'!$C$6),FIND("-",TRIM('Template Setup'!$C$6))+1,10)),0))</f>
        <v/>
      </c>
      <c r="O533" s="11" t="str">
        <f>IF($A533="","",IFERROR(VALUE(MID(TRIM('Template Setup'!$C$7),FIND("-",TRIM('Template Setup'!$C$7))+1,10)),0))</f>
        <v/>
      </c>
      <c r="P533" s="11" t="str">
        <f>IF($A533="","",IFERROR(VALUE(MID(TRIM('Template Setup'!$C$8),FIND("-",TRIM('Template Setup'!$C$8))+1,10)),0))</f>
        <v/>
      </c>
      <c r="Q533" s="9" t="str">
        <f>IF($A533="","",$A533&amp;"-"&amp;'Template Setup'!$C$16)</f>
        <v/>
      </c>
      <c r="R533" s="24" t="str">
        <f t="shared" si="33"/>
        <v/>
      </c>
      <c r="S533" s="24"/>
      <c r="T533" s="24" t="str">
        <f t="shared" si="34"/>
        <v/>
      </c>
      <c r="U533" s="6" t="str">
        <f t="shared" si="36"/>
        <v/>
      </c>
    </row>
    <row r="534" spans="1:21">
      <c r="A534" s="11"/>
      <c r="B534" s="11"/>
      <c r="C534" s="11"/>
      <c r="D534" s="11" t="str">
        <f>IF($A534="","",_xlfn.TEXTJOIN(", ",TRUE,IF($G534&gt;0,'Template Setup'!$C$4,""),IF($H534&gt;0,'Template Setup'!$C$5,""),IF($I534&gt;0,'Template Setup'!$C$6,""),IF($J534&gt;0,'Template Setup'!$C$7,""),IF($K534&gt;0,'Template Setup'!$C$8,"")))</f>
        <v/>
      </c>
      <c r="E534" s="6" t="str" cm="1">
        <f t="array" ref="E534">IF($A534="","",_xlfn.LET(_xlpm.sheets,CHOOSE({1,2,3,4,5},'Template Setup'!$C$4,'Template Setup'!$C$5,'Template Setup'!$C$6,'Template Setup'!$C$7,'Template Setup'!$C$8),_xlpm.nums,CHOOSE({1,2,3,4,5},$L534,$M534,$N534,$O534,$P534),_xlpm.qtys,CHOOSE({1,2,3,4,5},$G534,$H534,$I534,$J534,$K534),_xlpm.validNums,_xlfn._xlws.FILTER(_xlpm.nums,_xlpm.qtys&gt;0),_xlpm.validSheets,_xlfn._xlws.FILTER(_xlpm.sheets,_xlpm.qtys&gt;0),_xlpm.mx,IFERROR(MAX(_xlpm.validNums),0),IF(_xlpm.mx=0,"",INDEX(_xlpm.validSheets,MATCH(_xlpm.mx,_xlpm.validNums,0))&amp;" (+"&amp;$R534&amp;")")))</f>
        <v/>
      </c>
      <c r="F534" s="11" t="str">
        <f t="shared" si="35"/>
        <v/>
      </c>
      <c r="G534" s="12" t="str">
        <f ca="1">IF($A534="","",IFERROR(SUMIF(INDIRECT("'"&amp;'Template Setup'!$C$4&amp;"'!C:C"),$A534,INDIRECT("'"&amp;'Template Setup'!$C$4&amp;"'!A:A")),0))</f>
        <v/>
      </c>
      <c r="H534" s="12" t="str">
        <f ca="1">IF($A534="","",IFERROR(SUMIF(INDIRECT("'"&amp;'Template Setup'!$C$5&amp;"'!C:C"),$A534,INDIRECT("'"&amp;'Template Setup'!$C$5&amp;"'!A:A")),0))</f>
        <v/>
      </c>
      <c r="I534" s="12" t="str">
        <f ca="1">IF($A534="","",IFERROR(SUMIF(INDIRECT("'"&amp;'Template Setup'!$C$6&amp;"'!C:C"),$A534,INDIRECT("'"&amp;'Template Setup'!$C$6&amp;"'!A:A")),0))</f>
        <v/>
      </c>
      <c r="J534" s="12" t="str">
        <f ca="1">IF($A534="","",IFERROR(SUMIF(INDIRECT("'"&amp;'Template Setup'!$C$7&amp;"'!C:C"),$A534,INDIRECT("'"&amp;'Template Setup'!$C$7&amp;"'!A:A")),0))</f>
        <v/>
      </c>
      <c r="K534" s="12" t="str">
        <f ca="1">IF($A534="","",IFERROR(SUMIF(INDIRECT("'"&amp;'Template Setup'!$C$8&amp;"'!C:C"),$A534,INDIRECT("'"&amp;'Template Setup'!$C$8&amp;"'!A:A")),0))</f>
        <v/>
      </c>
      <c r="L534" s="11" t="str">
        <f>IF($A534="","",IFERROR(VALUE(MID(TRIM('Template Setup'!$C$4),FIND("-",TRIM('Template Setup'!$C$4))+1,10)),0))</f>
        <v/>
      </c>
      <c r="M534" s="11" t="str">
        <f>IF($A534="","",IFERROR(VALUE(MID(TRIM('Template Setup'!$C$5),FIND("-",TRIM('Template Setup'!$C$5))+1,10)),0))</f>
        <v/>
      </c>
      <c r="N534" s="11" t="str">
        <f>IF($A534="","",IFERROR(VALUE(MID(TRIM('Template Setup'!$C$6),FIND("-",TRIM('Template Setup'!$C$6))+1,10)),0))</f>
        <v/>
      </c>
      <c r="O534" s="11" t="str">
        <f>IF($A534="","",IFERROR(VALUE(MID(TRIM('Template Setup'!$C$7),FIND("-",TRIM('Template Setup'!$C$7))+1,10)),0))</f>
        <v/>
      </c>
      <c r="P534" s="11" t="str">
        <f>IF($A534="","",IFERROR(VALUE(MID(TRIM('Template Setup'!$C$8),FIND("-",TRIM('Template Setup'!$C$8))+1,10)),0))</f>
        <v/>
      </c>
      <c r="Q534" s="9" t="str">
        <f>IF($A534="","",$A534&amp;"-"&amp;'Template Setup'!$C$16)</f>
        <v/>
      </c>
      <c r="R534" s="24" t="str">
        <f t="shared" si="33"/>
        <v/>
      </c>
      <c r="S534" s="24"/>
      <c r="T534" s="24" t="str">
        <f t="shared" si="34"/>
        <v/>
      </c>
      <c r="U534" s="6" t="str">
        <f t="shared" si="36"/>
        <v/>
      </c>
    </row>
    <row r="535" spans="1:21">
      <c r="A535" s="11"/>
      <c r="B535" s="11"/>
      <c r="C535" s="11"/>
      <c r="D535" s="11" t="str">
        <f>IF($A535="","",_xlfn.TEXTJOIN(", ",TRUE,IF($G535&gt;0,'Template Setup'!$C$4,""),IF($H535&gt;0,'Template Setup'!$C$5,""),IF($I535&gt;0,'Template Setup'!$C$6,""),IF($J535&gt;0,'Template Setup'!$C$7,""),IF($K535&gt;0,'Template Setup'!$C$8,"")))</f>
        <v/>
      </c>
      <c r="E535" s="6" t="str" cm="1">
        <f t="array" ref="E535">IF($A535="","",_xlfn.LET(_xlpm.sheets,CHOOSE({1,2,3,4,5},'Template Setup'!$C$4,'Template Setup'!$C$5,'Template Setup'!$C$6,'Template Setup'!$C$7,'Template Setup'!$C$8),_xlpm.nums,CHOOSE({1,2,3,4,5},$L535,$M535,$N535,$O535,$P535),_xlpm.qtys,CHOOSE({1,2,3,4,5},$G535,$H535,$I535,$J535,$K535),_xlpm.validNums,_xlfn._xlws.FILTER(_xlpm.nums,_xlpm.qtys&gt;0),_xlpm.validSheets,_xlfn._xlws.FILTER(_xlpm.sheets,_xlpm.qtys&gt;0),_xlpm.mx,IFERROR(MAX(_xlpm.validNums),0),IF(_xlpm.mx=0,"",INDEX(_xlpm.validSheets,MATCH(_xlpm.mx,_xlpm.validNums,0))&amp;" (+"&amp;$R535&amp;")")))</f>
        <v/>
      </c>
      <c r="F535" s="11" t="str">
        <f t="shared" si="35"/>
        <v/>
      </c>
      <c r="G535" s="12" t="str">
        <f ca="1">IF($A535="","",IFERROR(SUMIF(INDIRECT("'"&amp;'Template Setup'!$C$4&amp;"'!C:C"),$A535,INDIRECT("'"&amp;'Template Setup'!$C$4&amp;"'!A:A")),0))</f>
        <v/>
      </c>
      <c r="H535" s="12" t="str">
        <f ca="1">IF($A535="","",IFERROR(SUMIF(INDIRECT("'"&amp;'Template Setup'!$C$5&amp;"'!C:C"),$A535,INDIRECT("'"&amp;'Template Setup'!$C$5&amp;"'!A:A")),0))</f>
        <v/>
      </c>
      <c r="I535" s="12" t="str">
        <f ca="1">IF($A535="","",IFERROR(SUMIF(INDIRECT("'"&amp;'Template Setup'!$C$6&amp;"'!C:C"),$A535,INDIRECT("'"&amp;'Template Setup'!$C$6&amp;"'!A:A")),0))</f>
        <v/>
      </c>
      <c r="J535" s="12" t="str">
        <f ca="1">IF($A535="","",IFERROR(SUMIF(INDIRECT("'"&amp;'Template Setup'!$C$7&amp;"'!C:C"),$A535,INDIRECT("'"&amp;'Template Setup'!$C$7&amp;"'!A:A")),0))</f>
        <v/>
      </c>
      <c r="K535" s="12" t="str">
        <f ca="1">IF($A535="","",IFERROR(SUMIF(INDIRECT("'"&amp;'Template Setup'!$C$8&amp;"'!C:C"),$A535,INDIRECT("'"&amp;'Template Setup'!$C$8&amp;"'!A:A")),0))</f>
        <v/>
      </c>
      <c r="L535" s="11" t="str">
        <f>IF($A535="","",IFERROR(VALUE(MID(TRIM('Template Setup'!$C$4),FIND("-",TRIM('Template Setup'!$C$4))+1,10)),0))</f>
        <v/>
      </c>
      <c r="M535" s="11" t="str">
        <f>IF($A535="","",IFERROR(VALUE(MID(TRIM('Template Setup'!$C$5),FIND("-",TRIM('Template Setup'!$C$5))+1,10)),0))</f>
        <v/>
      </c>
      <c r="N535" s="11" t="str">
        <f>IF($A535="","",IFERROR(VALUE(MID(TRIM('Template Setup'!$C$6),FIND("-",TRIM('Template Setup'!$C$6))+1,10)),0))</f>
        <v/>
      </c>
      <c r="O535" s="11" t="str">
        <f>IF($A535="","",IFERROR(VALUE(MID(TRIM('Template Setup'!$C$7),FIND("-",TRIM('Template Setup'!$C$7))+1,10)),0))</f>
        <v/>
      </c>
      <c r="P535" s="11" t="str">
        <f>IF($A535="","",IFERROR(VALUE(MID(TRIM('Template Setup'!$C$8),FIND("-",TRIM('Template Setup'!$C$8))+1,10)),0))</f>
        <v/>
      </c>
      <c r="Q535" s="9" t="str">
        <f>IF($A535="","",$A535&amp;"-"&amp;'Template Setup'!$C$16)</f>
        <v/>
      </c>
      <c r="R535" s="24" t="str">
        <f t="shared" si="33"/>
        <v/>
      </c>
      <c r="S535" s="24"/>
      <c r="T535" s="24" t="str">
        <f t="shared" si="34"/>
        <v/>
      </c>
      <c r="U535" s="6" t="str">
        <f t="shared" si="36"/>
        <v/>
      </c>
    </row>
    <row r="536" spans="1:21">
      <c r="A536" s="11"/>
      <c r="B536" s="11"/>
      <c r="C536" s="11"/>
      <c r="D536" s="11" t="str">
        <f>IF($A536="","",_xlfn.TEXTJOIN(", ",TRUE,IF($G536&gt;0,'Template Setup'!$C$4,""),IF($H536&gt;0,'Template Setup'!$C$5,""),IF($I536&gt;0,'Template Setup'!$C$6,""),IF($J536&gt;0,'Template Setup'!$C$7,""),IF($K536&gt;0,'Template Setup'!$C$8,"")))</f>
        <v/>
      </c>
      <c r="E536" s="6" t="str" cm="1">
        <f t="array" ref="E536">IF($A536="","",_xlfn.LET(_xlpm.sheets,CHOOSE({1,2,3,4,5},'Template Setup'!$C$4,'Template Setup'!$C$5,'Template Setup'!$C$6,'Template Setup'!$C$7,'Template Setup'!$C$8),_xlpm.nums,CHOOSE({1,2,3,4,5},$L536,$M536,$N536,$O536,$P536),_xlpm.qtys,CHOOSE({1,2,3,4,5},$G536,$H536,$I536,$J536,$K536),_xlpm.validNums,_xlfn._xlws.FILTER(_xlpm.nums,_xlpm.qtys&gt;0),_xlpm.validSheets,_xlfn._xlws.FILTER(_xlpm.sheets,_xlpm.qtys&gt;0),_xlpm.mx,IFERROR(MAX(_xlpm.validNums),0),IF(_xlpm.mx=0,"",INDEX(_xlpm.validSheets,MATCH(_xlpm.mx,_xlpm.validNums,0))&amp;" (+"&amp;$R536&amp;")")))</f>
        <v/>
      </c>
      <c r="F536" s="11" t="str">
        <f t="shared" si="35"/>
        <v/>
      </c>
      <c r="G536" s="12" t="str">
        <f ca="1">IF($A536="","",IFERROR(SUMIF(INDIRECT("'"&amp;'Template Setup'!$C$4&amp;"'!C:C"),$A536,INDIRECT("'"&amp;'Template Setup'!$C$4&amp;"'!A:A")),0))</f>
        <v/>
      </c>
      <c r="H536" s="12" t="str">
        <f ca="1">IF($A536="","",IFERROR(SUMIF(INDIRECT("'"&amp;'Template Setup'!$C$5&amp;"'!C:C"),$A536,INDIRECT("'"&amp;'Template Setup'!$C$5&amp;"'!A:A")),0))</f>
        <v/>
      </c>
      <c r="I536" s="12" t="str">
        <f ca="1">IF($A536="","",IFERROR(SUMIF(INDIRECT("'"&amp;'Template Setup'!$C$6&amp;"'!C:C"),$A536,INDIRECT("'"&amp;'Template Setup'!$C$6&amp;"'!A:A")),0))</f>
        <v/>
      </c>
      <c r="J536" s="12" t="str">
        <f ca="1">IF($A536="","",IFERROR(SUMIF(INDIRECT("'"&amp;'Template Setup'!$C$7&amp;"'!C:C"),$A536,INDIRECT("'"&amp;'Template Setup'!$C$7&amp;"'!A:A")),0))</f>
        <v/>
      </c>
      <c r="K536" s="12" t="str">
        <f ca="1">IF($A536="","",IFERROR(SUMIF(INDIRECT("'"&amp;'Template Setup'!$C$8&amp;"'!C:C"),$A536,INDIRECT("'"&amp;'Template Setup'!$C$8&amp;"'!A:A")),0))</f>
        <v/>
      </c>
      <c r="L536" s="11" t="str">
        <f>IF($A536="","",IFERROR(VALUE(MID(TRIM('Template Setup'!$C$4),FIND("-",TRIM('Template Setup'!$C$4))+1,10)),0))</f>
        <v/>
      </c>
      <c r="M536" s="11" t="str">
        <f>IF($A536="","",IFERROR(VALUE(MID(TRIM('Template Setup'!$C$5),FIND("-",TRIM('Template Setup'!$C$5))+1,10)),0))</f>
        <v/>
      </c>
      <c r="N536" s="11" t="str">
        <f>IF($A536="","",IFERROR(VALUE(MID(TRIM('Template Setup'!$C$6),FIND("-",TRIM('Template Setup'!$C$6))+1,10)),0))</f>
        <v/>
      </c>
      <c r="O536" s="11" t="str">
        <f>IF($A536="","",IFERROR(VALUE(MID(TRIM('Template Setup'!$C$7),FIND("-",TRIM('Template Setup'!$C$7))+1,10)),0))</f>
        <v/>
      </c>
      <c r="P536" s="11" t="str">
        <f>IF($A536="","",IFERROR(VALUE(MID(TRIM('Template Setup'!$C$8),FIND("-",TRIM('Template Setup'!$C$8))+1,10)),0))</f>
        <v/>
      </c>
      <c r="Q536" s="9" t="str">
        <f>IF($A536="","",$A536&amp;"-"&amp;'Template Setup'!$C$16)</f>
        <v/>
      </c>
      <c r="R536" s="24" t="str">
        <f t="shared" si="33"/>
        <v/>
      </c>
      <c r="S536" s="24"/>
      <c r="T536" s="24" t="str">
        <f t="shared" si="34"/>
        <v/>
      </c>
      <c r="U536" s="6" t="str">
        <f t="shared" si="36"/>
        <v/>
      </c>
    </row>
    <row r="537" spans="1:21">
      <c r="A537" s="11"/>
      <c r="B537" s="11"/>
      <c r="C537" s="11"/>
      <c r="D537" s="11" t="str">
        <f>IF($A537="","",_xlfn.TEXTJOIN(", ",TRUE,IF($G537&gt;0,'Template Setup'!$C$4,""),IF($H537&gt;0,'Template Setup'!$C$5,""),IF($I537&gt;0,'Template Setup'!$C$6,""),IF($J537&gt;0,'Template Setup'!$C$7,""),IF($K537&gt;0,'Template Setup'!$C$8,"")))</f>
        <v/>
      </c>
      <c r="E537" s="6" t="str" cm="1">
        <f t="array" ref="E537">IF($A537="","",_xlfn.LET(_xlpm.sheets,CHOOSE({1,2,3,4,5},'Template Setup'!$C$4,'Template Setup'!$C$5,'Template Setup'!$C$6,'Template Setup'!$C$7,'Template Setup'!$C$8),_xlpm.nums,CHOOSE({1,2,3,4,5},$L537,$M537,$N537,$O537,$P537),_xlpm.qtys,CHOOSE({1,2,3,4,5},$G537,$H537,$I537,$J537,$K537),_xlpm.validNums,_xlfn._xlws.FILTER(_xlpm.nums,_xlpm.qtys&gt;0),_xlpm.validSheets,_xlfn._xlws.FILTER(_xlpm.sheets,_xlpm.qtys&gt;0),_xlpm.mx,IFERROR(MAX(_xlpm.validNums),0),IF(_xlpm.mx=0,"",INDEX(_xlpm.validSheets,MATCH(_xlpm.mx,_xlpm.validNums,0))&amp;" (+"&amp;$R537&amp;")")))</f>
        <v/>
      </c>
      <c r="F537" s="11" t="str">
        <f t="shared" si="35"/>
        <v/>
      </c>
      <c r="G537" s="12" t="str">
        <f ca="1">IF($A537="","",IFERROR(SUMIF(INDIRECT("'"&amp;'Template Setup'!$C$4&amp;"'!C:C"),$A537,INDIRECT("'"&amp;'Template Setup'!$C$4&amp;"'!A:A")),0))</f>
        <v/>
      </c>
      <c r="H537" s="12" t="str">
        <f ca="1">IF($A537="","",IFERROR(SUMIF(INDIRECT("'"&amp;'Template Setup'!$C$5&amp;"'!C:C"),$A537,INDIRECT("'"&amp;'Template Setup'!$C$5&amp;"'!A:A")),0))</f>
        <v/>
      </c>
      <c r="I537" s="12" t="str">
        <f ca="1">IF($A537="","",IFERROR(SUMIF(INDIRECT("'"&amp;'Template Setup'!$C$6&amp;"'!C:C"),$A537,INDIRECT("'"&amp;'Template Setup'!$C$6&amp;"'!A:A")),0))</f>
        <v/>
      </c>
      <c r="J537" s="12" t="str">
        <f ca="1">IF($A537="","",IFERROR(SUMIF(INDIRECT("'"&amp;'Template Setup'!$C$7&amp;"'!C:C"),$A537,INDIRECT("'"&amp;'Template Setup'!$C$7&amp;"'!A:A")),0))</f>
        <v/>
      </c>
      <c r="K537" s="12" t="str">
        <f ca="1">IF($A537="","",IFERROR(SUMIF(INDIRECT("'"&amp;'Template Setup'!$C$8&amp;"'!C:C"),$A537,INDIRECT("'"&amp;'Template Setup'!$C$8&amp;"'!A:A")),0))</f>
        <v/>
      </c>
      <c r="L537" s="11" t="str">
        <f>IF($A537="","",IFERROR(VALUE(MID(TRIM('Template Setup'!$C$4),FIND("-",TRIM('Template Setup'!$C$4))+1,10)),0))</f>
        <v/>
      </c>
      <c r="M537" s="11" t="str">
        <f>IF($A537="","",IFERROR(VALUE(MID(TRIM('Template Setup'!$C$5),FIND("-",TRIM('Template Setup'!$C$5))+1,10)),0))</f>
        <v/>
      </c>
      <c r="N537" s="11" t="str">
        <f>IF($A537="","",IFERROR(VALUE(MID(TRIM('Template Setup'!$C$6),FIND("-",TRIM('Template Setup'!$C$6))+1,10)),0))</f>
        <v/>
      </c>
      <c r="O537" s="11" t="str">
        <f>IF($A537="","",IFERROR(VALUE(MID(TRIM('Template Setup'!$C$7),FIND("-",TRIM('Template Setup'!$C$7))+1,10)),0))</f>
        <v/>
      </c>
      <c r="P537" s="11" t="str">
        <f>IF($A537="","",IFERROR(VALUE(MID(TRIM('Template Setup'!$C$8),FIND("-",TRIM('Template Setup'!$C$8))+1,10)),0))</f>
        <v/>
      </c>
      <c r="Q537" s="9" t="str">
        <f>IF($A537="","",$A537&amp;"-"&amp;'Template Setup'!$C$16)</f>
        <v/>
      </c>
      <c r="R537" s="24" t="str">
        <f t="shared" si="33"/>
        <v/>
      </c>
      <c r="S537" s="24"/>
      <c r="T537" s="24" t="str">
        <f t="shared" si="34"/>
        <v/>
      </c>
      <c r="U537" s="6" t="str">
        <f t="shared" si="36"/>
        <v/>
      </c>
    </row>
    <row r="538" spans="1:21">
      <c r="A538" s="11"/>
      <c r="B538" s="11"/>
      <c r="C538" s="11"/>
      <c r="D538" s="11" t="str">
        <f>IF($A538="","",_xlfn.TEXTJOIN(", ",TRUE,IF($G538&gt;0,'Template Setup'!$C$4,""),IF($H538&gt;0,'Template Setup'!$C$5,""),IF($I538&gt;0,'Template Setup'!$C$6,""),IF($J538&gt;0,'Template Setup'!$C$7,""),IF($K538&gt;0,'Template Setup'!$C$8,"")))</f>
        <v/>
      </c>
      <c r="E538" s="6" t="str" cm="1">
        <f t="array" ref="E538">IF($A538="","",_xlfn.LET(_xlpm.sheets,CHOOSE({1,2,3,4,5},'Template Setup'!$C$4,'Template Setup'!$C$5,'Template Setup'!$C$6,'Template Setup'!$C$7,'Template Setup'!$C$8),_xlpm.nums,CHOOSE({1,2,3,4,5},$L538,$M538,$N538,$O538,$P538),_xlpm.qtys,CHOOSE({1,2,3,4,5},$G538,$H538,$I538,$J538,$K538),_xlpm.validNums,_xlfn._xlws.FILTER(_xlpm.nums,_xlpm.qtys&gt;0),_xlpm.validSheets,_xlfn._xlws.FILTER(_xlpm.sheets,_xlpm.qtys&gt;0),_xlpm.mx,IFERROR(MAX(_xlpm.validNums),0),IF(_xlpm.mx=0,"",INDEX(_xlpm.validSheets,MATCH(_xlpm.mx,_xlpm.validNums,0))&amp;" (+"&amp;$R538&amp;")")))</f>
        <v/>
      </c>
      <c r="F538" s="11" t="str">
        <f t="shared" si="35"/>
        <v/>
      </c>
      <c r="G538" s="12" t="str">
        <f ca="1">IF($A538="","",IFERROR(SUMIF(INDIRECT("'"&amp;'Template Setup'!$C$4&amp;"'!C:C"),$A538,INDIRECT("'"&amp;'Template Setup'!$C$4&amp;"'!A:A")),0))</f>
        <v/>
      </c>
      <c r="H538" s="12" t="str">
        <f ca="1">IF($A538="","",IFERROR(SUMIF(INDIRECT("'"&amp;'Template Setup'!$C$5&amp;"'!C:C"),$A538,INDIRECT("'"&amp;'Template Setup'!$C$5&amp;"'!A:A")),0))</f>
        <v/>
      </c>
      <c r="I538" s="12" t="str">
        <f ca="1">IF($A538="","",IFERROR(SUMIF(INDIRECT("'"&amp;'Template Setup'!$C$6&amp;"'!C:C"),$A538,INDIRECT("'"&amp;'Template Setup'!$C$6&amp;"'!A:A")),0))</f>
        <v/>
      </c>
      <c r="J538" s="12" t="str">
        <f ca="1">IF($A538="","",IFERROR(SUMIF(INDIRECT("'"&amp;'Template Setup'!$C$7&amp;"'!C:C"),$A538,INDIRECT("'"&amp;'Template Setup'!$C$7&amp;"'!A:A")),0))</f>
        <v/>
      </c>
      <c r="K538" s="12" t="str">
        <f ca="1">IF($A538="","",IFERROR(SUMIF(INDIRECT("'"&amp;'Template Setup'!$C$8&amp;"'!C:C"),$A538,INDIRECT("'"&amp;'Template Setup'!$C$8&amp;"'!A:A")),0))</f>
        <v/>
      </c>
      <c r="L538" s="11" t="str">
        <f>IF($A538="","",IFERROR(VALUE(MID(TRIM('Template Setup'!$C$4),FIND("-",TRIM('Template Setup'!$C$4))+1,10)),0))</f>
        <v/>
      </c>
      <c r="M538" s="11" t="str">
        <f>IF($A538="","",IFERROR(VALUE(MID(TRIM('Template Setup'!$C$5),FIND("-",TRIM('Template Setup'!$C$5))+1,10)),0))</f>
        <v/>
      </c>
      <c r="N538" s="11" t="str">
        <f>IF($A538="","",IFERROR(VALUE(MID(TRIM('Template Setup'!$C$6),FIND("-",TRIM('Template Setup'!$C$6))+1,10)),0))</f>
        <v/>
      </c>
      <c r="O538" s="11" t="str">
        <f>IF($A538="","",IFERROR(VALUE(MID(TRIM('Template Setup'!$C$7),FIND("-",TRIM('Template Setup'!$C$7))+1,10)),0))</f>
        <v/>
      </c>
      <c r="P538" s="11" t="str">
        <f>IF($A538="","",IFERROR(VALUE(MID(TRIM('Template Setup'!$C$8),FIND("-",TRIM('Template Setup'!$C$8))+1,10)),0))</f>
        <v/>
      </c>
      <c r="Q538" s="9" t="str">
        <f>IF($A538="","",$A538&amp;"-"&amp;'Template Setup'!$C$16)</f>
        <v/>
      </c>
      <c r="R538" s="24" t="str">
        <f t="shared" si="33"/>
        <v/>
      </c>
      <c r="S538" s="24"/>
      <c r="T538" s="24" t="str">
        <f t="shared" si="34"/>
        <v/>
      </c>
      <c r="U538" s="6" t="str">
        <f t="shared" si="36"/>
        <v/>
      </c>
    </row>
    <row r="539" spans="1:21">
      <c r="A539" s="11"/>
      <c r="B539" s="11"/>
      <c r="C539" s="11"/>
      <c r="D539" s="11" t="str">
        <f>IF($A539="","",_xlfn.TEXTJOIN(", ",TRUE,IF($G539&gt;0,'Template Setup'!$C$4,""),IF($H539&gt;0,'Template Setup'!$C$5,""),IF($I539&gt;0,'Template Setup'!$C$6,""),IF($J539&gt;0,'Template Setup'!$C$7,""),IF($K539&gt;0,'Template Setup'!$C$8,"")))</f>
        <v/>
      </c>
      <c r="E539" s="6" t="str" cm="1">
        <f t="array" ref="E539">IF($A539="","",_xlfn.LET(_xlpm.sheets,CHOOSE({1,2,3,4,5},'Template Setup'!$C$4,'Template Setup'!$C$5,'Template Setup'!$C$6,'Template Setup'!$C$7,'Template Setup'!$C$8),_xlpm.nums,CHOOSE({1,2,3,4,5},$L539,$M539,$N539,$O539,$P539),_xlpm.qtys,CHOOSE({1,2,3,4,5},$G539,$H539,$I539,$J539,$K539),_xlpm.validNums,_xlfn._xlws.FILTER(_xlpm.nums,_xlpm.qtys&gt;0),_xlpm.validSheets,_xlfn._xlws.FILTER(_xlpm.sheets,_xlpm.qtys&gt;0),_xlpm.mx,IFERROR(MAX(_xlpm.validNums),0),IF(_xlpm.mx=0,"",INDEX(_xlpm.validSheets,MATCH(_xlpm.mx,_xlpm.validNums,0))&amp;" (+"&amp;$R539&amp;")")))</f>
        <v/>
      </c>
      <c r="F539" s="11" t="str">
        <f t="shared" si="35"/>
        <v/>
      </c>
      <c r="G539" s="12" t="str">
        <f ca="1">IF($A539="","",IFERROR(SUMIF(INDIRECT("'"&amp;'Template Setup'!$C$4&amp;"'!C:C"),$A539,INDIRECT("'"&amp;'Template Setup'!$C$4&amp;"'!A:A")),0))</f>
        <v/>
      </c>
      <c r="H539" s="12" t="str">
        <f ca="1">IF($A539="","",IFERROR(SUMIF(INDIRECT("'"&amp;'Template Setup'!$C$5&amp;"'!C:C"),$A539,INDIRECT("'"&amp;'Template Setup'!$C$5&amp;"'!A:A")),0))</f>
        <v/>
      </c>
      <c r="I539" s="12" t="str">
        <f ca="1">IF($A539="","",IFERROR(SUMIF(INDIRECT("'"&amp;'Template Setup'!$C$6&amp;"'!C:C"),$A539,INDIRECT("'"&amp;'Template Setup'!$C$6&amp;"'!A:A")),0))</f>
        <v/>
      </c>
      <c r="J539" s="12" t="str">
        <f ca="1">IF($A539="","",IFERROR(SUMIF(INDIRECT("'"&amp;'Template Setup'!$C$7&amp;"'!C:C"),$A539,INDIRECT("'"&amp;'Template Setup'!$C$7&amp;"'!A:A")),0))</f>
        <v/>
      </c>
      <c r="K539" s="12" t="str">
        <f ca="1">IF($A539="","",IFERROR(SUMIF(INDIRECT("'"&amp;'Template Setup'!$C$8&amp;"'!C:C"),$A539,INDIRECT("'"&amp;'Template Setup'!$C$8&amp;"'!A:A")),0))</f>
        <v/>
      </c>
      <c r="L539" s="11" t="str">
        <f>IF($A539="","",IFERROR(VALUE(MID(TRIM('Template Setup'!$C$4),FIND("-",TRIM('Template Setup'!$C$4))+1,10)),0))</f>
        <v/>
      </c>
      <c r="M539" s="11" t="str">
        <f>IF($A539="","",IFERROR(VALUE(MID(TRIM('Template Setup'!$C$5),FIND("-",TRIM('Template Setup'!$C$5))+1,10)),0))</f>
        <v/>
      </c>
      <c r="N539" s="11" t="str">
        <f>IF($A539="","",IFERROR(VALUE(MID(TRIM('Template Setup'!$C$6),FIND("-",TRIM('Template Setup'!$C$6))+1,10)),0))</f>
        <v/>
      </c>
      <c r="O539" s="11" t="str">
        <f>IF($A539="","",IFERROR(VALUE(MID(TRIM('Template Setup'!$C$7),FIND("-",TRIM('Template Setup'!$C$7))+1,10)),0))</f>
        <v/>
      </c>
      <c r="P539" s="11" t="str">
        <f>IF($A539="","",IFERROR(VALUE(MID(TRIM('Template Setup'!$C$8),FIND("-",TRIM('Template Setup'!$C$8))+1,10)),0))</f>
        <v/>
      </c>
      <c r="Q539" s="9" t="str">
        <f>IF($A539="","",$A539&amp;"-"&amp;'Template Setup'!$C$16)</f>
        <v/>
      </c>
      <c r="R539" s="24" t="str">
        <f t="shared" si="33"/>
        <v/>
      </c>
      <c r="S539" s="24"/>
      <c r="T539" s="24" t="str">
        <f t="shared" si="34"/>
        <v/>
      </c>
      <c r="U539" s="6" t="str">
        <f t="shared" si="36"/>
        <v/>
      </c>
    </row>
    <row r="540" spans="1:21">
      <c r="A540" s="11"/>
      <c r="B540" s="11"/>
      <c r="C540" s="11"/>
      <c r="D540" s="11" t="str">
        <f>IF($A540="","",_xlfn.TEXTJOIN(", ",TRUE,IF($G540&gt;0,'Template Setup'!$C$4,""),IF($H540&gt;0,'Template Setup'!$C$5,""),IF($I540&gt;0,'Template Setup'!$C$6,""),IF($J540&gt;0,'Template Setup'!$C$7,""),IF($K540&gt;0,'Template Setup'!$C$8,"")))</f>
        <v/>
      </c>
      <c r="E540" s="6" t="str" cm="1">
        <f t="array" ref="E540">IF($A540="","",_xlfn.LET(_xlpm.sheets,CHOOSE({1,2,3,4,5},'Template Setup'!$C$4,'Template Setup'!$C$5,'Template Setup'!$C$6,'Template Setup'!$C$7,'Template Setup'!$C$8),_xlpm.nums,CHOOSE({1,2,3,4,5},$L540,$M540,$N540,$O540,$P540),_xlpm.qtys,CHOOSE({1,2,3,4,5},$G540,$H540,$I540,$J540,$K540),_xlpm.validNums,_xlfn._xlws.FILTER(_xlpm.nums,_xlpm.qtys&gt;0),_xlpm.validSheets,_xlfn._xlws.FILTER(_xlpm.sheets,_xlpm.qtys&gt;0),_xlpm.mx,IFERROR(MAX(_xlpm.validNums),0),IF(_xlpm.mx=0,"",INDEX(_xlpm.validSheets,MATCH(_xlpm.mx,_xlpm.validNums,0))&amp;" (+"&amp;$R540&amp;")")))</f>
        <v/>
      </c>
      <c r="F540" s="11" t="str">
        <f t="shared" si="35"/>
        <v/>
      </c>
      <c r="G540" s="12" t="str">
        <f ca="1">IF($A540="","",IFERROR(SUMIF(INDIRECT("'"&amp;'Template Setup'!$C$4&amp;"'!C:C"),$A540,INDIRECT("'"&amp;'Template Setup'!$C$4&amp;"'!A:A")),0))</f>
        <v/>
      </c>
      <c r="H540" s="12" t="str">
        <f ca="1">IF($A540="","",IFERROR(SUMIF(INDIRECT("'"&amp;'Template Setup'!$C$5&amp;"'!C:C"),$A540,INDIRECT("'"&amp;'Template Setup'!$C$5&amp;"'!A:A")),0))</f>
        <v/>
      </c>
      <c r="I540" s="12" t="str">
        <f ca="1">IF($A540="","",IFERROR(SUMIF(INDIRECT("'"&amp;'Template Setup'!$C$6&amp;"'!C:C"),$A540,INDIRECT("'"&amp;'Template Setup'!$C$6&amp;"'!A:A")),0))</f>
        <v/>
      </c>
      <c r="J540" s="12" t="str">
        <f ca="1">IF($A540="","",IFERROR(SUMIF(INDIRECT("'"&amp;'Template Setup'!$C$7&amp;"'!C:C"),$A540,INDIRECT("'"&amp;'Template Setup'!$C$7&amp;"'!A:A")),0))</f>
        <v/>
      </c>
      <c r="K540" s="12" t="str">
        <f ca="1">IF($A540="","",IFERROR(SUMIF(INDIRECT("'"&amp;'Template Setup'!$C$8&amp;"'!C:C"),$A540,INDIRECT("'"&amp;'Template Setup'!$C$8&amp;"'!A:A")),0))</f>
        <v/>
      </c>
      <c r="L540" s="11" t="str">
        <f>IF($A540="","",IFERROR(VALUE(MID(TRIM('Template Setup'!$C$4),FIND("-",TRIM('Template Setup'!$C$4))+1,10)),0))</f>
        <v/>
      </c>
      <c r="M540" s="11" t="str">
        <f>IF($A540="","",IFERROR(VALUE(MID(TRIM('Template Setup'!$C$5),FIND("-",TRIM('Template Setup'!$C$5))+1,10)),0))</f>
        <v/>
      </c>
      <c r="N540" s="11" t="str">
        <f>IF($A540="","",IFERROR(VALUE(MID(TRIM('Template Setup'!$C$6),FIND("-",TRIM('Template Setup'!$C$6))+1,10)),0))</f>
        <v/>
      </c>
      <c r="O540" s="11" t="str">
        <f>IF($A540="","",IFERROR(VALUE(MID(TRIM('Template Setup'!$C$7),FIND("-",TRIM('Template Setup'!$C$7))+1,10)),0))</f>
        <v/>
      </c>
      <c r="P540" s="11" t="str">
        <f>IF($A540="","",IFERROR(VALUE(MID(TRIM('Template Setup'!$C$8),FIND("-",TRIM('Template Setup'!$C$8))+1,10)),0))</f>
        <v/>
      </c>
      <c r="Q540" s="9" t="str">
        <f>IF($A540="","",$A540&amp;"-"&amp;'Template Setup'!$C$16)</f>
        <v/>
      </c>
      <c r="R540" s="24" t="str">
        <f t="shared" si="33"/>
        <v/>
      </c>
      <c r="S540" s="24"/>
      <c r="T540" s="24" t="str">
        <f t="shared" si="34"/>
        <v/>
      </c>
      <c r="U540" s="6" t="str">
        <f t="shared" si="36"/>
        <v/>
      </c>
    </row>
    <row r="541" spans="1:21">
      <c r="A541" s="11"/>
      <c r="B541" s="11"/>
      <c r="C541" s="11"/>
      <c r="D541" s="11" t="str">
        <f>IF($A541="","",_xlfn.TEXTJOIN(", ",TRUE,IF($G541&gt;0,'Template Setup'!$C$4,""),IF($H541&gt;0,'Template Setup'!$C$5,""),IF($I541&gt;0,'Template Setup'!$C$6,""),IF($J541&gt;0,'Template Setup'!$C$7,""),IF($K541&gt;0,'Template Setup'!$C$8,"")))</f>
        <v/>
      </c>
      <c r="E541" s="6" t="str" cm="1">
        <f t="array" ref="E541">IF($A541="","",_xlfn.LET(_xlpm.sheets,CHOOSE({1,2,3,4,5},'Template Setup'!$C$4,'Template Setup'!$C$5,'Template Setup'!$C$6,'Template Setup'!$C$7,'Template Setup'!$C$8),_xlpm.nums,CHOOSE({1,2,3,4,5},$L541,$M541,$N541,$O541,$P541),_xlpm.qtys,CHOOSE({1,2,3,4,5},$G541,$H541,$I541,$J541,$K541),_xlpm.validNums,_xlfn._xlws.FILTER(_xlpm.nums,_xlpm.qtys&gt;0),_xlpm.validSheets,_xlfn._xlws.FILTER(_xlpm.sheets,_xlpm.qtys&gt;0),_xlpm.mx,IFERROR(MAX(_xlpm.validNums),0),IF(_xlpm.mx=0,"",INDEX(_xlpm.validSheets,MATCH(_xlpm.mx,_xlpm.validNums,0))&amp;" (+"&amp;$R541&amp;")")))</f>
        <v/>
      </c>
      <c r="F541" s="11" t="str">
        <f t="shared" si="35"/>
        <v/>
      </c>
      <c r="G541" s="12" t="str">
        <f ca="1">IF($A541="","",IFERROR(SUMIF(INDIRECT("'"&amp;'Template Setup'!$C$4&amp;"'!C:C"),$A541,INDIRECT("'"&amp;'Template Setup'!$C$4&amp;"'!A:A")),0))</f>
        <v/>
      </c>
      <c r="H541" s="12" t="str">
        <f ca="1">IF($A541="","",IFERROR(SUMIF(INDIRECT("'"&amp;'Template Setup'!$C$5&amp;"'!C:C"),$A541,INDIRECT("'"&amp;'Template Setup'!$C$5&amp;"'!A:A")),0))</f>
        <v/>
      </c>
      <c r="I541" s="12" t="str">
        <f ca="1">IF($A541="","",IFERROR(SUMIF(INDIRECT("'"&amp;'Template Setup'!$C$6&amp;"'!C:C"),$A541,INDIRECT("'"&amp;'Template Setup'!$C$6&amp;"'!A:A")),0))</f>
        <v/>
      </c>
      <c r="J541" s="12" t="str">
        <f ca="1">IF($A541="","",IFERROR(SUMIF(INDIRECT("'"&amp;'Template Setup'!$C$7&amp;"'!C:C"),$A541,INDIRECT("'"&amp;'Template Setup'!$C$7&amp;"'!A:A")),0))</f>
        <v/>
      </c>
      <c r="K541" s="12" t="str">
        <f ca="1">IF($A541="","",IFERROR(SUMIF(INDIRECT("'"&amp;'Template Setup'!$C$8&amp;"'!C:C"),$A541,INDIRECT("'"&amp;'Template Setup'!$C$8&amp;"'!A:A")),0))</f>
        <v/>
      </c>
      <c r="L541" s="11" t="str">
        <f>IF($A541="","",IFERROR(VALUE(MID(TRIM('Template Setup'!$C$4),FIND("-",TRIM('Template Setup'!$C$4))+1,10)),0))</f>
        <v/>
      </c>
      <c r="M541" s="11" t="str">
        <f>IF($A541="","",IFERROR(VALUE(MID(TRIM('Template Setup'!$C$5),FIND("-",TRIM('Template Setup'!$C$5))+1,10)),0))</f>
        <v/>
      </c>
      <c r="N541" s="11" t="str">
        <f>IF($A541="","",IFERROR(VALUE(MID(TRIM('Template Setup'!$C$6),FIND("-",TRIM('Template Setup'!$C$6))+1,10)),0))</f>
        <v/>
      </c>
      <c r="O541" s="11" t="str">
        <f>IF($A541="","",IFERROR(VALUE(MID(TRIM('Template Setup'!$C$7),FIND("-",TRIM('Template Setup'!$C$7))+1,10)),0))</f>
        <v/>
      </c>
      <c r="P541" s="11" t="str">
        <f>IF($A541="","",IFERROR(VALUE(MID(TRIM('Template Setup'!$C$8),FIND("-",TRIM('Template Setup'!$C$8))+1,10)),0))</f>
        <v/>
      </c>
      <c r="Q541" s="9" t="str">
        <f>IF($A541="","",$A541&amp;"-"&amp;'Template Setup'!$C$16)</f>
        <v/>
      </c>
      <c r="R541" s="24" t="str">
        <f t="shared" si="33"/>
        <v/>
      </c>
      <c r="S541" s="24"/>
      <c r="T541" s="24" t="str">
        <f t="shared" si="34"/>
        <v/>
      </c>
      <c r="U541" s="6" t="str">
        <f t="shared" si="36"/>
        <v/>
      </c>
    </row>
    <row r="542" spans="1:21">
      <c r="A542" s="11"/>
      <c r="B542" s="11"/>
      <c r="C542" s="11"/>
      <c r="D542" s="11" t="str">
        <f>IF($A542="","",_xlfn.TEXTJOIN(", ",TRUE,IF($G542&gt;0,'Template Setup'!$C$4,""),IF($H542&gt;0,'Template Setup'!$C$5,""),IF($I542&gt;0,'Template Setup'!$C$6,""),IF($J542&gt;0,'Template Setup'!$C$7,""),IF($K542&gt;0,'Template Setup'!$C$8,"")))</f>
        <v/>
      </c>
      <c r="E542" s="6" t="str" cm="1">
        <f t="array" ref="E542">IF($A542="","",_xlfn.LET(_xlpm.sheets,CHOOSE({1,2,3,4,5},'Template Setup'!$C$4,'Template Setup'!$C$5,'Template Setup'!$C$6,'Template Setup'!$C$7,'Template Setup'!$C$8),_xlpm.nums,CHOOSE({1,2,3,4,5},$L542,$M542,$N542,$O542,$P542),_xlpm.qtys,CHOOSE({1,2,3,4,5},$G542,$H542,$I542,$J542,$K542),_xlpm.validNums,_xlfn._xlws.FILTER(_xlpm.nums,_xlpm.qtys&gt;0),_xlpm.validSheets,_xlfn._xlws.FILTER(_xlpm.sheets,_xlpm.qtys&gt;0),_xlpm.mx,IFERROR(MAX(_xlpm.validNums),0),IF(_xlpm.mx=0,"",INDEX(_xlpm.validSheets,MATCH(_xlpm.mx,_xlpm.validNums,0))&amp;" (+"&amp;$R542&amp;")")))</f>
        <v/>
      </c>
      <c r="F542" s="11" t="str">
        <f t="shared" si="35"/>
        <v/>
      </c>
      <c r="G542" s="12" t="str">
        <f ca="1">IF($A542="","",IFERROR(SUMIF(INDIRECT("'"&amp;'Template Setup'!$C$4&amp;"'!C:C"),$A542,INDIRECT("'"&amp;'Template Setup'!$C$4&amp;"'!A:A")),0))</f>
        <v/>
      </c>
      <c r="H542" s="12" t="str">
        <f ca="1">IF($A542="","",IFERROR(SUMIF(INDIRECT("'"&amp;'Template Setup'!$C$5&amp;"'!C:C"),$A542,INDIRECT("'"&amp;'Template Setup'!$C$5&amp;"'!A:A")),0))</f>
        <v/>
      </c>
      <c r="I542" s="12" t="str">
        <f ca="1">IF($A542="","",IFERROR(SUMIF(INDIRECT("'"&amp;'Template Setup'!$C$6&amp;"'!C:C"),$A542,INDIRECT("'"&amp;'Template Setup'!$C$6&amp;"'!A:A")),0))</f>
        <v/>
      </c>
      <c r="J542" s="12" t="str">
        <f ca="1">IF($A542="","",IFERROR(SUMIF(INDIRECT("'"&amp;'Template Setup'!$C$7&amp;"'!C:C"),$A542,INDIRECT("'"&amp;'Template Setup'!$C$7&amp;"'!A:A")),0))</f>
        <v/>
      </c>
      <c r="K542" s="12" t="str">
        <f ca="1">IF($A542="","",IFERROR(SUMIF(INDIRECT("'"&amp;'Template Setup'!$C$8&amp;"'!C:C"),$A542,INDIRECT("'"&amp;'Template Setup'!$C$8&amp;"'!A:A")),0))</f>
        <v/>
      </c>
      <c r="L542" s="11" t="str">
        <f>IF($A542="","",IFERROR(VALUE(MID(TRIM('Template Setup'!$C$4),FIND("-",TRIM('Template Setup'!$C$4))+1,10)),0))</f>
        <v/>
      </c>
      <c r="M542" s="11" t="str">
        <f>IF($A542="","",IFERROR(VALUE(MID(TRIM('Template Setup'!$C$5),FIND("-",TRIM('Template Setup'!$C$5))+1,10)),0))</f>
        <v/>
      </c>
      <c r="N542" s="11" t="str">
        <f>IF($A542="","",IFERROR(VALUE(MID(TRIM('Template Setup'!$C$6),FIND("-",TRIM('Template Setup'!$C$6))+1,10)),0))</f>
        <v/>
      </c>
      <c r="O542" s="11" t="str">
        <f>IF($A542="","",IFERROR(VALUE(MID(TRIM('Template Setup'!$C$7),FIND("-",TRIM('Template Setup'!$C$7))+1,10)),0))</f>
        <v/>
      </c>
      <c r="P542" s="11" t="str">
        <f>IF($A542="","",IFERROR(VALUE(MID(TRIM('Template Setup'!$C$8),FIND("-",TRIM('Template Setup'!$C$8))+1,10)),0))</f>
        <v/>
      </c>
      <c r="Q542" s="9" t="str">
        <f>IF($A542="","",$A542&amp;"-"&amp;'Template Setup'!$C$16)</f>
        <v/>
      </c>
      <c r="R542" s="24" t="str">
        <f t="shared" si="33"/>
        <v/>
      </c>
      <c r="S542" s="24"/>
      <c r="T542" s="24" t="str">
        <f t="shared" si="34"/>
        <v/>
      </c>
      <c r="U542" s="6" t="str">
        <f t="shared" si="36"/>
        <v/>
      </c>
    </row>
    <row r="543" spans="1:21">
      <c r="A543" s="11"/>
      <c r="B543" s="11"/>
      <c r="C543" s="11"/>
      <c r="D543" s="11" t="str">
        <f>IF($A543="","",_xlfn.TEXTJOIN(", ",TRUE,IF($G543&gt;0,'Template Setup'!$C$4,""),IF($H543&gt;0,'Template Setup'!$C$5,""),IF($I543&gt;0,'Template Setup'!$C$6,""),IF($J543&gt;0,'Template Setup'!$C$7,""),IF($K543&gt;0,'Template Setup'!$C$8,"")))</f>
        <v/>
      </c>
      <c r="E543" s="6" t="str" cm="1">
        <f t="array" ref="E543">IF($A543="","",_xlfn.LET(_xlpm.sheets,CHOOSE({1,2,3,4,5},'Template Setup'!$C$4,'Template Setup'!$C$5,'Template Setup'!$C$6,'Template Setup'!$C$7,'Template Setup'!$C$8),_xlpm.nums,CHOOSE({1,2,3,4,5},$L543,$M543,$N543,$O543,$P543),_xlpm.qtys,CHOOSE({1,2,3,4,5},$G543,$H543,$I543,$J543,$K543),_xlpm.validNums,_xlfn._xlws.FILTER(_xlpm.nums,_xlpm.qtys&gt;0),_xlpm.validSheets,_xlfn._xlws.FILTER(_xlpm.sheets,_xlpm.qtys&gt;0),_xlpm.mx,IFERROR(MAX(_xlpm.validNums),0),IF(_xlpm.mx=0,"",INDEX(_xlpm.validSheets,MATCH(_xlpm.mx,_xlpm.validNums,0))&amp;" (+"&amp;$R543&amp;")")))</f>
        <v/>
      </c>
      <c r="F543" s="11" t="str">
        <f t="shared" si="35"/>
        <v/>
      </c>
      <c r="G543" s="12" t="str">
        <f ca="1">IF($A543="","",IFERROR(SUMIF(INDIRECT("'"&amp;'Template Setup'!$C$4&amp;"'!C:C"),$A543,INDIRECT("'"&amp;'Template Setup'!$C$4&amp;"'!A:A")),0))</f>
        <v/>
      </c>
      <c r="H543" s="12" t="str">
        <f ca="1">IF($A543="","",IFERROR(SUMIF(INDIRECT("'"&amp;'Template Setup'!$C$5&amp;"'!C:C"),$A543,INDIRECT("'"&amp;'Template Setup'!$C$5&amp;"'!A:A")),0))</f>
        <v/>
      </c>
      <c r="I543" s="12" t="str">
        <f ca="1">IF($A543="","",IFERROR(SUMIF(INDIRECT("'"&amp;'Template Setup'!$C$6&amp;"'!C:C"),$A543,INDIRECT("'"&amp;'Template Setup'!$C$6&amp;"'!A:A")),0))</f>
        <v/>
      </c>
      <c r="J543" s="12" t="str">
        <f ca="1">IF($A543="","",IFERROR(SUMIF(INDIRECT("'"&amp;'Template Setup'!$C$7&amp;"'!C:C"),$A543,INDIRECT("'"&amp;'Template Setup'!$C$7&amp;"'!A:A")),0))</f>
        <v/>
      </c>
      <c r="K543" s="12" t="str">
        <f ca="1">IF($A543="","",IFERROR(SUMIF(INDIRECT("'"&amp;'Template Setup'!$C$8&amp;"'!C:C"),$A543,INDIRECT("'"&amp;'Template Setup'!$C$8&amp;"'!A:A")),0))</f>
        <v/>
      </c>
      <c r="L543" s="11" t="str">
        <f>IF($A543="","",IFERROR(VALUE(MID(TRIM('Template Setup'!$C$4),FIND("-",TRIM('Template Setup'!$C$4))+1,10)),0))</f>
        <v/>
      </c>
      <c r="M543" s="11" t="str">
        <f>IF($A543="","",IFERROR(VALUE(MID(TRIM('Template Setup'!$C$5),FIND("-",TRIM('Template Setup'!$C$5))+1,10)),0))</f>
        <v/>
      </c>
      <c r="N543" s="11" t="str">
        <f>IF($A543="","",IFERROR(VALUE(MID(TRIM('Template Setup'!$C$6),FIND("-",TRIM('Template Setup'!$C$6))+1,10)),0))</f>
        <v/>
      </c>
      <c r="O543" s="11" t="str">
        <f>IF($A543="","",IFERROR(VALUE(MID(TRIM('Template Setup'!$C$7),FIND("-",TRIM('Template Setup'!$C$7))+1,10)),0))</f>
        <v/>
      </c>
      <c r="P543" s="11" t="str">
        <f>IF($A543="","",IFERROR(VALUE(MID(TRIM('Template Setup'!$C$8),FIND("-",TRIM('Template Setup'!$C$8))+1,10)),0))</f>
        <v/>
      </c>
      <c r="Q543" s="9" t="str">
        <f>IF($A543="","",$A543&amp;"-"&amp;'Template Setup'!$C$16)</f>
        <v/>
      </c>
      <c r="R543" s="24" t="str">
        <f t="shared" si="33"/>
        <v/>
      </c>
      <c r="S543" s="24"/>
      <c r="T543" s="24" t="str">
        <f t="shared" si="34"/>
        <v/>
      </c>
      <c r="U543" s="6" t="str">
        <f t="shared" si="36"/>
        <v/>
      </c>
    </row>
    <row r="544" spans="1:21">
      <c r="A544" s="11"/>
      <c r="B544" s="11"/>
      <c r="C544" s="11"/>
      <c r="D544" s="11" t="str">
        <f>IF($A544="","",_xlfn.TEXTJOIN(", ",TRUE,IF($G544&gt;0,'Template Setup'!$C$4,""),IF($H544&gt;0,'Template Setup'!$C$5,""),IF($I544&gt;0,'Template Setup'!$C$6,""),IF($J544&gt;0,'Template Setup'!$C$7,""),IF($K544&gt;0,'Template Setup'!$C$8,"")))</f>
        <v/>
      </c>
      <c r="E544" s="6" t="str" cm="1">
        <f t="array" ref="E544">IF($A544="","",_xlfn.LET(_xlpm.sheets,CHOOSE({1,2,3,4,5},'Template Setup'!$C$4,'Template Setup'!$C$5,'Template Setup'!$C$6,'Template Setup'!$C$7,'Template Setup'!$C$8),_xlpm.nums,CHOOSE({1,2,3,4,5},$L544,$M544,$N544,$O544,$P544),_xlpm.qtys,CHOOSE({1,2,3,4,5},$G544,$H544,$I544,$J544,$K544),_xlpm.validNums,_xlfn._xlws.FILTER(_xlpm.nums,_xlpm.qtys&gt;0),_xlpm.validSheets,_xlfn._xlws.FILTER(_xlpm.sheets,_xlpm.qtys&gt;0),_xlpm.mx,IFERROR(MAX(_xlpm.validNums),0),IF(_xlpm.mx=0,"",INDEX(_xlpm.validSheets,MATCH(_xlpm.mx,_xlpm.validNums,0))&amp;" (+"&amp;$R544&amp;")")))</f>
        <v/>
      </c>
      <c r="F544" s="11" t="str">
        <f t="shared" si="35"/>
        <v/>
      </c>
      <c r="G544" s="12" t="str">
        <f ca="1">IF($A544="","",IFERROR(SUMIF(INDIRECT("'"&amp;'Template Setup'!$C$4&amp;"'!C:C"),$A544,INDIRECT("'"&amp;'Template Setup'!$C$4&amp;"'!A:A")),0))</f>
        <v/>
      </c>
      <c r="H544" s="12" t="str">
        <f ca="1">IF($A544="","",IFERROR(SUMIF(INDIRECT("'"&amp;'Template Setup'!$C$5&amp;"'!C:C"),$A544,INDIRECT("'"&amp;'Template Setup'!$C$5&amp;"'!A:A")),0))</f>
        <v/>
      </c>
      <c r="I544" s="12" t="str">
        <f ca="1">IF($A544="","",IFERROR(SUMIF(INDIRECT("'"&amp;'Template Setup'!$C$6&amp;"'!C:C"),$A544,INDIRECT("'"&amp;'Template Setup'!$C$6&amp;"'!A:A")),0))</f>
        <v/>
      </c>
      <c r="J544" s="12" t="str">
        <f ca="1">IF($A544="","",IFERROR(SUMIF(INDIRECT("'"&amp;'Template Setup'!$C$7&amp;"'!C:C"),$A544,INDIRECT("'"&amp;'Template Setup'!$C$7&amp;"'!A:A")),0))</f>
        <v/>
      </c>
      <c r="K544" s="12" t="str">
        <f ca="1">IF($A544="","",IFERROR(SUMIF(INDIRECT("'"&amp;'Template Setup'!$C$8&amp;"'!C:C"),$A544,INDIRECT("'"&amp;'Template Setup'!$C$8&amp;"'!A:A")),0))</f>
        <v/>
      </c>
      <c r="L544" s="11" t="str">
        <f>IF($A544="","",IFERROR(VALUE(MID(TRIM('Template Setup'!$C$4),FIND("-",TRIM('Template Setup'!$C$4))+1,10)),0))</f>
        <v/>
      </c>
      <c r="M544" s="11" t="str">
        <f>IF($A544="","",IFERROR(VALUE(MID(TRIM('Template Setup'!$C$5),FIND("-",TRIM('Template Setup'!$C$5))+1,10)),0))</f>
        <v/>
      </c>
      <c r="N544" s="11" t="str">
        <f>IF($A544="","",IFERROR(VALUE(MID(TRIM('Template Setup'!$C$6),FIND("-",TRIM('Template Setup'!$C$6))+1,10)),0))</f>
        <v/>
      </c>
      <c r="O544" s="11" t="str">
        <f>IF($A544="","",IFERROR(VALUE(MID(TRIM('Template Setup'!$C$7),FIND("-",TRIM('Template Setup'!$C$7))+1,10)),0))</f>
        <v/>
      </c>
      <c r="P544" s="11" t="str">
        <f>IF($A544="","",IFERROR(VALUE(MID(TRIM('Template Setup'!$C$8),FIND("-",TRIM('Template Setup'!$C$8))+1,10)),0))</f>
        <v/>
      </c>
      <c r="Q544" s="9" t="str">
        <f>IF($A544="","",$A544&amp;"-"&amp;'Template Setup'!$C$16)</f>
        <v/>
      </c>
      <c r="R544" s="24" t="str">
        <f t="shared" si="33"/>
        <v/>
      </c>
      <c r="S544" s="24"/>
      <c r="T544" s="24" t="str">
        <f t="shared" si="34"/>
        <v/>
      </c>
      <c r="U544" s="6" t="str">
        <f t="shared" si="36"/>
        <v/>
      </c>
    </row>
    <row r="545" spans="1:21">
      <c r="A545" s="11"/>
      <c r="B545" s="11"/>
      <c r="C545" s="11"/>
      <c r="D545" s="11" t="str">
        <f>IF($A545="","",_xlfn.TEXTJOIN(", ",TRUE,IF($G545&gt;0,'Template Setup'!$C$4,""),IF($H545&gt;0,'Template Setup'!$C$5,""),IF($I545&gt;0,'Template Setup'!$C$6,""),IF($J545&gt;0,'Template Setup'!$C$7,""),IF($K545&gt;0,'Template Setup'!$C$8,"")))</f>
        <v/>
      </c>
      <c r="E545" s="6" t="str" cm="1">
        <f t="array" ref="E545">IF($A545="","",_xlfn.LET(_xlpm.sheets,CHOOSE({1,2,3,4,5},'Template Setup'!$C$4,'Template Setup'!$C$5,'Template Setup'!$C$6,'Template Setup'!$C$7,'Template Setup'!$C$8),_xlpm.nums,CHOOSE({1,2,3,4,5},$L545,$M545,$N545,$O545,$P545),_xlpm.qtys,CHOOSE({1,2,3,4,5},$G545,$H545,$I545,$J545,$K545),_xlpm.validNums,_xlfn._xlws.FILTER(_xlpm.nums,_xlpm.qtys&gt;0),_xlpm.validSheets,_xlfn._xlws.FILTER(_xlpm.sheets,_xlpm.qtys&gt;0),_xlpm.mx,IFERROR(MAX(_xlpm.validNums),0),IF(_xlpm.mx=0,"",INDEX(_xlpm.validSheets,MATCH(_xlpm.mx,_xlpm.validNums,0))&amp;" (+"&amp;$R545&amp;")")))</f>
        <v/>
      </c>
      <c r="F545" s="11" t="str">
        <f t="shared" si="35"/>
        <v/>
      </c>
      <c r="G545" s="12" t="str">
        <f ca="1">IF($A545="","",IFERROR(SUMIF(INDIRECT("'"&amp;'Template Setup'!$C$4&amp;"'!C:C"),$A545,INDIRECT("'"&amp;'Template Setup'!$C$4&amp;"'!A:A")),0))</f>
        <v/>
      </c>
      <c r="H545" s="12" t="str">
        <f ca="1">IF($A545="","",IFERROR(SUMIF(INDIRECT("'"&amp;'Template Setup'!$C$5&amp;"'!C:C"),$A545,INDIRECT("'"&amp;'Template Setup'!$C$5&amp;"'!A:A")),0))</f>
        <v/>
      </c>
      <c r="I545" s="12" t="str">
        <f ca="1">IF($A545="","",IFERROR(SUMIF(INDIRECT("'"&amp;'Template Setup'!$C$6&amp;"'!C:C"),$A545,INDIRECT("'"&amp;'Template Setup'!$C$6&amp;"'!A:A")),0))</f>
        <v/>
      </c>
      <c r="J545" s="12" t="str">
        <f ca="1">IF($A545="","",IFERROR(SUMIF(INDIRECT("'"&amp;'Template Setup'!$C$7&amp;"'!C:C"),$A545,INDIRECT("'"&amp;'Template Setup'!$C$7&amp;"'!A:A")),0))</f>
        <v/>
      </c>
      <c r="K545" s="12" t="str">
        <f ca="1">IF($A545="","",IFERROR(SUMIF(INDIRECT("'"&amp;'Template Setup'!$C$8&amp;"'!C:C"),$A545,INDIRECT("'"&amp;'Template Setup'!$C$8&amp;"'!A:A")),0))</f>
        <v/>
      </c>
      <c r="L545" s="11" t="str">
        <f>IF($A545="","",IFERROR(VALUE(MID(TRIM('Template Setup'!$C$4),FIND("-",TRIM('Template Setup'!$C$4))+1,10)),0))</f>
        <v/>
      </c>
      <c r="M545" s="11" t="str">
        <f>IF($A545="","",IFERROR(VALUE(MID(TRIM('Template Setup'!$C$5),FIND("-",TRIM('Template Setup'!$C$5))+1,10)),0))</f>
        <v/>
      </c>
      <c r="N545" s="11" t="str">
        <f>IF($A545="","",IFERROR(VALUE(MID(TRIM('Template Setup'!$C$6),FIND("-",TRIM('Template Setup'!$C$6))+1,10)),0))</f>
        <v/>
      </c>
      <c r="O545" s="11" t="str">
        <f>IF($A545="","",IFERROR(VALUE(MID(TRIM('Template Setup'!$C$7),FIND("-",TRIM('Template Setup'!$C$7))+1,10)),0))</f>
        <v/>
      </c>
      <c r="P545" s="11" t="str">
        <f>IF($A545="","",IFERROR(VALUE(MID(TRIM('Template Setup'!$C$8),FIND("-",TRIM('Template Setup'!$C$8))+1,10)),0))</f>
        <v/>
      </c>
      <c r="Q545" s="9" t="str">
        <f>IF($A545="","",$A545&amp;"-"&amp;'Template Setup'!$C$16)</f>
        <v/>
      </c>
      <c r="R545" s="24" t="str">
        <f t="shared" si="33"/>
        <v/>
      </c>
      <c r="S545" s="24"/>
      <c r="T545" s="24" t="str">
        <f t="shared" si="34"/>
        <v/>
      </c>
      <c r="U545" s="6" t="str">
        <f t="shared" si="36"/>
        <v/>
      </c>
    </row>
    <row r="546" spans="1:21">
      <c r="A546" s="11"/>
      <c r="B546" s="11"/>
      <c r="C546" s="11"/>
      <c r="D546" s="11" t="str">
        <f>IF($A546="","",_xlfn.TEXTJOIN(", ",TRUE,IF($G546&gt;0,'Template Setup'!$C$4,""),IF($H546&gt;0,'Template Setup'!$C$5,""),IF($I546&gt;0,'Template Setup'!$C$6,""),IF($J546&gt;0,'Template Setup'!$C$7,""),IF($K546&gt;0,'Template Setup'!$C$8,"")))</f>
        <v/>
      </c>
      <c r="E546" s="6" t="str" cm="1">
        <f t="array" ref="E546">IF($A546="","",_xlfn.LET(_xlpm.sheets,CHOOSE({1,2,3,4,5},'Template Setup'!$C$4,'Template Setup'!$C$5,'Template Setup'!$C$6,'Template Setup'!$C$7,'Template Setup'!$C$8),_xlpm.nums,CHOOSE({1,2,3,4,5},$L546,$M546,$N546,$O546,$P546),_xlpm.qtys,CHOOSE({1,2,3,4,5},$G546,$H546,$I546,$J546,$K546),_xlpm.validNums,_xlfn._xlws.FILTER(_xlpm.nums,_xlpm.qtys&gt;0),_xlpm.validSheets,_xlfn._xlws.FILTER(_xlpm.sheets,_xlpm.qtys&gt;0),_xlpm.mx,IFERROR(MAX(_xlpm.validNums),0),IF(_xlpm.mx=0,"",INDEX(_xlpm.validSheets,MATCH(_xlpm.mx,_xlpm.validNums,0))&amp;" (+"&amp;$R546&amp;")")))</f>
        <v/>
      </c>
      <c r="F546" s="11" t="str">
        <f t="shared" si="35"/>
        <v/>
      </c>
      <c r="G546" s="12" t="str">
        <f ca="1">IF($A546="","",IFERROR(SUMIF(INDIRECT("'"&amp;'Template Setup'!$C$4&amp;"'!C:C"),$A546,INDIRECT("'"&amp;'Template Setup'!$C$4&amp;"'!A:A")),0))</f>
        <v/>
      </c>
      <c r="H546" s="12" t="str">
        <f ca="1">IF($A546="","",IFERROR(SUMIF(INDIRECT("'"&amp;'Template Setup'!$C$5&amp;"'!C:C"),$A546,INDIRECT("'"&amp;'Template Setup'!$C$5&amp;"'!A:A")),0))</f>
        <v/>
      </c>
      <c r="I546" s="12" t="str">
        <f ca="1">IF($A546="","",IFERROR(SUMIF(INDIRECT("'"&amp;'Template Setup'!$C$6&amp;"'!C:C"),$A546,INDIRECT("'"&amp;'Template Setup'!$C$6&amp;"'!A:A")),0))</f>
        <v/>
      </c>
      <c r="J546" s="12" t="str">
        <f ca="1">IF($A546="","",IFERROR(SUMIF(INDIRECT("'"&amp;'Template Setup'!$C$7&amp;"'!C:C"),$A546,INDIRECT("'"&amp;'Template Setup'!$C$7&amp;"'!A:A")),0))</f>
        <v/>
      </c>
      <c r="K546" s="12" t="str">
        <f ca="1">IF($A546="","",IFERROR(SUMIF(INDIRECT("'"&amp;'Template Setup'!$C$8&amp;"'!C:C"),$A546,INDIRECT("'"&amp;'Template Setup'!$C$8&amp;"'!A:A")),0))</f>
        <v/>
      </c>
      <c r="L546" s="11" t="str">
        <f>IF($A546="","",IFERROR(VALUE(MID(TRIM('Template Setup'!$C$4),FIND("-",TRIM('Template Setup'!$C$4))+1,10)),0))</f>
        <v/>
      </c>
      <c r="M546" s="11" t="str">
        <f>IF($A546="","",IFERROR(VALUE(MID(TRIM('Template Setup'!$C$5),FIND("-",TRIM('Template Setup'!$C$5))+1,10)),0))</f>
        <v/>
      </c>
      <c r="N546" s="11" t="str">
        <f>IF($A546="","",IFERROR(VALUE(MID(TRIM('Template Setup'!$C$6),FIND("-",TRIM('Template Setup'!$C$6))+1,10)),0))</f>
        <v/>
      </c>
      <c r="O546" s="11" t="str">
        <f>IF($A546="","",IFERROR(VALUE(MID(TRIM('Template Setup'!$C$7),FIND("-",TRIM('Template Setup'!$C$7))+1,10)),0))</f>
        <v/>
      </c>
      <c r="P546" s="11" t="str">
        <f>IF($A546="","",IFERROR(VALUE(MID(TRIM('Template Setup'!$C$8),FIND("-",TRIM('Template Setup'!$C$8))+1,10)),0))</f>
        <v/>
      </c>
      <c r="Q546" s="9" t="str">
        <f>IF($A546="","",$A546&amp;"-"&amp;'Template Setup'!$C$16)</f>
        <v/>
      </c>
      <c r="R546" s="24" t="str">
        <f t="shared" si="33"/>
        <v/>
      </c>
      <c r="S546" s="24"/>
      <c r="T546" s="24" t="str">
        <f t="shared" si="34"/>
        <v/>
      </c>
      <c r="U546" s="6" t="str">
        <f t="shared" si="36"/>
        <v/>
      </c>
    </row>
    <row r="547" spans="1:21">
      <c r="A547" s="11"/>
      <c r="B547" s="11"/>
      <c r="C547" s="11"/>
      <c r="D547" s="11" t="str">
        <f>IF($A547="","",_xlfn.TEXTJOIN(", ",TRUE,IF($G547&gt;0,'Template Setup'!$C$4,""),IF($H547&gt;0,'Template Setup'!$C$5,""),IF($I547&gt;0,'Template Setup'!$C$6,""),IF($J547&gt;0,'Template Setup'!$C$7,""),IF($K547&gt;0,'Template Setup'!$C$8,"")))</f>
        <v/>
      </c>
      <c r="E547" s="6" t="str" cm="1">
        <f t="array" ref="E547">IF($A547="","",_xlfn.LET(_xlpm.sheets,CHOOSE({1,2,3,4,5},'Template Setup'!$C$4,'Template Setup'!$C$5,'Template Setup'!$C$6,'Template Setup'!$C$7,'Template Setup'!$C$8),_xlpm.nums,CHOOSE({1,2,3,4,5},$L547,$M547,$N547,$O547,$P547),_xlpm.qtys,CHOOSE({1,2,3,4,5},$G547,$H547,$I547,$J547,$K547),_xlpm.validNums,_xlfn._xlws.FILTER(_xlpm.nums,_xlpm.qtys&gt;0),_xlpm.validSheets,_xlfn._xlws.FILTER(_xlpm.sheets,_xlpm.qtys&gt;0),_xlpm.mx,IFERROR(MAX(_xlpm.validNums),0),IF(_xlpm.mx=0,"",INDEX(_xlpm.validSheets,MATCH(_xlpm.mx,_xlpm.validNums,0))&amp;" (+"&amp;$R547&amp;")")))</f>
        <v/>
      </c>
      <c r="F547" s="11" t="str">
        <f t="shared" si="35"/>
        <v/>
      </c>
      <c r="G547" s="12" t="str">
        <f ca="1">IF($A547="","",IFERROR(SUMIF(INDIRECT("'"&amp;'Template Setup'!$C$4&amp;"'!C:C"),$A547,INDIRECT("'"&amp;'Template Setup'!$C$4&amp;"'!A:A")),0))</f>
        <v/>
      </c>
      <c r="H547" s="12" t="str">
        <f ca="1">IF($A547="","",IFERROR(SUMIF(INDIRECT("'"&amp;'Template Setup'!$C$5&amp;"'!C:C"),$A547,INDIRECT("'"&amp;'Template Setup'!$C$5&amp;"'!A:A")),0))</f>
        <v/>
      </c>
      <c r="I547" s="12" t="str">
        <f ca="1">IF($A547="","",IFERROR(SUMIF(INDIRECT("'"&amp;'Template Setup'!$C$6&amp;"'!C:C"),$A547,INDIRECT("'"&amp;'Template Setup'!$C$6&amp;"'!A:A")),0))</f>
        <v/>
      </c>
      <c r="J547" s="12" t="str">
        <f ca="1">IF($A547="","",IFERROR(SUMIF(INDIRECT("'"&amp;'Template Setup'!$C$7&amp;"'!C:C"),$A547,INDIRECT("'"&amp;'Template Setup'!$C$7&amp;"'!A:A")),0))</f>
        <v/>
      </c>
      <c r="K547" s="12" t="str">
        <f ca="1">IF($A547="","",IFERROR(SUMIF(INDIRECT("'"&amp;'Template Setup'!$C$8&amp;"'!C:C"),$A547,INDIRECT("'"&amp;'Template Setup'!$C$8&amp;"'!A:A")),0))</f>
        <v/>
      </c>
      <c r="L547" s="11" t="str">
        <f>IF($A547="","",IFERROR(VALUE(MID(TRIM('Template Setup'!$C$4),FIND("-",TRIM('Template Setup'!$C$4))+1,10)),0))</f>
        <v/>
      </c>
      <c r="M547" s="11" t="str">
        <f>IF($A547="","",IFERROR(VALUE(MID(TRIM('Template Setup'!$C$5),FIND("-",TRIM('Template Setup'!$C$5))+1,10)),0))</f>
        <v/>
      </c>
      <c r="N547" s="11" t="str">
        <f>IF($A547="","",IFERROR(VALUE(MID(TRIM('Template Setup'!$C$6),FIND("-",TRIM('Template Setup'!$C$6))+1,10)),0))</f>
        <v/>
      </c>
      <c r="O547" s="11" t="str">
        <f>IF($A547="","",IFERROR(VALUE(MID(TRIM('Template Setup'!$C$7),FIND("-",TRIM('Template Setup'!$C$7))+1,10)),0))</f>
        <v/>
      </c>
      <c r="P547" s="11" t="str">
        <f>IF($A547="","",IFERROR(VALUE(MID(TRIM('Template Setup'!$C$8),FIND("-",TRIM('Template Setup'!$C$8))+1,10)),0))</f>
        <v/>
      </c>
      <c r="Q547" s="9" t="str">
        <f>IF($A547="","",$A547&amp;"-"&amp;'Template Setup'!$C$16)</f>
        <v/>
      </c>
      <c r="R547" s="24" t="str">
        <f t="shared" si="33"/>
        <v/>
      </c>
      <c r="S547" s="24"/>
      <c r="T547" s="24" t="str">
        <f t="shared" si="34"/>
        <v/>
      </c>
      <c r="U547" s="6" t="str">
        <f t="shared" si="36"/>
        <v/>
      </c>
    </row>
    <row r="548" spans="1:21">
      <c r="A548" s="11"/>
      <c r="B548" s="11"/>
      <c r="C548" s="11"/>
      <c r="D548" s="11" t="str">
        <f>IF($A548="","",_xlfn.TEXTJOIN(", ",TRUE,IF($G548&gt;0,'Template Setup'!$C$4,""),IF($H548&gt;0,'Template Setup'!$C$5,""),IF($I548&gt;0,'Template Setup'!$C$6,""),IF($J548&gt;0,'Template Setup'!$C$7,""),IF($K548&gt;0,'Template Setup'!$C$8,"")))</f>
        <v/>
      </c>
      <c r="E548" s="6" t="str" cm="1">
        <f t="array" ref="E548">IF($A548="","",_xlfn.LET(_xlpm.sheets,CHOOSE({1,2,3,4,5},'Template Setup'!$C$4,'Template Setup'!$C$5,'Template Setup'!$C$6,'Template Setup'!$C$7,'Template Setup'!$C$8),_xlpm.nums,CHOOSE({1,2,3,4,5},$L548,$M548,$N548,$O548,$P548),_xlpm.qtys,CHOOSE({1,2,3,4,5},$G548,$H548,$I548,$J548,$K548),_xlpm.validNums,_xlfn._xlws.FILTER(_xlpm.nums,_xlpm.qtys&gt;0),_xlpm.validSheets,_xlfn._xlws.FILTER(_xlpm.sheets,_xlpm.qtys&gt;0),_xlpm.mx,IFERROR(MAX(_xlpm.validNums),0),IF(_xlpm.mx=0,"",INDEX(_xlpm.validSheets,MATCH(_xlpm.mx,_xlpm.validNums,0))&amp;" (+"&amp;$R548&amp;")")))</f>
        <v/>
      </c>
      <c r="F548" s="11" t="str">
        <f t="shared" si="35"/>
        <v/>
      </c>
      <c r="G548" s="12" t="str">
        <f ca="1">IF($A548="","",IFERROR(SUMIF(INDIRECT("'"&amp;'Template Setup'!$C$4&amp;"'!C:C"),$A548,INDIRECT("'"&amp;'Template Setup'!$C$4&amp;"'!A:A")),0))</f>
        <v/>
      </c>
      <c r="H548" s="12" t="str">
        <f ca="1">IF($A548="","",IFERROR(SUMIF(INDIRECT("'"&amp;'Template Setup'!$C$5&amp;"'!C:C"),$A548,INDIRECT("'"&amp;'Template Setup'!$C$5&amp;"'!A:A")),0))</f>
        <v/>
      </c>
      <c r="I548" s="12" t="str">
        <f ca="1">IF($A548="","",IFERROR(SUMIF(INDIRECT("'"&amp;'Template Setup'!$C$6&amp;"'!C:C"),$A548,INDIRECT("'"&amp;'Template Setup'!$C$6&amp;"'!A:A")),0))</f>
        <v/>
      </c>
      <c r="J548" s="12" t="str">
        <f ca="1">IF($A548="","",IFERROR(SUMIF(INDIRECT("'"&amp;'Template Setup'!$C$7&amp;"'!C:C"),$A548,INDIRECT("'"&amp;'Template Setup'!$C$7&amp;"'!A:A")),0))</f>
        <v/>
      </c>
      <c r="K548" s="12" t="str">
        <f ca="1">IF($A548="","",IFERROR(SUMIF(INDIRECT("'"&amp;'Template Setup'!$C$8&amp;"'!C:C"),$A548,INDIRECT("'"&amp;'Template Setup'!$C$8&amp;"'!A:A")),0))</f>
        <v/>
      </c>
      <c r="L548" s="11" t="str">
        <f>IF($A548="","",IFERROR(VALUE(MID(TRIM('Template Setup'!$C$4),FIND("-",TRIM('Template Setup'!$C$4))+1,10)),0))</f>
        <v/>
      </c>
      <c r="M548" s="11" t="str">
        <f>IF($A548="","",IFERROR(VALUE(MID(TRIM('Template Setup'!$C$5),FIND("-",TRIM('Template Setup'!$C$5))+1,10)),0))</f>
        <v/>
      </c>
      <c r="N548" s="11" t="str">
        <f>IF($A548="","",IFERROR(VALUE(MID(TRIM('Template Setup'!$C$6),FIND("-",TRIM('Template Setup'!$C$6))+1,10)),0))</f>
        <v/>
      </c>
      <c r="O548" s="11" t="str">
        <f>IF($A548="","",IFERROR(VALUE(MID(TRIM('Template Setup'!$C$7),FIND("-",TRIM('Template Setup'!$C$7))+1,10)),0))</f>
        <v/>
      </c>
      <c r="P548" s="11" t="str">
        <f>IF($A548="","",IFERROR(VALUE(MID(TRIM('Template Setup'!$C$8),FIND("-",TRIM('Template Setup'!$C$8))+1,10)),0))</f>
        <v/>
      </c>
      <c r="Q548" s="9" t="str">
        <f>IF($A548="","",$A548&amp;"-"&amp;'Template Setup'!$C$16)</f>
        <v/>
      </c>
      <c r="R548" s="24" t="str">
        <f t="shared" si="33"/>
        <v/>
      </c>
      <c r="S548" s="24"/>
      <c r="T548" s="24" t="str">
        <f t="shared" si="34"/>
        <v/>
      </c>
      <c r="U548" s="6" t="str">
        <f t="shared" si="36"/>
        <v/>
      </c>
    </row>
    <row r="549" spans="1:21">
      <c r="A549" s="11"/>
      <c r="B549" s="11"/>
      <c r="C549" s="11"/>
      <c r="D549" s="11" t="str">
        <f>IF($A549="","",_xlfn.TEXTJOIN(", ",TRUE,IF($G549&gt;0,'Template Setup'!$C$4,""),IF($H549&gt;0,'Template Setup'!$C$5,""),IF($I549&gt;0,'Template Setup'!$C$6,""),IF($J549&gt;0,'Template Setup'!$C$7,""),IF($K549&gt;0,'Template Setup'!$C$8,"")))</f>
        <v/>
      </c>
      <c r="E549" s="6" t="str" cm="1">
        <f t="array" ref="E549">IF($A549="","",_xlfn.LET(_xlpm.sheets,CHOOSE({1,2,3,4,5},'Template Setup'!$C$4,'Template Setup'!$C$5,'Template Setup'!$C$6,'Template Setup'!$C$7,'Template Setup'!$C$8),_xlpm.nums,CHOOSE({1,2,3,4,5},$L549,$M549,$N549,$O549,$P549),_xlpm.qtys,CHOOSE({1,2,3,4,5},$G549,$H549,$I549,$J549,$K549),_xlpm.validNums,_xlfn._xlws.FILTER(_xlpm.nums,_xlpm.qtys&gt;0),_xlpm.validSheets,_xlfn._xlws.FILTER(_xlpm.sheets,_xlpm.qtys&gt;0),_xlpm.mx,IFERROR(MAX(_xlpm.validNums),0),IF(_xlpm.mx=0,"",INDEX(_xlpm.validSheets,MATCH(_xlpm.mx,_xlpm.validNums,0))&amp;" (+"&amp;$R549&amp;")")))</f>
        <v/>
      </c>
      <c r="F549" s="11" t="str">
        <f t="shared" si="35"/>
        <v/>
      </c>
      <c r="G549" s="12" t="str">
        <f ca="1">IF($A549="","",IFERROR(SUMIF(INDIRECT("'"&amp;'Template Setup'!$C$4&amp;"'!C:C"),$A549,INDIRECT("'"&amp;'Template Setup'!$C$4&amp;"'!A:A")),0))</f>
        <v/>
      </c>
      <c r="H549" s="12" t="str">
        <f ca="1">IF($A549="","",IFERROR(SUMIF(INDIRECT("'"&amp;'Template Setup'!$C$5&amp;"'!C:C"),$A549,INDIRECT("'"&amp;'Template Setup'!$C$5&amp;"'!A:A")),0))</f>
        <v/>
      </c>
      <c r="I549" s="12" t="str">
        <f ca="1">IF($A549="","",IFERROR(SUMIF(INDIRECT("'"&amp;'Template Setup'!$C$6&amp;"'!C:C"),$A549,INDIRECT("'"&amp;'Template Setup'!$C$6&amp;"'!A:A")),0))</f>
        <v/>
      </c>
      <c r="J549" s="12" t="str">
        <f ca="1">IF($A549="","",IFERROR(SUMIF(INDIRECT("'"&amp;'Template Setup'!$C$7&amp;"'!C:C"),$A549,INDIRECT("'"&amp;'Template Setup'!$C$7&amp;"'!A:A")),0))</f>
        <v/>
      </c>
      <c r="K549" s="12" t="str">
        <f ca="1">IF($A549="","",IFERROR(SUMIF(INDIRECT("'"&amp;'Template Setup'!$C$8&amp;"'!C:C"),$A549,INDIRECT("'"&amp;'Template Setup'!$C$8&amp;"'!A:A")),0))</f>
        <v/>
      </c>
      <c r="L549" s="11" t="str">
        <f>IF($A549="","",IFERROR(VALUE(MID(TRIM('Template Setup'!$C$4),FIND("-",TRIM('Template Setup'!$C$4))+1,10)),0))</f>
        <v/>
      </c>
      <c r="M549" s="11" t="str">
        <f>IF($A549="","",IFERROR(VALUE(MID(TRIM('Template Setup'!$C$5),FIND("-",TRIM('Template Setup'!$C$5))+1,10)),0))</f>
        <v/>
      </c>
      <c r="N549" s="11" t="str">
        <f>IF($A549="","",IFERROR(VALUE(MID(TRIM('Template Setup'!$C$6),FIND("-",TRIM('Template Setup'!$C$6))+1,10)),0))</f>
        <v/>
      </c>
      <c r="O549" s="11" t="str">
        <f>IF($A549="","",IFERROR(VALUE(MID(TRIM('Template Setup'!$C$7),FIND("-",TRIM('Template Setup'!$C$7))+1,10)),0))</f>
        <v/>
      </c>
      <c r="P549" s="11" t="str">
        <f>IF($A549="","",IFERROR(VALUE(MID(TRIM('Template Setup'!$C$8),FIND("-",TRIM('Template Setup'!$C$8))+1,10)),0))</f>
        <v/>
      </c>
      <c r="Q549" s="9" t="str">
        <f>IF($A549="","",$A549&amp;"-"&amp;'Template Setup'!$C$16)</f>
        <v/>
      </c>
      <c r="R549" s="24" t="str">
        <f t="shared" si="33"/>
        <v/>
      </c>
      <c r="S549" s="24"/>
      <c r="T549" s="24" t="str">
        <f t="shared" si="34"/>
        <v/>
      </c>
      <c r="U549" s="6" t="str">
        <f t="shared" si="36"/>
        <v/>
      </c>
    </row>
    <row r="550" spans="1:21">
      <c r="A550" s="11"/>
      <c r="B550" s="11"/>
      <c r="C550" s="11"/>
      <c r="D550" s="11" t="str">
        <f>IF($A550="","",_xlfn.TEXTJOIN(", ",TRUE,IF($G550&gt;0,'Template Setup'!$C$4,""),IF($H550&gt;0,'Template Setup'!$C$5,""),IF($I550&gt;0,'Template Setup'!$C$6,""),IF($J550&gt;0,'Template Setup'!$C$7,""),IF($K550&gt;0,'Template Setup'!$C$8,"")))</f>
        <v/>
      </c>
      <c r="E550" s="6" t="str" cm="1">
        <f t="array" ref="E550">IF($A550="","",_xlfn.LET(_xlpm.sheets,CHOOSE({1,2,3,4,5},'Template Setup'!$C$4,'Template Setup'!$C$5,'Template Setup'!$C$6,'Template Setup'!$C$7,'Template Setup'!$C$8),_xlpm.nums,CHOOSE({1,2,3,4,5},$L550,$M550,$N550,$O550,$P550),_xlpm.qtys,CHOOSE({1,2,3,4,5},$G550,$H550,$I550,$J550,$K550),_xlpm.validNums,_xlfn._xlws.FILTER(_xlpm.nums,_xlpm.qtys&gt;0),_xlpm.validSheets,_xlfn._xlws.FILTER(_xlpm.sheets,_xlpm.qtys&gt;0),_xlpm.mx,IFERROR(MAX(_xlpm.validNums),0),IF(_xlpm.mx=0,"",INDEX(_xlpm.validSheets,MATCH(_xlpm.mx,_xlpm.validNums,0))&amp;" (+"&amp;$R550&amp;")")))</f>
        <v/>
      </c>
      <c r="F550" s="11" t="str">
        <f t="shared" si="35"/>
        <v/>
      </c>
      <c r="G550" s="12" t="str">
        <f ca="1">IF($A550="","",IFERROR(SUMIF(INDIRECT("'"&amp;'Template Setup'!$C$4&amp;"'!C:C"),$A550,INDIRECT("'"&amp;'Template Setup'!$C$4&amp;"'!A:A")),0))</f>
        <v/>
      </c>
      <c r="H550" s="12" t="str">
        <f ca="1">IF($A550="","",IFERROR(SUMIF(INDIRECT("'"&amp;'Template Setup'!$C$5&amp;"'!C:C"),$A550,INDIRECT("'"&amp;'Template Setup'!$C$5&amp;"'!A:A")),0))</f>
        <v/>
      </c>
      <c r="I550" s="12" t="str">
        <f ca="1">IF($A550="","",IFERROR(SUMIF(INDIRECT("'"&amp;'Template Setup'!$C$6&amp;"'!C:C"),$A550,INDIRECT("'"&amp;'Template Setup'!$C$6&amp;"'!A:A")),0))</f>
        <v/>
      </c>
      <c r="J550" s="12" t="str">
        <f ca="1">IF($A550="","",IFERROR(SUMIF(INDIRECT("'"&amp;'Template Setup'!$C$7&amp;"'!C:C"),$A550,INDIRECT("'"&amp;'Template Setup'!$C$7&amp;"'!A:A")),0))</f>
        <v/>
      </c>
      <c r="K550" s="12" t="str">
        <f ca="1">IF($A550="","",IFERROR(SUMIF(INDIRECT("'"&amp;'Template Setup'!$C$8&amp;"'!C:C"),$A550,INDIRECT("'"&amp;'Template Setup'!$C$8&amp;"'!A:A")),0))</f>
        <v/>
      </c>
      <c r="L550" s="11" t="str">
        <f>IF($A550="","",IFERROR(VALUE(MID(TRIM('Template Setup'!$C$4),FIND("-",TRIM('Template Setup'!$C$4))+1,10)),0))</f>
        <v/>
      </c>
      <c r="M550" s="11" t="str">
        <f>IF($A550="","",IFERROR(VALUE(MID(TRIM('Template Setup'!$C$5),FIND("-",TRIM('Template Setup'!$C$5))+1,10)),0))</f>
        <v/>
      </c>
      <c r="N550" s="11" t="str">
        <f>IF($A550="","",IFERROR(VALUE(MID(TRIM('Template Setup'!$C$6),FIND("-",TRIM('Template Setup'!$C$6))+1,10)),0))</f>
        <v/>
      </c>
      <c r="O550" s="11" t="str">
        <f>IF($A550="","",IFERROR(VALUE(MID(TRIM('Template Setup'!$C$7),FIND("-",TRIM('Template Setup'!$C$7))+1,10)),0))</f>
        <v/>
      </c>
      <c r="P550" s="11" t="str">
        <f>IF($A550="","",IFERROR(VALUE(MID(TRIM('Template Setup'!$C$8),FIND("-",TRIM('Template Setup'!$C$8))+1,10)),0))</f>
        <v/>
      </c>
      <c r="Q550" s="9" t="str">
        <f>IF($A550="","",$A550&amp;"-"&amp;'Template Setup'!$C$16)</f>
        <v/>
      </c>
      <c r="R550" s="24" t="str">
        <f t="shared" si="33"/>
        <v/>
      </c>
      <c r="S550" s="24"/>
      <c r="T550" s="24" t="str">
        <f t="shared" si="34"/>
        <v/>
      </c>
      <c r="U550" s="6" t="str">
        <f t="shared" si="36"/>
        <v/>
      </c>
    </row>
    <row r="551" spans="1:21">
      <c r="A551" s="11"/>
      <c r="B551" s="11"/>
      <c r="C551" s="11"/>
      <c r="D551" s="11" t="str">
        <f>IF($A551="","",_xlfn.TEXTJOIN(", ",TRUE,IF($G551&gt;0,'Template Setup'!$C$4,""),IF($H551&gt;0,'Template Setup'!$C$5,""),IF($I551&gt;0,'Template Setup'!$C$6,""),IF($J551&gt;0,'Template Setup'!$C$7,""),IF($K551&gt;0,'Template Setup'!$C$8,"")))</f>
        <v/>
      </c>
      <c r="E551" s="6" t="str" cm="1">
        <f t="array" ref="E551">IF($A551="","",_xlfn.LET(_xlpm.sheets,CHOOSE({1,2,3,4,5},'Template Setup'!$C$4,'Template Setup'!$C$5,'Template Setup'!$C$6,'Template Setup'!$C$7,'Template Setup'!$C$8),_xlpm.nums,CHOOSE({1,2,3,4,5},$L551,$M551,$N551,$O551,$P551),_xlpm.qtys,CHOOSE({1,2,3,4,5},$G551,$H551,$I551,$J551,$K551),_xlpm.validNums,_xlfn._xlws.FILTER(_xlpm.nums,_xlpm.qtys&gt;0),_xlpm.validSheets,_xlfn._xlws.FILTER(_xlpm.sheets,_xlpm.qtys&gt;0),_xlpm.mx,IFERROR(MAX(_xlpm.validNums),0),IF(_xlpm.mx=0,"",INDEX(_xlpm.validSheets,MATCH(_xlpm.mx,_xlpm.validNums,0))&amp;" (+"&amp;$R551&amp;")")))</f>
        <v/>
      </c>
      <c r="F551" s="11" t="str">
        <f t="shared" si="35"/>
        <v/>
      </c>
      <c r="G551" s="12" t="str">
        <f ca="1">IF($A551="","",IFERROR(SUMIF(INDIRECT("'"&amp;'Template Setup'!$C$4&amp;"'!C:C"),$A551,INDIRECT("'"&amp;'Template Setup'!$C$4&amp;"'!A:A")),0))</f>
        <v/>
      </c>
      <c r="H551" s="12" t="str">
        <f ca="1">IF($A551="","",IFERROR(SUMIF(INDIRECT("'"&amp;'Template Setup'!$C$5&amp;"'!C:C"),$A551,INDIRECT("'"&amp;'Template Setup'!$C$5&amp;"'!A:A")),0))</f>
        <v/>
      </c>
      <c r="I551" s="12" t="str">
        <f ca="1">IF($A551="","",IFERROR(SUMIF(INDIRECT("'"&amp;'Template Setup'!$C$6&amp;"'!C:C"),$A551,INDIRECT("'"&amp;'Template Setup'!$C$6&amp;"'!A:A")),0))</f>
        <v/>
      </c>
      <c r="J551" s="12" t="str">
        <f ca="1">IF($A551="","",IFERROR(SUMIF(INDIRECT("'"&amp;'Template Setup'!$C$7&amp;"'!C:C"),$A551,INDIRECT("'"&amp;'Template Setup'!$C$7&amp;"'!A:A")),0))</f>
        <v/>
      </c>
      <c r="K551" s="12" t="str">
        <f ca="1">IF($A551="","",IFERROR(SUMIF(INDIRECT("'"&amp;'Template Setup'!$C$8&amp;"'!C:C"),$A551,INDIRECT("'"&amp;'Template Setup'!$C$8&amp;"'!A:A")),0))</f>
        <v/>
      </c>
      <c r="L551" s="11" t="str">
        <f>IF($A551="","",IFERROR(VALUE(MID(TRIM('Template Setup'!$C$4),FIND("-",TRIM('Template Setup'!$C$4))+1,10)),0))</f>
        <v/>
      </c>
      <c r="M551" s="11" t="str">
        <f>IF($A551="","",IFERROR(VALUE(MID(TRIM('Template Setup'!$C$5),FIND("-",TRIM('Template Setup'!$C$5))+1,10)),0))</f>
        <v/>
      </c>
      <c r="N551" s="11" t="str">
        <f>IF($A551="","",IFERROR(VALUE(MID(TRIM('Template Setup'!$C$6),FIND("-",TRIM('Template Setup'!$C$6))+1,10)),0))</f>
        <v/>
      </c>
      <c r="O551" s="11" t="str">
        <f>IF($A551="","",IFERROR(VALUE(MID(TRIM('Template Setup'!$C$7),FIND("-",TRIM('Template Setup'!$C$7))+1,10)),0))</f>
        <v/>
      </c>
      <c r="P551" s="11" t="str">
        <f>IF($A551="","",IFERROR(VALUE(MID(TRIM('Template Setup'!$C$8),FIND("-",TRIM('Template Setup'!$C$8))+1,10)),0))</f>
        <v/>
      </c>
      <c r="Q551" s="9" t="str">
        <f>IF($A551="","",$A551&amp;"-"&amp;'Template Setup'!$C$16)</f>
        <v/>
      </c>
      <c r="R551" s="24" t="str">
        <f t="shared" si="33"/>
        <v/>
      </c>
      <c r="S551" s="24"/>
      <c r="T551" s="24" t="str">
        <f t="shared" si="34"/>
        <v/>
      </c>
      <c r="U551" s="6" t="str">
        <f t="shared" si="36"/>
        <v/>
      </c>
    </row>
    <row r="552" spans="1:21">
      <c r="A552" s="11"/>
      <c r="B552" s="11"/>
      <c r="C552" s="11"/>
      <c r="D552" s="11" t="str">
        <f>IF($A552="","",_xlfn.TEXTJOIN(", ",TRUE,IF($G552&gt;0,'Template Setup'!$C$4,""),IF($H552&gt;0,'Template Setup'!$C$5,""),IF($I552&gt;0,'Template Setup'!$C$6,""),IF($J552&gt;0,'Template Setup'!$C$7,""),IF($K552&gt;0,'Template Setup'!$C$8,"")))</f>
        <v/>
      </c>
      <c r="E552" s="6" t="str" cm="1">
        <f t="array" ref="E552">IF($A552="","",_xlfn.LET(_xlpm.sheets,CHOOSE({1,2,3,4,5},'Template Setup'!$C$4,'Template Setup'!$C$5,'Template Setup'!$C$6,'Template Setup'!$C$7,'Template Setup'!$C$8),_xlpm.nums,CHOOSE({1,2,3,4,5},$L552,$M552,$N552,$O552,$P552),_xlpm.qtys,CHOOSE({1,2,3,4,5},$G552,$H552,$I552,$J552,$K552),_xlpm.validNums,_xlfn._xlws.FILTER(_xlpm.nums,_xlpm.qtys&gt;0),_xlpm.validSheets,_xlfn._xlws.FILTER(_xlpm.sheets,_xlpm.qtys&gt;0),_xlpm.mx,IFERROR(MAX(_xlpm.validNums),0),IF(_xlpm.mx=0,"",INDEX(_xlpm.validSheets,MATCH(_xlpm.mx,_xlpm.validNums,0))&amp;" (+"&amp;$R552&amp;")")))</f>
        <v/>
      </c>
      <c r="F552" s="11" t="str">
        <f t="shared" si="35"/>
        <v/>
      </c>
      <c r="G552" s="12" t="str">
        <f ca="1">IF($A552="","",IFERROR(SUMIF(INDIRECT("'"&amp;'Template Setup'!$C$4&amp;"'!C:C"),$A552,INDIRECT("'"&amp;'Template Setup'!$C$4&amp;"'!A:A")),0))</f>
        <v/>
      </c>
      <c r="H552" s="12" t="str">
        <f ca="1">IF($A552="","",IFERROR(SUMIF(INDIRECT("'"&amp;'Template Setup'!$C$5&amp;"'!C:C"),$A552,INDIRECT("'"&amp;'Template Setup'!$C$5&amp;"'!A:A")),0))</f>
        <v/>
      </c>
      <c r="I552" s="12" t="str">
        <f ca="1">IF($A552="","",IFERROR(SUMIF(INDIRECT("'"&amp;'Template Setup'!$C$6&amp;"'!C:C"),$A552,INDIRECT("'"&amp;'Template Setup'!$C$6&amp;"'!A:A")),0))</f>
        <v/>
      </c>
      <c r="J552" s="12" t="str">
        <f ca="1">IF($A552="","",IFERROR(SUMIF(INDIRECT("'"&amp;'Template Setup'!$C$7&amp;"'!C:C"),$A552,INDIRECT("'"&amp;'Template Setup'!$C$7&amp;"'!A:A")),0))</f>
        <v/>
      </c>
      <c r="K552" s="12" t="str">
        <f ca="1">IF($A552="","",IFERROR(SUMIF(INDIRECT("'"&amp;'Template Setup'!$C$8&amp;"'!C:C"),$A552,INDIRECT("'"&amp;'Template Setup'!$C$8&amp;"'!A:A")),0))</f>
        <v/>
      </c>
      <c r="L552" s="11" t="str">
        <f>IF($A552="","",IFERROR(VALUE(MID(TRIM('Template Setup'!$C$4),FIND("-",TRIM('Template Setup'!$C$4))+1,10)),0))</f>
        <v/>
      </c>
      <c r="M552" s="11" t="str">
        <f>IF($A552="","",IFERROR(VALUE(MID(TRIM('Template Setup'!$C$5),FIND("-",TRIM('Template Setup'!$C$5))+1,10)),0))</f>
        <v/>
      </c>
      <c r="N552" s="11" t="str">
        <f>IF($A552="","",IFERROR(VALUE(MID(TRIM('Template Setup'!$C$6),FIND("-",TRIM('Template Setup'!$C$6))+1,10)),0))</f>
        <v/>
      </c>
      <c r="O552" s="11" t="str">
        <f>IF($A552="","",IFERROR(VALUE(MID(TRIM('Template Setup'!$C$7),FIND("-",TRIM('Template Setup'!$C$7))+1,10)),0))</f>
        <v/>
      </c>
      <c r="P552" s="11" t="str">
        <f>IF($A552="","",IFERROR(VALUE(MID(TRIM('Template Setup'!$C$8),FIND("-",TRIM('Template Setup'!$C$8))+1,10)),0))</f>
        <v/>
      </c>
      <c r="Q552" s="9" t="str">
        <f>IF($A552="","",$A552&amp;"-"&amp;'Template Setup'!$C$16)</f>
        <v/>
      </c>
      <c r="R552" s="24" t="str">
        <f t="shared" si="33"/>
        <v/>
      </c>
      <c r="S552" s="24"/>
      <c r="T552" s="24" t="str">
        <f t="shared" si="34"/>
        <v/>
      </c>
      <c r="U552" s="6" t="str">
        <f t="shared" si="36"/>
        <v/>
      </c>
    </row>
    <row r="553" spans="1:21">
      <c r="A553" s="11"/>
      <c r="B553" s="11"/>
      <c r="C553" s="11"/>
      <c r="D553" s="11" t="str">
        <f>IF($A553="","",_xlfn.TEXTJOIN(", ",TRUE,IF($G553&gt;0,'Template Setup'!$C$4,""),IF($H553&gt;0,'Template Setup'!$C$5,""),IF($I553&gt;0,'Template Setup'!$C$6,""),IF($J553&gt;0,'Template Setup'!$C$7,""),IF($K553&gt;0,'Template Setup'!$C$8,"")))</f>
        <v/>
      </c>
      <c r="E553" s="6" t="str" cm="1">
        <f t="array" ref="E553">IF($A553="","",_xlfn.LET(_xlpm.sheets,CHOOSE({1,2,3,4,5},'Template Setup'!$C$4,'Template Setup'!$C$5,'Template Setup'!$C$6,'Template Setup'!$C$7,'Template Setup'!$C$8),_xlpm.nums,CHOOSE({1,2,3,4,5},$L553,$M553,$N553,$O553,$P553),_xlpm.qtys,CHOOSE({1,2,3,4,5},$G553,$H553,$I553,$J553,$K553),_xlpm.validNums,_xlfn._xlws.FILTER(_xlpm.nums,_xlpm.qtys&gt;0),_xlpm.validSheets,_xlfn._xlws.FILTER(_xlpm.sheets,_xlpm.qtys&gt;0),_xlpm.mx,IFERROR(MAX(_xlpm.validNums),0),IF(_xlpm.mx=0,"",INDEX(_xlpm.validSheets,MATCH(_xlpm.mx,_xlpm.validNums,0))&amp;" (+"&amp;$R553&amp;")")))</f>
        <v/>
      </c>
      <c r="F553" s="11" t="str">
        <f t="shared" si="35"/>
        <v/>
      </c>
      <c r="G553" s="12" t="str">
        <f ca="1">IF($A553="","",IFERROR(SUMIF(INDIRECT("'"&amp;'Template Setup'!$C$4&amp;"'!C:C"),$A553,INDIRECT("'"&amp;'Template Setup'!$C$4&amp;"'!A:A")),0))</f>
        <v/>
      </c>
      <c r="H553" s="12" t="str">
        <f ca="1">IF($A553="","",IFERROR(SUMIF(INDIRECT("'"&amp;'Template Setup'!$C$5&amp;"'!C:C"),$A553,INDIRECT("'"&amp;'Template Setup'!$C$5&amp;"'!A:A")),0))</f>
        <v/>
      </c>
      <c r="I553" s="12" t="str">
        <f ca="1">IF($A553="","",IFERROR(SUMIF(INDIRECT("'"&amp;'Template Setup'!$C$6&amp;"'!C:C"),$A553,INDIRECT("'"&amp;'Template Setup'!$C$6&amp;"'!A:A")),0))</f>
        <v/>
      </c>
      <c r="J553" s="12" t="str">
        <f ca="1">IF($A553="","",IFERROR(SUMIF(INDIRECT("'"&amp;'Template Setup'!$C$7&amp;"'!C:C"),$A553,INDIRECT("'"&amp;'Template Setup'!$C$7&amp;"'!A:A")),0))</f>
        <v/>
      </c>
      <c r="K553" s="12" t="str">
        <f ca="1">IF($A553="","",IFERROR(SUMIF(INDIRECT("'"&amp;'Template Setup'!$C$8&amp;"'!C:C"),$A553,INDIRECT("'"&amp;'Template Setup'!$C$8&amp;"'!A:A")),0))</f>
        <v/>
      </c>
      <c r="L553" s="11" t="str">
        <f>IF($A553="","",IFERROR(VALUE(MID(TRIM('Template Setup'!$C$4),FIND("-",TRIM('Template Setup'!$C$4))+1,10)),0))</f>
        <v/>
      </c>
      <c r="M553" s="11" t="str">
        <f>IF($A553="","",IFERROR(VALUE(MID(TRIM('Template Setup'!$C$5),FIND("-",TRIM('Template Setup'!$C$5))+1,10)),0))</f>
        <v/>
      </c>
      <c r="N553" s="11" t="str">
        <f>IF($A553="","",IFERROR(VALUE(MID(TRIM('Template Setup'!$C$6),FIND("-",TRIM('Template Setup'!$C$6))+1,10)),0))</f>
        <v/>
      </c>
      <c r="O553" s="11" t="str">
        <f>IF($A553="","",IFERROR(VALUE(MID(TRIM('Template Setup'!$C$7),FIND("-",TRIM('Template Setup'!$C$7))+1,10)),0))</f>
        <v/>
      </c>
      <c r="P553" s="11" t="str">
        <f>IF($A553="","",IFERROR(VALUE(MID(TRIM('Template Setup'!$C$8),FIND("-",TRIM('Template Setup'!$C$8))+1,10)),0))</f>
        <v/>
      </c>
      <c r="Q553" s="9" t="str">
        <f>IF($A553="","",$A553&amp;"-"&amp;'Template Setup'!$C$16)</f>
        <v/>
      </c>
      <c r="R553" s="24" t="str">
        <f t="shared" si="33"/>
        <v/>
      </c>
      <c r="S553" s="24"/>
      <c r="T553" s="24" t="str">
        <f t="shared" si="34"/>
        <v/>
      </c>
      <c r="U553" s="6" t="str">
        <f t="shared" si="36"/>
        <v/>
      </c>
    </row>
    <row r="554" spans="1:21">
      <c r="A554" s="11"/>
      <c r="B554" s="11"/>
      <c r="C554" s="11"/>
      <c r="D554" s="11" t="str">
        <f>IF($A554="","",_xlfn.TEXTJOIN(", ",TRUE,IF($G554&gt;0,'Template Setup'!$C$4,""),IF($H554&gt;0,'Template Setup'!$C$5,""),IF($I554&gt;0,'Template Setup'!$C$6,""),IF($J554&gt;0,'Template Setup'!$C$7,""),IF($K554&gt;0,'Template Setup'!$C$8,"")))</f>
        <v/>
      </c>
      <c r="E554" s="6" t="str" cm="1">
        <f t="array" ref="E554">IF($A554="","",_xlfn.LET(_xlpm.sheets,CHOOSE({1,2,3,4,5},'Template Setup'!$C$4,'Template Setup'!$C$5,'Template Setup'!$C$6,'Template Setup'!$C$7,'Template Setup'!$C$8),_xlpm.nums,CHOOSE({1,2,3,4,5},$L554,$M554,$N554,$O554,$P554),_xlpm.qtys,CHOOSE({1,2,3,4,5},$G554,$H554,$I554,$J554,$K554),_xlpm.validNums,_xlfn._xlws.FILTER(_xlpm.nums,_xlpm.qtys&gt;0),_xlpm.validSheets,_xlfn._xlws.FILTER(_xlpm.sheets,_xlpm.qtys&gt;0),_xlpm.mx,IFERROR(MAX(_xlpm.validNums),0),IF(_xlpm.mx=0,"",INDEX(_xlpm.validSheets,MATCH(_xlpm.mx,_xlpm.validNums,0))&amp;" (+"&amp;$R554&amp;")")))</f>
        <v/>
      </c>
      <c r="F554" s="11" t="str">
        <f t="shared" si="35"/>
        <v/>
      </c>
      <c r="G554" s="12" t="str">
        <f ca="1">IF($A554="","",IFERROR(SUMIF(INDIRECT("'"&amp;'Template Setup'!$C$4&amp;"'!C:C"),$A554,INDIRECT("'"&amp;'Template Setup'!$C$4&amp;"'!A:A")),0))</f>
        <v/>
      </c>
      <c r="H554" s="12" t="str">
        <f ca="1">IF($A554="","",IFERROR(SUMIF(INDIRECT("'"&amp;'Template Setup'!$C$5&amp;"'!C:C"),$A554,INDIRECT("'"&amp;'Template Setup'!$C$5&amp;"'!A:A")),0))</f>
        <v/>
      </c>
      <c r="I554" s="12" t="str">
        <f ca="1">IF($A554="","",IFERROR(SUMIF(INDIRECT("'"&amp;'Template Setup'!$C$6&amp;"'!C:C"),$A554,INDIRECT("'"&amp;'Template Setup'!$C$6&amp;"'!A:A")),0))</f>
        <v/>
      </c>
      <c r="J554" s="12" t="str">
        <f ca="1">IF($A554="","",IFERROR(SUMIF(INDIRECT("'"&amp;'Template Setup'!$C$7&amp;"'!C:C"),$A554,INDIRECT("'"&amp;'Template Setup'!$C$7&amp;"'!A:A")),0))</f>
        <v/>
      </c>
      <c r="K554" s="12" t="str">
        <f ca="1">IF($A554="","",IFERROR(SUMIF(INDIRECT("'"&amp;'Template Setup'!$C$8&amp;"'!C:C"),$A554,INDIRECT("'"&amp;'Template Setup'!$C$8&amp;"'!A:A")),0))</f>
        <v/>
      </c>
      <c r="L554" s="11" t="str">
        <f>IF($A554="","",IFERROR(VALUE(MID(TRIM('Template Setup'!$C$4),FIND("-",TRIM('Template Setup'!$C$4))+1,10)),0))</f>
        <v/>
      </c>
      <c r="M554" s="11" t="str">
        <f>IF($A554="","",IFERROR(VALUE(MID(TRIM('Template Setup'!$C$5),FIND("-",TRIM('Template Setup'!$C$5))+1,10)),0))</f>
        <v/>
      </c>
      <c r="N554" s="11" t="str">
        <f>IF($A554="","",IFERROR(VALUE(MID(TRIM('Template Setup'!$C$6),FIND("-",TRIM('Template Setup'!$C$6))+1,10)),0))</f>
        <v/>
      </c>
      <c r="O554" s="11" t="str">
        <f>IF($A554="","",IFERROR(VALUE(MID(TRIM('Template Setup'!$C$7),FIND("-",TRIM('Template Setup'!$C$7))+1,10)),0))</f>
        <v/>
      </c>
      <c r="P554" s="11" t="str">
        <f>IF($A554="","",IFERROR(VALUE(MID(TRIM('Template Setup'!$C$8),FIND("-",TRIM('Template Setup'!$C$8))+1,10)),0))</f>
        <v/>
      </c>
      <c r="Q554" s="9" t="str">
        <f>IF($A554="","",$A554&amp;"-"&amp;'Template Setup'!$C$16)</f>
        <v/>
      </c>
      <c r="R554" s="24" t="str">
        <f t="shared" si="33"/>
        <v/>
      </c>
      <c r="S554" s="24"/>
      <c r="T554" s="24" t="str">
        <f t="shared" si="34"/>
        <v/>
      </c>
      <c r="U554" s="6" t="str">
        <f t="shared" si="36"/>
        <v/>
      </c>
    </row>
    <row r="555" spans="1:21">
      <c r="A555" s="11"/>
      <c r="B555" s="11"/>
      <c r="C555" s="11"/>
      <c r="D555" s="11" t="str">
        <f>IF($A555="","",_xlfn.TEXTJOIN(", ",TRUE,IF($G555&gt;0,'Template Setup'!$C$4,""),IF($H555&gt;0,'Template Setup'!$C$5,""),IF($I555&gt;0,'Template Setup'!$C$6,""),IF($J555&gt;0,'Template Setup'!$C$7,""),IF($K555&gt;0,'Template Setup'!$C$8,"")))</f>
        <v/>
      </c>
      <c r="E555" s="6" t="str" cm="1">
        <f t="array" ref="E555">IF($A555="","",_xlfn.LET(_xlpm.sheets,CHOOSE({1,2,3,4,5},'Template Setup'!$C$4,'Template Setup'!$C$5,'Template Setup'!$C$6,'Template Setup'!$C$7,'Template Setup'!$C$8),_xlpm.nums,CHOOSE({1,2,3,4,5},$L555,$M555,$N555,$O555,$P555),_xlpm.qtys,CHOOSE({1,2,3,4,5},$G555,$H555,$I555,$J555,$K555),_xlpm.validNums,_xlfn._xlws.FILTER(_xlpm.nums,_xlpm.qtys&gt;0),_xlpm.validSheets,_xlfn._xlws.FILTER(_xlpm.sheets,_xlpm.qtys&gt;0),_xlpm.mx,IFERROR(MAX(_xlpm.validNums),0),IF(_xlpm.mx=0,"",INDEX(_xlpm.validSheets,MATCH(_xlpm.mx,_xlpm.validNums,0))&amp;" (+"&amp;$R555&amp;")")))</f>
        <v/>
      </c>
      <c r="F555" s="11" t="str">
        <f t="shared" si="35"/>
        <v/>
      </c>
      <c r="G555" s="12" t="str">
        <f ca="1">IF($A555="","",IFERROR(SUMIF(INDIRECT("'"&amp;'Template Setup'!$C$4&amp;"'!C:C"),$A555,INDIRECT("'"&amp;'Template Setup'!$C$4&amp;"'!A:A")),0))</f>
        <v/>
      </c>
      <c r="H555" s="12" t="str">
        <f ca="1">IF($A555="","",IFERROR(SUMIF(INDIRECT("'"&amp;'Template Setup'!$C$5&amp;"'!C:C"),$A555,INDIRECT("'"&amp;'Template Setup'!$C$5&amp;"'!A:A")),0))</f>
        <v/>
      </c>
      <c r="I555" s="12" t="str">
        <f ca="1">IF($A555="","",IFERROR(SUMIF(INDIRECT("'"&amp;'Template Setup'!$C$6&amp;"'!C:C"),$A555,INDIRECT("'"&amp;'Template Setup'!$C$6&amp;"'!A:A")),0))</f>
        <v/>
      </c>
      <c r="J555" s="12" t="str">
        <f ca="1">IF($A555="","",IFERROR(SUMIF(INDIRECT("'"&amp;'Template Setup'!$C$7&amp;"'!C:C"),$A555,INDIRECT("'"&amp;'Template Setup'!$C$7&amp;"'!A:A")),0))</f>
        <v/>
      </c>
      <c r="K555" s="12" t="str">
        <f ca="1">IF($A555="","",IFERROR(SUMIF(INDIRECT("'"&amp;'Template Setup'!$C$8&amp;"'!C:C"),$A555,INDIRECT("'"&amp;'Template Setup'!$C$8&amp;"'!A:A")),0))</f>
        <v/>
      </c>
      <c r="L555" s="11" t="str">
        <f>IF($A555="","",IFERROR(VALUE(MID(TRIM('Template Setup'!$C$4),FIND("-",TRIM('Template Setup'!$C$4))+1,10)),0))</f>
        <v/>
      </c>
      <c r="M555" s="11" t="str">
        <f>IF($A555="","",IFERROR(VALUE(MID(TRIM('Template Setup'!$C$5),FIND("-",TRIM('Template Setup'!$C$5))+1,10)),0))</f>
        <v/>
      </c>
      <c r="N555" s="11" t="str">
        <f>IF($A555="","",IFERROR(VALUE(MID(TRIM('Template Setup'!$C$6),FIND("-",TRIM('Template Setup'!$C$6))+1,10)),0))</f>
        <v/>
      </c>
      <c r="O555" s="11" t="str">
        <f>IF($A555="","",IFERROR(VALUE(MID(TRIM('Template Setup'!$C$7),FIND("-",TRIM('Template Setup'!$C$7))+1,10)),0))</f>
        <v/>
      </c>
      <c r="P555" s="11" t="str">
        <f>IF($A555="","",IFERROR(VALUE(MID(TRIM('Template Setup'!$C$8),FIND("-",TRIM('Template Setup'!$C$8))+1,10)),0))</f>
        <v/>
      </c>
      <c r="Q555" s="9" t="str">
        <f>IF($A555="","",$A555&amp;"-"&amp;'Template Setup'!$C$16)</f>
        <v/>
      </c>
      <c r="R555" s="24" t="str">
        <f t="shared" si="33"/>
        <v/>
      </c>
      <c r="S555" s="24"/>
      <c r="T555" s="24" t="str">
        <f t="shared" si="34"/>
        <v/>
      </c>
      <c r="U555" s="6" t="str">
        <f t="shared" si="36"/>
        <v/>
      </c>
    </row>
    <row r="556" spans="1:21">
      <c r="A556" s="11"/>
      <c r="B556" s="11"/>
      <c r="C556" s="11"/>
      <c r="D556" s="11" t="str">
        <f>IF($A556="","",_xlfn.TEXTJOIN(", ",TRUE,IF($G556&gt;0,'Template Setup'!$C$4,""),IF($H556&gt;0,'Template Setup'!$C$5,""),IF($I556&gt;0,'Template Setup'!$C$6,""),IF($J556&gt;0,'Template Setup'!$C$7,""),IF($K556&gt;0,'Template Setup'!$C$8,"")))</f>
        <v/>
      </c>
      <c r="E556" s="6" t="str" cm="1">
        <f t="array" ref="E556">IF($A556="","",_xlfn.LET(_xlpm.sheets,CHOOSE({1,2,3,4,5},'Template Setup'!$C$4,'Template Setup'!$C$5,'Template Setup'!$C$6,'Template Setup'!$C$7,'Template Setup'!$C$8),_xlpm.nums,CHOOSE({1,2,3,4,5},$L556,$M556,$N556,$O556,$P556),_xlpm.qtys,CHOOSE({1,2,3,4,5},$G556,$H556,$I556,$J556,$K556),_xlpm.validNums,_xlfn._xlws.FILTER(_xlpm.nums,_xlpm.qtys&gt;0),_xlpm.validSheets,_xlfn._xlws.FILTER(_xlpm.sheets,_xlpm.qtys&gt;0),_xlpm.mx,IFERROR(MAX(_xlpm.validNums),0),IF(_xlpm.mx=0,"",INDEX(_xlpm.validSheets,MATCH(_xlpm.mx,_xlpm.validNums,0))&amp;" (+"&amp;$R556&amp;")")))</f>
        <v/>
      </c>
      <c r="F556" s="11" t="str">
        <f t="shared" si="35"/>
        <v/>
      </c>
      <c r="G556" s="12" t="str">
        <f ca="1">IF($A556="","",IFERROR(SUMIF(INDIRECT("'"&amp;'Template Setup'!$C$4&amp;"'!C:C"),$A556,INDIRECT("'"&amp;'Template Setup'!$C$4&amp;"'!A:A")),0))</f>
        <v/>
      </c>
      <c r="H556" s="12" t="str">
        <f ca="1">IF($A556="","",IFERROR(SUMIF(INDIRECT("'"&amp;'Template Setup'!$C$5&amp;"'!C:C"),$A556,INDIRECT("'"&amp;'Template Setup'!$C$5&amp;"'!A:A")),0))</f>
        <v/>
      </c>
      <c r="I556" s="12" t="str">
        <f ca="1">IF($A556="","",IFERROR(SUMIF(INDIRECT("'"&amp;'Template Setup'!$C$6&amp;"'!C:C"),$A556,INDIRECT("'"&amp;'Template Setup'!$C$6&amp;"'!A:A")),0))</f>
        <v/>
      </c>
      <c r="J556" s="12" t="str">
        <f ca="1">IF($A556="","",IFERROR(SUMIF(INDIRECT("'"&amp;'Template Setup'!$C$7&amp;"'!C:C"),$A556,INDIRECT("'"&amp;'Template Setup'!$C$7&amp;"'!A:A")),0))</f>
        <v/>
      </c>
      <c r="K556" s="12" t="str">
        <f ca="1">IF($A556="","",IFERROR(SUMIF(INDIRECT("'"&amp;'Template Setup'!$C$8&amp;"'!C:C"),$A556,INDIRECT("'"&amp;'Template Setup'!$C$8&amp;"'!A:A")),0))</f>
        <v/>
      </c>
      <c r="L556" s="11" t="str">
        <f>IF($A556="","",IFERROR(VALUE(MID(TRIM('Template Setup'!$C$4),FIND("-",TRIM('Template Setup'!$C$4))+1,10)),0))</f>
        <v/>
      </c>
      <c r="M556" s="11" t="str">
        <f>IF($A556="","",IFERROR(VALUE(MID(TRIM('Template Setup'!$C$5),FIND("-",TRIM('Template Setup'!$C$5))+1,10)),0))</f>
        <v/>
      </c>
      <c r="N556" s="11" t="str">
        <f>IF($A556="","",IFERROR(VALUE(MID(TRIM('Template Setup'!$C$6),FIND("-",TRIM('Template Setup'!$C$6))+1,10)),0))</f>
        <v/>
      </c>
      <c r="O556" s="11" t="str">
        <f>IF($A556="","",IFERROR(VALUE(MID(TRIM('Template Setup'!$C$7),FIND("-",TRIM('Template Setup'!$C$7))+1,10)),0))</f>
        <v/>
      </c>
      <c r="P556" s="11" t="str">
        <f>IF($A556="","",IFERROR(VALUE(MID(TRIM('Template Setup'!$C$8),FIND("-",TRIM('Template Setup'!$C$8))+1,10)),0))</f>
        <v/>
      </c>
      <c r="Q556" s="9" t="str">
        <f>IF($A556="","",$A556&amp;"-"&amp;'Template Setup'!$C$16)</f>
        <v/>
      </c>
      <c r="R556" s="24" t="str">
        <f t="shared" si="33"/>
        <v/>
      </c>
      <c r="S556" s="24"/>
      <c r="T556" s="24" t="str">
        <f t="shared" si="34"/>
        <v/>
      </c>
      <c r="U556" s="6" t="str">
        <f t="shared" si="36"/>
        <v/>
      </c>
    </row>
    <row r="557" spans="1:21">
      <c r="A557" s="11"/>
      <c r="B557" s="11"/>
      <c r="C557" s="11"/>
      <c r="D557" s="11" t="str">
        <f>IF($A557="","",_xlfn.TEXTJOIN(", ",TRUE,IF($G557&gt;0,'Template Setup'!$C$4,""),IF($H557&gt;0,'Template Setup'!$C$5,""),IF($I557&gt;0,'Template Setup'!$C$6,""),IF($J557&gt;0,'Template Setup'!$C$7,""),IF($K557&gt;0,'Template Setup'!$C$8,"")))</f>
        <v/>
      </c>
      <c r="E557" s="6" t="str" cm="1">
        <f t="array" ref="E557">IF($A557="","",_xlfn.LET(_xlpm.sheets,CHOOSE({1,2,3,4,5},'Template Setup'!$C$4,'Template Setup'!$C$5,'Template Setup'!$C$6,'Template Setup'!$C$7,'Template Setup'!$C$8),_xlpm.nums,CHOOSE({1,2,3,4,5},$L557,$M557,$N557,$O557,$P557),_xlpm.qtys,CHOOSE({1,2,3,4,5},$G557,$H557,$I557,$J557,$K557),_xlpm.validNums,_xlfn._xlws.FILTER(_xlpm.nums,_xlpm.qtys&gt;0),_xlpm.validSheets,_xlfn._xlws.FILTER(_xlpm.sheets,_xlpm.qtys&gt;0),_xlpm.mx,IFERROR(MAX(_xlpm.validNums),0),IF(_xlpm.mx=0,"",INDEX(_xlpm.validSheets,MATCH(_xlpm.mx,_xlpm.validNums,0))&amp;" (+"&amp;$R557&amp;")")))</f>
        <v/>
      </c>
      <c r="F557" s="11" t="str">
        <f t="shared" si="35"/>
        <v/>
      </c>
      <c r="G557" s="12" t="str">
        <f ca="1">IF($A557="","",IFERROR(SUMIF(INDIRECT("'"&amp;'Template Setup'!$C$4&amp;"'!C:C"),$A557,INDIRECT("'"&amp;'Template Setup'!$C$4&amp;"'!A:A")),0))</f>
        <v/>
      </c>
      <c r="H557" s="12" t="str">
        <f ca="1">IF($A557="","",IFERROR(SUMIF(INDIRECT("'"&amp;'Template Setup'!$C$5&amp;"'!C:C"),$A557,INDIRECT("'"&amp;'Template Setup'!$C$5&amp;"'!A:A")),0))</f>
        <v/>
      </c>
      <c r="I557" s="12" t="str">
        <f ca="1">IF($A557="","",IFERROR(SUMIF(INDIRECT("'"&amp;'Template Setup'!$C$6&amp;"'!C:C"),$A557,INDIRECT("'"&amp;'Template Setup'!$C$6&amp;"'!A:A")),0))</f>
        <v/>
      </c>
      <c r="J557" s="12" t="str">
        <f ca="1">IF($A557="","",IFERROR(SUMIF(INDIRECT("'"&amp;'Template Setup'!$C$7&amp;"'!C:C"),$A557,INDIRECT("'"&amp;'Template Setup'!$C$7&amp;"'!A:A")),0))</f>
        <v/>
      </c>
      <c r="K557" s="12" t="str">
        <f ca="1">IF($A557="","",IFERROR(SUMIF(INDIRECT("'"&amp;'Template Setup'!$C$8&amp;"'!C:C"),$A557,INDIRECT("'"&amp;'Template Setup'!$C$8&amp;"'!A:A")),0))</f>
        <v/>
      </c>
      <c r="L557" s="11" t="str">
        <f>IF($A557="","",IFERROR(VALUE(MID(TRIM('Template Setup'!$C$4),FIND("-",TRIM('Template Setup'!$C$4))+1,10)),0))</f>
        <v/>
      </c>
      <c r="M557" s="11" t="str">
        <f>IF($A557="","",IFERROR(VALUE(MID(TRIM('Template Setup'!$C$5),FIND("-",TRIM('Template Setup'!$C$5))+1,10)),0))</f>
        <v/>
      </c>
      <c r="N557" s="11" t="str">
        <f>IF($A557="","",IFERROR(VALUE(MID(TRIM('Template Setup'!$C$6),FIND("-",TRIM('Template Setup'!$C$6))+1,10)),0))</f>
        <v/>
      </c>
      <c r="O557" s="11" t="str">
        <f>IF($A557="","",IFERROR(VALUE(MID(TRIM('Template Setup'!$C$7),FIND("-",TRIM('Template Setup'!$C$7))+1,10)),0))</f>
        <v/>
      </c>
      <c r="P557" s="11" t="str">
        <f>IF($A557="","",IFERROR(VALUE(MID(TRIM('Template Setup'!$C$8),FIND("-",TRIM('Template Setup'!$C$8))+1,10)),0))</f>
        <v/>
      </c>
      <c r="Q557" s="9" t="str">
        <f>IF($A557="","",$A557&amp;"-"&amp;'Template Setup'!$C$16)</f>
        <v/>
      </c>
      <c r="R557" s="24" t="str">
        <f t="shared" si="33"/>
        <v/>
      </c>
      <c r="S557" s="24"/>
      <c r="T557" s="24" t="str">
        <f t="shared" si="34"/>
        <v/>
      </c>
      <c r="U557" s="6" t="str">
        <f t="shared" si="36"/>
        <v/>
      </c>
    </row>
    <row r="558" spans="1:21">
      <c r="A558" s="11"/>
      <c r="B558" s="11"/>
      <c r="C558" s="11"/>
      <c r="D558" s="11" t="str">
        <f>IF($A558="","",_xlfn.TEXTJOIN(", ",TRUE,IF($G558&gt;0,'Template Setup'!$C$4,""),IF($H558&gt;0,'Template Setup'!$C$5,""),IF($I558&gt;0,'Template Setup'!$C$6,""),IF($J558&gt;0,'Template Setup'!$C$7,""),IF($K558&gt;0,'Template Setup'!$C$8,"")))</f>
        <v/>
      </c>
      <c r="E558" s="6" t="str" cm="1">
        <f t="array" ref="E558">IF($A558="","",_xlfn.LET(_xlpm.sheets,CHOOSE({1,2,3,4,5},'Template Setup'!$C$4,'Template Setup'!$C$5,'Template Setup'!$C$6,'Template Setup'!$C$7,'Template Setup'!$C$8),_xlpm.nums,CHOOSE({1,2,3,4,5},$L558,$M558,$N558,$O558,$P558),_xlpm.qtys,CHOOSE({1,2,3,4,5},$G558,$H558,$I558,$J558,$K558),_xlpm.validNums,_xlfn._xlws.FILTER(_xlpm.nums,_xlpm.qtys&gt;0),_xlpm.validSheets,_xlfn._xlws.FILTER(_xlpm.sheets,_xlpm.qtys&gt;0),_xlpm.mx,IFERROR(MAX(_xlpm.validNums),0),IF(_xlpm.mx=0,"",INDEX(_xlpm.validSheets,MATCH(_xlpm.mx,_xlpm.validNums,0))&amp;" (+"&amp;$R558&amp;")")))</f>
        <v/>
      </c>
      <c r="F558" s="11" t="str">
        <f t="shared" si="35"/>
        <v/>
      </c>
      <c r="G558" s="12" t="str">
        <f ca="1">IF($A558="","",IFERROR(SUMIF(INDIRECT("'"&amp;'Template Setup'!$C$4&amp;"'!C:C"),$A558,INDIRECT("'"&amp;'Template Setup'!$C$4&amp;"'!A:A")),0))</f>
        <v/>
      </c>
      <c r="H558" s="12" t="str">
        <f ca="1">IF($A558="","",IFERROR(SUMIF(INDIRECT("'"&amp;'Template Setup'!$C$5&amp;"'!C:C"),$A558,INDIRECT("'"&amp;'Template Setup'!$C$5&amp;"'!A:A")),0))</f>
        <v/>
      </c>
      <c r="I558" s="12" t="str">
        <f ca="1">IF($A558="","",IFERROR(SUMIF(INDIRECT("'"&amp;'Template Setup'!$C$6&amp;"'!C:C"),$A558,INDIRECT("'"&amp;'Template Setup'!$C$6&amp;"'!A:A")),0))</f>
        <v/>
      </c>
      <c r="J558" s="12" t="str">
        <f ca="1">IF($A558="","",IFERROR(SUMIF(INDIRECT("'"&amp;'Template Setup'!$C$7&amp;"'!C:C"),$A558,INDIRECT("'"&amp;'Template Setup'!$C$7&amp;"'!A:A")),0))</f>
        <v/>
      </c>
      <c r="K558" s="12" t="str">
        <f ca="1">IF($A558="","",IFERROR(SUMIF(INDIRECT("'"&amp;'Template Setup'!$C$8&amp;"'!C:C"),$A558,INDIRECT("'"&amp;'Template Setup'!$C$8&amp;"'!A:A")),0))</f>
        <v/>
      </c>
      <c r="L558" s="11" t="str">
        <f>IF($A558="","",IFERROR(VALUE(MID(TRIM('Template Setup'!$C$4),FIND("-",TRIM('Template Setup'!$C$4))+1,10)),0))</f>
        <v/>
      </c>
      <c r="M558" s="11" t="str">
        <f>IF($A558="","",IFERROR(VALUE(MID(TRIM('Template Setup'!$C$5),FIND("-",TRIM('Template Setup'!$C$5))+1,10)),0))</f>
        <v/>
      </c>
      <c r="N558" s="11" t="str">
        <f>IF($A558="","",IFERROR(VALUE(MID(TRIM('Template Setup'!$C$6),FIND("-",TRIM('Template Setup'!$C$6))+1,10)),0))</f>
        <v/>
      </c>
      <c r="O558" s="11" t="str">
        <f>IF($A558="","",IFERROR(VALUE(MID(TRIM('Template Setup'!$C$7),FIND("-",TRIM('Template Setup'!$C$7))+1,10)),0))</f>
        <v/>
      </c>
      <c r="P558" s="11" t="str">
        <f>IF($A558="","",IFERROR(VALUE(MID(TRIM('Template Setup'!$C$8),FIND("-",TRIM('Template Setup'!$C$8))+1,10)),0))</f>
        <v/>
      </c>
      <c r="Q558" s="9" t="str">
        <f>IF($A558="","",$A558&amp;"-"&amp;'Template Setup'!$C$16)</f>
        <v/>
      </c>
      <c r="R558" s="24" t="str">
        <f t="shared" si="33"/>
        <v/>
      </c>
      <c r="S558" s="24"/>
      <c r="T558" s="24" t="str">
        <f t="shared" si="34"/>
        <v/>
      </c>
      <c r="U558" s="6" t="str">
        <f t="shared" si="36"/>
        <v/>
      </c>
    </row>
    <row r="559" spans="1:21">
      <c r="A559" s="11"/>
      <c r="B559" s="11"/>
      <c r="C559" s="11"/>
      <c r="D559" s="11" t="str">
        <f>IF($A559="","",_xlfn.TEXTJOIN(", ",TRUE,IF($G559&gt;0,'Template Setup'!$C$4,""),IF($H559&gt;0,'Template Setup'!$C$5,""),IF($I559&gt;0,'Template Setup'!$C$6,""),IF($J559&gt;0,'Template Setup'!$C$7,""),IF($K559&gt;0,'Template Setup'!$C$8,"")))</f>
        <v/>
      </c>
      <c r="E559" s="6" t="str" cm="1">
        <f t="array" ref="E559">IF($A559="","",_xlfn.LET(_xlpm.sheets,CHOOSE({1,2,3,4,5},'Template Setup'!$C$4,'Template Setup'!$C$5,'Template Setup'!$C$6,'Template Setup'!$C$7,'Template Setup'!$C$8),_xlpm.nums,CHOOSE({1,2,3,4,5},$L559,$M559,$N559,$O559,$P559),_xlpm.qtys,CHOOSE({1,2,3,4,5},$G559,$H559,$I559,$J559,$K559),_xlpm.validNums,_xlfn._xlws.FILTER(_xlpm.nums,_xlpm.qtys&gt;0),_xlpm.validSheets,_xlfn._xlws.FILTER(_xlpm.sheets,_xlpm.qtys&gt;0),_xlpm.mx,IFERROR(MAX(_xlpm.validNums),0),IF(_xlpm.mx=0,"",INDEX(_xlpm.validSheets,MATCH(_xlpm.mx,_xlpm.validNums,0))&amp;" (+"&amp;$R559&amp;")")))</f>
        <v/>
      </c>
      <c r="F559" s="11" t="str">
        <f t="shared" si="35"/>
        <v/>
      </c>
      <c r="G559" s="12" t="str">
        <f ca="1">IF($A559="","",IFERROR(SUMIF(INDIRECT("'"&amp;'Template Setup'!$C$4&amp;"'!C:C"),$A559,INDIRECT("'"&amp;'Template Setup'!$C$4&amp;"'!A:A")),0))</f>
        <v/>
      </c>
      <c r="H559" s="12" t="str">
        <f ca="1">IF($A559="","",IFERROR(SUMIF(INDIRECT("'"&amp;'Template Setup'!$C$5&amp;"'!C:C"),$A559,INDIRECT("'"&amp;'Template Setup'!$C$5&amp;"'!A:A")),0))</f>
        <v/>
      </c>
      <c r="I559" s="12" t="str">
        <f ca="1">IF($A559="","",IFERROR(SUMIF(INDIRECT("'"&amp;'Template Setup'!$C$6&amp;"'!C:C"),$A559,INDIRECT("'"&amp;'Template Setup'!$C$6&amp;"'!A:A")),0))</f>
        <v/>
      </c>
      <c r="J559" s="12" t="str">
        <f ca="1">IF($A559="","",IFERROR(SUMIF(INDIRECT("'"&amp;'Template Setup'!$C$7&amp;"'!C:C"),$A559,INDIRECT("'"&amp;'Template Setup'!$C$7&amp;"'!A:A")),0))</f>
        <v/>
      </c>
      <c r="K559" s="12" t="str">
        <f ca="1">IF($A559="","",IFERROR(SUMIF(INDIRECT("'"&amp;'Template Setup'!$C$8&amp;"'!C:C"),$A559,INDIRECT("'"&amp;'Template Setup'!$C$8&amp;"'!A:A")),0))</f>
        <v/>
      </c>
      <c r="L559" s="11" t="str">
        <f>IF($A559="","",IFERROR(VALUE(MID(TRIM('Template Setup'!$C$4),FIND("-",TRIM('Template Setup'!$C$4))+1,10)),0))</f>
        <v/>
      </c>
      <c r="M559" s="11" t="str">
        <f>IF($A559="","",IFERROR(VALUE(MID(TRIM('Template Setup'!$C$5),FIND("-",TRIM('Template Setup'!$C$5))+1,10)),0))</f>
        <v/>
      </c>
      <c r="N559" s="11" t="str">
        <f>IF($A559="","",IFERROR(VALUE(MID(TRIM('Template Setup'!$C$6),FIND("-",TRIM('Template Setup'!$C$6))+1,10)),0))</f>
        <v/>
      </c>
      <c r="O559" s="11" t="str">
        <f>IF($A559="","",IFERROR(VALUE(MID(TRIM('Template Setup'!$C$7),FIND("-",TRIM('Template Setup'!$C$7))+1,10)),0))</f>
        <v/>
      </c>
      <c r="P559" s="11" t="str">
        <f>IF($A559="","",IFERROR(VALUE(MID(TRIM('Template Setup'!$C$8),FIND("-",TRIM('Template Setup'!$C$8))+1,10)),0))</f>
        <v/>
      </c>
      <c r="Q559" s="9" t="str">
        <f>IF($A559="","",$A559&amp;"-"&amp;'Template Setup'!$C$16)</f>
        <v/>
      </c>
      <c r="R559" s="24" t="str">
        <f t="shared" si="33"/>
        <v/>
      </c>
      <c r="S559" s="24"/>
      <c r="T559" s="24" t="str">
        <f t="shared" si="34"/>
        <v/>
      </c>
      <c r="U559" s="6" t="str">
        <f t="shared" si="36"/>
        <v/>
      </c>
    </row>
    <row r="560" spans="1:21">
      <c r="A560" s="11"/>
      <c r="B560" s="11"/>
      <c r="C560" s="11"/>
      <c r="D560" s="11" t="str">
        <f>IF($A560="","",_xlfn.TEXTJOIN(", ",TRUE,IF($G560&gt;0,'Template Setup'!$C$4,""),IF($H560&gt;0,'Template Setup'!$C$5,""),IF($I560&gt;0,'Template Setup'!$C$6,""),IF($J560&gt;0,'Template Setup'!$C$7,""),IF($K560&gt;0,'Template Setup'!$C$8,"")))</f>
        <v/>
      </c>
      <c r="E560" s="6" t="str" cm="1">
        <f t="array" ref="E560">IF($A560="","",_xlfn.LET(_xlpm.sheets,CHOOSE({1,2,3,4,5},'Template Setup'!$C$4,'Template Setup'!$C$5,'Template Setup'!$C$6,'Template Setup'!$C$7,'Template Setup'!$C$8),_xlpm.nums,CHOOSE({1,2,3,4,5},$L560,$M560,$N560,$O560,$P560),_xlpm.qtys,CHOOSE({1,2,3,4,5},$G560,$H560,$I560,$J560,$K560),_xlpm.validNums,_xlfn._xlws.FILTER(_xlpm.nums,_xlpm.qtys&gt;0),_xlpm.validSheets,_xlfn._xlws.FILTER(_xlpm.sheets,_xlpm.qtys&gt;0),_xlpm.mx,IFERROR(MAX(_xlpm.validNums),0),IF(_xlpm.mx=0,"",INDEX(_xlpm.validSheets,MATCH(_xlpm.mx,_xlpm.validNums,0))&amp;" (+"&amp;$R560&amp;")")))</f>
        <v/>
      </c>
      <c r="F560" s="11" t="str">
        <f t="shared" si="35"/>
        <v/>
      </c>
      <c r="G560" s="12" t="str">
        <f ca="1">IF($A560="","",IFERROR(SUMIF(INDIRECT("'"&amp;'Template Setup'!$C$4&amp;"'!C:C"),$A560,INDIRECT("'"&amp;'Template Setup'!$C$4&amp;"'!A:A")),0))</f>
        <v/>
      </c>
      <c r="H560" s="12" t="str">
        <f ca="1">IF($A560="","",IFERROR(SUMIF(INDIRECT("'"&amp;'Template Setup'!$C$5&amp;"'!C:C"),$A560,INDIRECT("'"&amp;'Template Setup'!$C$5&amp;"'!A:A")),0))</f>
        <v/>
      </c>
      <c r="I560" s="12" t="str">
        <f ca="1">IF($A560="","",IFERROR(SUMIF(INDIRECT("'"&amp;'Template Setup'!$C$6&amp;"'!C:C"),$A560,INDIRECT("'"&amp;'Template Setup'!$C$6&amp;"'!A:A")),0))</f>
        <v/>
      </c>
      <c r="J560" s="12" t="str">
        <f ca="1">IF($A560="","",IFERROR(SUMIF(INDIRECT("'"&amp;'Template Setup'!$C$7&amp;"'!C:C"),$A560,INDIRECT("'"&amp;'Template Setup'!$C$7&amp;"'!A:A")),0))</f>
        <v/>
      </c>
      <c r="K560" s="12" t="str">
        <f ca="1">IF($A560="","",IFERROR(SUMIF(INDIRECT("'"&amp;'Template Setup'!$C$8&amp;"'!C:C"),$A560,INDIRECT("'"&amp;'Template Setup'!$C$8&amp;"'!A:A")),0))</f>
        <v/>
      </c>
      <c r="L560" s="11" t="str">
        <f>IF($A560="","",IFERROR(VALUE(MID(TRIM('Template Setup'!$C$4),FIND("-",TRIM('Template Setup'!$C$4))+1,10)),0))</f>
        <v/>
      </c>
      <c r="M560" s="11" t="str">
        <f>IF($A560="","",IFERROR(VALUE(MID(TRIM('Template Setup'!$C$5),FIND("-",TRIM('Template Setup'!$C$5))+1,10)),0))</f>
        <v/>
      </c>
      <c r="N560" s="11" t="str">
        <f>IF($A560="","",IFERROR(VALUE(MID(TRIM('Template Setup'!$C$6),FIND("-",TRIM('Template Setup'!$C$6))+1,10)),0))</f>
        <v/>
      </c>
      <c r="O560" s="11" t="str">
        <f>IF($A560="","",IFERROR(VALUE(MID(TRIM('Template Setup'!$C$7),FIND("-",TRIM('Template Setup'!$C$7))+1,10)),0))</f>
        <v/>
      </c>
      <c r="P560" s="11" t="str">
        <f>IF($A560="","",IFERROR(VALUE(MID(TRIM('Template Setup'!$C$8),FIND("-",TRIM('Template Setup'!$C$8))+1,10)),0))</f>
        <v/>
      </c>
      <c r="Q560" s="9" t="str">
        <f>IF($A560="","",$A560&amp;"-"&amp;'Template Setup'!$C$16)</f>
        <v/>
      </c>
      <c r="R560" s="24" t="str">
        <f t="shared" si="33"/>
        <v/>
      </c>
      <c r="S560" s="24"/>
      <c r="T560" s="24" t="str">
        <f t="shared" si="34"/>
        <v/>
      </c>
      <c r="U560" s="6" t="str">
        <f t="shared" si="36"/>
        <v/>
      </c>
    </row>
    <row r="561" spans="1:21">
      <c r="A561" s="11"/>
      <c r="B561" s="11"/>
      <c r="C561" s="11"/>
      <c r="D561" s="11" t="str">
        <f>IF($A561="","",_xlfn.TEXTJOIN(", ",TRUE,IF($G561&gt;0,'Template Setup'!$C$4,""),IF($H561&gt;0,'Template Setup'!$C$5,""),IF($I561&gt;0,'Template Setup'!$C$6,""),IF($J561&gt;0,'Template Setup'!$C$7,""),IF($K561&gt;0,'Template Setup'!$C$8,"")))</f>
        <v/>
      </c>
      <c r="E561" s="6" t="str" cm="1">
        <f t="array" ref="E561">IF($A561="","",_xlfn.LET(_xlpm.sheets,CHOOSE({1,2,3,4,5},'Template Setup'!$C$4,'Template Setup'!$C$5,'Template Setup'!$C$6,'Template Setup'!$C$7,'Template Setup'!$C$8),_xlpm.nums,CHOOSE({1,2,3,4,5},$L561,$M561,$N561,$O561,$P561),_xlpm.qtys,CHOOSE({1,2,3,4,5},$G561,$H561,$I561,$J561,$K561),_xlpm.validNums,_xlfn._xlws.FILTER(_xlpm.nums,_xlpm.qtys&gt;0),_xlpm.validSheets,_xlfn._xlws.FILTER(_xlpm.sheets,_xlpm.qtys&gt;0),_xlpm.mx,IFERROR(MAX(_xlpm.validNums),0),IF(_xlpm.mx=0,"",INDEX(_xlpm.validSheets,MATCH(_xlpm.mx,_xlpm.validNums,0))&amp;" (+"&amp;$R561&amp;")")))</f>
        <v/>
      </c>
      <c r="F561" s="11" t="str">
        <f t="shared" si="35"/>
        <v/>
      </c>
      <c r="G561" s="12" t="str">
        <f ca="1">IF($A561="","",IFERROR(SUMIF(INDIRECT("'"&amp;'Template Setup'!$C$4&amp;"'!C:C"),$A561,INDIRECT("'"&amp;'Template Setup'!$C$4&amp;"'!A:A")),0))</f>
        <v/>
      </c>
      <c r="H561" s="12" t="str">
        <f ca="1">IF($A561="","",IFERROR(SUMIF(INDIRECT("'"&amp;'Template Setup'!$C$5&amp;"'!C:C"),$A561,INDIRECT("'"&amp;'Template Setup'!$C$5&amp;"'!A:A")),0))</f>
        <v/>
      </c>
      <c r="I561" s="12" t="str">
        <f ca="1">IF($A561="","",IFERROR(SUMIF(INDIRECT("'"&amp;'Template Setup'!$C$6&amp;"'!C:C"),$A561,INDIRECT("'"&amp;'Template Setup'!$C$6&amp;"'!A:A")),0))</f>
        <v/>
      </c>
      <c r="J561" s="12" t="str">
        <f ca="1">IF($A561="","",IFERROR(SUMIF(INDIRECT("'"&amp;'Template Setup'!$C$7&amp;"'!C:C"),$A561,INDIRECT("'"&amp;'Template Setup'!$C$7&amp;"'!A:A")),0))</f>
        <v/>
      </c>
      <c r="K561" s="12" t="str">
        <f ca="1">IF($A561="","",IFERROR(SUMIF(INDIRECT("'"&amp;'Template Setup'!$C$8&amp;"'!C:C"),$A561,INDIRECT("'"&amp;'Template Setup'!$C$8&amp;"'!A:A")),0))</f>
        <v/>
      </c>
      <c r="L561" s="11" t="str">
        <f>IF($A561="","",IFERROR(VALUE(MID(TRIM('Template Setup'!$C$4),FIND("-",TRIM('Template Setup'!$C$4))+1,10)),0))</f>
        <v/>
      </c>
      <c r="M561" s="11" t="str">
        <f>IF($A561="","",IFERROR(VALUE(MID(TRIM('Template Setup'!$C$5),FIND("-",TRIM('Template Setup'!$C$5))+1,10)),0))</f>
        <v/>
      </c>
      <c r="N561" s="11" t="str">
        <f>IF($A561="","",IFERROR(VALUE(MID(TRIM('Template Setup'!$C$6),FIND("-",TRIM('Template Setup'!$C$6))+1,10)),0))</f>
        <v/>
      </c>
      <c r="O561" s="11" t="str">
        <f>IF($A561="","",IFERROR(VALUE(MID(TRIM('Template Setup'!$C$7),FIND("-",TRIM('Template Setup'!$C$7))+1,10)),0))</f>
        <v/>
      </c>
      <c r="P561" s="11" t="str">
        <f>IF($A561="","",IFERROR(VALUE(MID(TRIM('Template Setup'!$C$8),FIND("-",TRIM('Template Setup'!$C$8))+1,10)),0))</f>
        <v/>
      </c>
      <c r="Q561" s="9" t="str">
        <f>IF($A561="","",$A561&amp;"-"&amp;'Template Setup'!$C$16)</f>
        <v/>
      </c>
      <c r="R561" s="24" t="str">
        <f t="shared" si="33"/>
        <v/>
      </c>
      <c r="S561" s="24"/>
      <c r="T561" s="24" t="str">
        <f t="shared" si="34"/>
        <v/>
      </c>
      <c r="U561" s="6" t="str">
        <f t="shared" si="36"/>
        <v/>
      </c>
    </row>
    <row r="562" spans="1:21">
      <c r="A562" s="11"/>
      <c r="B562" s="11"/>
      <c r="C562" s="11"/>
      <c r="D562" s="11" t="str">
        <f>IF($A562="","",_xlfn.TEXTJOIN(", ",TRUE,IF($G562&gt;0,'Template Setup'!$C$4,""),IF($H562&gt;0,'Template Setup'!$C$5,""),IF($I562&gt;0,'Template Setup'!$C$6,""),IF($J562&gt;0,'Template Setup'!$C$7,""),IF($K562&gt;0,'Template Setup'!$C$8,"")))</f>
        <v/>
      </c>
      <c r="E562" s="6" t="str" cm="1">
        <f t="array" ref="E562">IF($A562="","",_xlfn.LET(_xlpm.sheets,CHOOSE({1,2,3,4,5},'Template Setup'!$C$4,'Template Setup'!$C$5,'Template Setup'!$C$6,'Template Setup'!$C$7,'Template Setup'!$C$8),_xlpm.nums,CHOOSE({1,2,3,4,5},$L562,$M562,$N562,$O562,$P562),_xlpm.qtys,CHOOSE({1,2,3,4,5},$G562,$H562,$I562,$J562,$K562),_xlpm.validNums,_xlfn._xlws.FILTER(_xlpm.nums,_xlpm.qtys&gt;0),_xlpm.validSheets,_xlfn._xlws.FILTER(_xlpm.sheets,_xlpm.qtys&gt;0),_xlpm.mx,IFERROR(MAX(_xlpm.validNums),0),IF(_xlpm.mx=0,"",INDEX(_xlpm.validSheets,MATCH(_xlpm.mx,_xlpm.validNums,0))&amp;" (+"&amp;$R562&amp;")")))</f>
        <v/>
      </c>
      <c r="F562" s="11" t="str">
        <f t="shared" si="35"/>
        <v/>
      </c>
      <c r="G562" s="12" t="str">
        <f ca="1">IF($A562="","",IFERROR(SUMIF(INDIRECT("'"&amp;'Template Setup'!$C$4&amp;"'!C:C"),$A562,INDIRECT("'"&amp;'Template Setup'!$C$4&amp;"'!A:A")),0))</f>
        <v/>
      </c>
      <c r="H562" s="12" t="str">
        <f ca="1">IF($A562="","",IFERROR(SUMIF(INDIRECT("'"&amp;'Template Setup'!$C$5&amp;"'!C:C"),$A562,INDIRECT("'"&amp;'Template Setup'!$C$5&amp;"'!A:A")),0))</f>
        <v/>
      </c>
      <c r="I562" s="12" t="str">
        <f ca="1">IF($A562="","",IFERROR(SUMIF(INDIRECT("'"&amp;'Template Setup'!$C$6&amp;"'!C:C"),$A562,INDIRECT("'"&amp;'Template Setup'!$C$6&amp;"'!A:A")),0))</f>
        <v/>
      </c>
      <c r="J562" s="12" t="str">
        <f ca="1">IF($A562="","",IFERROR(SUMIF(INDIRECT("'"&amp;'Template Setup'!$C$7&amp;"'!C:C"),$A562,INDIRECT("'"&amp;'Template Setup'!$C$7&amp;"'!A:A")),0))</f>
        <v/>
      </c>
      <c r="K562" s="12" t="str">
        <f ca="1">IF($A562="","",IFERROR(SUMIF(INDIRECT("'"&amp;'Template Setup'!$C$8&amp;"'!C:C"),$A562,INDIRECT("'"&amp;'Template Setup'!$C$8&amp;"'!A:A")),0))</f>
        <v/>
      </c>
      <c r="L562" s="11" t="str">
        <f>IF($A562="","",IFERROR(VALUE(MID(TRIM('Template Setup'!$C$4),FIND("-",TRIM('Template Setup'!$C$4))+1,10)),0))</f>
        <v/>
      </c>
      <c r="M562" s="11" t="str">
        <f>IF($A562="","",IFERROR(VALUE(MID(TRIM('Template Setup'!$C$5),FIND("-",TRIM('Template Setup'!$C$5))+1,10)),0))</f>
        <v/>
      </c>
      <c r="N562" s="11" t="str">
        <f>IF($A562="","",IFERROR(VALUE(MID(TRIM('Template Setup'!$C$6),FIND("-",TRIM('Template Setup'!$C$6))+1,10)),0))</f>
        <v/>
      </c>
      <c r="O562" s="11" t="str">
        <f>IF($A562="","",IFERROR(VALUE(MID(TRIM('Template Setup'!$C$7),FIND("-",TRIM('Template Setup'!$C$7))+1,10)),0))</f>
        <v/>
      </c>
      <c r="P562" s="11" t="str">
        <f>IF($A562="","",IFERROR(VALUE(MID(TRIM('Template Setup'!$C$8),FIND("-",TRIM('Template Setup'!$C$8))+1,10)),0))</f>
        <v/>
      </c>
      <c r="Q562" s="9" t="str">
        <f>IF($A562="","",$A562&amp;"-"&amp;'Template Setup'!$C$16)</f>
        <v/>
      </c>
      <c r="R562" s="24" t="str">
        <f t="shared" si="33"/>
        <v/>
      </c>
      <c r="S562" s="24"/>
      <c r="T562" s="24" t="str">
        <f t="shared" si="34"/>
        <v/>
      </c>
      <c r="U562" s="6" t="str">
        <f t="shared" si="36"/>
        <v/>
      </c>
    </row>
    <row r="563" spans="1:21">
      <c r="A563" s="11"/>
      <c r="B563" s="11"/>
      <c r="C563" s="11"/>
      <c r="D563" s="11" t="str">
        <f>IF($A563="","",_xlfn.TEXTJOIN(", ",TRUE,IF($G563&gt;0,'Template Setup'!$C$4,""),IF($H563&gt;0,'Template Setup'!$C$5,""),IF($I563&gt;0,'Template Setup'!$C$6,""),IF($J563&gt;0,'Template Setup'!$C$7,""),IF($K563&gt;0,'Template Setup'!$C$8,"")))</f>
        <v/>
      </c>
      <c r="E563" s="6" t="str" cm="1">
        <f t="array" ref="E563">IF($A563="","",_xlfn.LET(_xlpm.sheets,CHOOSE({1,2,3,4,5},'Template Setup'!$C$4,'Template Setup'!$C$5,'Template Setup'!$C$6,'Template Setup'!$C$7,'Template Setup'!$C$8),_xlpm.nums,CHOOSE({1,2,3,4,5},$L563,$M563,$N563,$O563,$P563),_xlpm.qtys,CHOOSE({1,2,3,4,5},$G563,$H563,$I563,$J563,$K563),_xlpm.validNums,_xlfn._xlws.FILTER(_xlpm.nums,_xlpm.qtys&gt;0),_xlpm.validSheets,_xlfn._xlws.FILTER(_xlpm.sheets,_xlpm.qtys&gt;0),_xlpm.mx,IFERROR(MAX(_xlpm.validNums),0),IF(_xlpm.mx=0,"",INDEX(_xlpm.validSheets,MATCH(_xlpm.mx,_xlpm.validNums,0))&amp;" (+"&amp;$R563&amp;")")))</f>
        <v/>
      </c>
      <c r="F563" s="11" t="str">
        <f t="shared" si="35"/>
        <v/>
      </c>
      <c r="G563" s="12" t="str">
        <f ca="1">IF($A563="","",IFERROR(SUMIF(INDIRECT("'"&amp;'Template Setup'!$C$4&amp;"'!C:C"),$A563,INDIRECT("'"&amp;'Template Setup'!$C$4&amp;"'!A:A")),0))</f>
        <v/>
      </c>
      <c r="H563" s="12" t="str">
        <f ca="1">IF($A563="","",IFERROR(SUMIF(INDIRECT("'"&amp;'Template Setup'!$C$5&amp;"'!C:C"),$A563,INDIRECT("'"&amp;'Template Setup'!$C$5&amp;"'!A:A")),0))</f>
        <v/>
      </c>
      <c r="I563" s="12" t="str">
        <f ca="1">IF($A563="","",IFERROR(SUMIF(INDIRECT("'"&amp;'Template Setup'!$C$6&amp;"'!C:C"),$A563,INDIRECT("'"&amp;'Template Setup'!$C$6&amp;"'!A:A")),0))</f>
        <v/>
      </c>
      <c r="J563" s="12" t="str">
        <f ca="1">IF($A563="","",IFERROR(SUMIF(INDIRECT("'"&amp;'Template Setup'!$C$7&amp;"'!C:C"),$A563,INDIRECT("'"&amp;'Template Setup'!$C$7&amp;"'!A:A")),0))</f>
        <v/>
      </c>
      <c r="K563" s="12" t="str">
        <f ca="1">IF($A563="","",IFERROR(SUMIF(INDIRECT("'"&amp;'Template Setup'!$C$8&amp;"'!C:C"),$A563,INDIRECT("'"&amp;'Template Setup'!$C$8&amp;"'!A:A")),0))</f>
        <v/>
      </c>
      <c r="L563" s="11" t="str">
        <f>IF($A563="","",IFERROR(VALUE(MID(TRIM('Template Setup'!$C$4),FIND("-",TRIM('Template Setup'!$C$4))+1,10)),0))</f>
        <v/>
      </c>
      <c r="M563" s="11" t="str">
        <f>IF($A563="","",IFERROR(VALUE(MID(TRIM('Template Setup'!$C$5),FIND("-",TRIM('Template Setup'!$C$5))+1,10)),0))</f>
        <v/>
      </c>
      <c r="N563" s="11" t="str">
        <f>IF($A563="","",IFERROR(VALUE(MID(TRIM('Template Setup'!$C$6),FIND("-",TRIM('Template Setup'!$C$6))+1,10)),0))</f>
        <v/>
      </c>
      <c r="O563" s="11" t="str">
        <f>IF($A563="","",IFERROR(VALUE(MID(TRIM('Template Setup'!$C$7),FIND("-",TRIM('Template Setup'!$C$7))+1,10)),0))</f>
        <v/>
      </c>
      <c r="P563" s="11" t="str">
        <f>IF($A563="","",IFERROR(VALUE(MID(TRIM('Template Setup'!$C$8),FIND("-",TRIM('Template Setup'!$C$8))+1,10)),0))</f>
        <v/>
      </c>
      <c r="Q563" s="9" t="str">
        <f>IF($A563="","",$A563&amp;"-"&amp;'Template Setup'!$C$16)</f>
        <v/>
      </c>
      <c r="R563" s="24" t="str">
        <f t="shared" si="33"/>
        <v/>
      </c>
      <c r="S563" s="24"/>
      <c r="T563" s="24" t="str">
        <f t="shared" si="34"/>
        <v/>
      </c>
      <c r="U563" s="6" t="str">
        <f t="shared" si="36"/>
        <v/>
      </c>
    </row>
    <row r="564" spans="1:21">
      <c r="A564" s="11"/>
      <c r="B564" s="11"/>
      <c r="C564" s="11"/>
      <c r="D564" s="11" t="str">
        <f>IF($A564="","",_xlfn.TEXTJOIN(", ",TRUE,IF($G564&gt;0,'Template Setup'!$C$4,""),IF($H564&gt;0,'Template Setup'!$C$5,""),IF($I564&gt;0,'Template Setup'!$C$6,""),IF($J564&gt;0,'Template Setup'!$C$7,""),IF($K564&gt;0,'Template Setup'!$C$8,"")))</f>
        <v/>
      </c>
      <c r="E564" s="6" t="str" cm="1">
        <f t="array" ref="E564">IF($A564="","",_xlfn.LET(_xlpm.sheets,CHOOSE({1,2,3,4,5},'Template Setup'!$C$4,'Template Setup'!$C$5,'Template Setup'!$C$6,'Template Setup'!$C$7,'Template Setup'!$C$8),_xlpm.nums,CHOOSE({1,2,3,4,5},$L564,$M564,$N564,$O564,$P564),_xlpm.qtys,CHOOSE({1,2,3,4,5},$G564,$H564,$I564,$J564,$K564),_xlpm.validNums,_xlfn._xlws.FILTER(_xlpm.nums,_xlpm.qtys&gt;0),_xlpm.validSheets,_xlfn._xlws.FILTER(_xlpm.sheets,_xlpm.qtys&gt;0),_xlpm.mx,IFERROR(MAX(_xlpm.validNums),0),IF(_xlpm.mx=0,"",INDEX(_xlpm.validSheets,MATCH(_xlpm.mx,_xlpm.validNums,0))&amp;" (+"&amp;$R564&amp;")")))</f>
        <v/>
      </c>
      <c r="F564" s="11" t="str">
        <f t="shared" si="35"/>
        <v/>
      </c>
      <c r="G564" s="12" t="str">
        <f ca="1">IF($A564="","",IFERROR(SUMIF(INDIRECT("'"&amp;'Template Setup'!$C$4&amp;"'!C:C"),$A564,INDIRECT("'"&amp;'Template Setup'!$C$4&amp;"'!A:A")),0))</f>
        <v/>
      </c>
      <c r="H564" s="12" t="str">
        <f ca="1">IF($A564="","",IFERROR(SUMIF(INDIRECT("'"&amp;'Template Setup'!$C$5&amp;"'!C:C"),$A564,INDIRECT("'"&amp;'Template Setup'!$C$5&amp;"'!A:A")),0))</f>
        <v/>
      </c>
      <c r="I564" s="12" t="str">
        <f ca="1">IF($A564="","",IFERROR(SUMIF(INDIRECT("'"&amp;'Template Setup'!$C$6&amp;"'!C:C"),$A564,INDIRECT("'"&amp;'Template Setup'!$C$6&amp;"'!A:A")),0))</f>
        <v/>
      </c>
      <c r="J564" s="12" t="str">
        <f ca="1">IF($A564="","",IFERROR(SUMIF(INDIRECT("'"&amp;'Template Setup'!$C$7&amp;"'!C:C"),$A564,INDIRECT("'"&amp;'Template Setup'!$C$7&amp;"'!A:A")),0))</f>
        <v/>
      </c>
      <c r="K564" s="12" t="str">
        <f ca="1">IF($A564="","",IFERROR(SUMIF(INDIRECT("'"&amp;'Template Setup'!$C$8&amp;"'!C:C"),$A564,INDIRECT("'"&amp;'Template Setup'!$C$8&amp;"'!A:A")),0))</f>
        <v/>
      </c>
      <c r="L564" s="11" t="str">
        <f>IF($A564="","",IFERROR(VALUE(MID(TRIM('Template Setup'!$C$4),FIND("-",TRIM('Template Setup'!$C$4))+1,10)),0))</f>
        <v/>
      </c>
      <c r="M564" s="11" t="str">
        <f>IF($A564="","",IFERROR(VALUE(MID(TRIM('Template Setup'!$C$5),FIND("-",TRIM('Template Setup'!$C$5))+1,10)),0))</f>
        <v/>
      </c>
      <c r="N564" s="11" t="str">
        <f>IF($A564="","",IFERROR(VALUE(MID(TRIM('Template Setup'!$C$6),FIND("-",TRIM('Template Setup'!$C$6))+1,10)),0))</f>
        <v/>
      </c>
      <c r="O564" s="11" t="str">
        <f>IF($A564="","",IFERROR(VALUE(MID(TRIM('Template Setup'!$C$7),FIND("-",TRIM('Template Setup'!$C$7))+1,10)),0))</f>
        <v/>
      </c>
      <c r="P564" s="11" t="str">
        <f>IF($A564="","",IFERROR(VALUE(MID(TRIM('Template Setup'!$C$8),FIND("-",TRIM('Template Setup'!$C$8))+1,10)),0))</f>
        <v/>
      </c>
      <c r="Q564" s="9" t="str">
        <f>IF($A564="","",$A564&amp;"-"&amp;'Template Setup'!$C$16)</f>
        <v/>
      </c>
      <c r="R564" s="24" t="str">
        <f t="shared" si="33"/>
        <v/>
      </c>
      <c r="S564" s="24"/>
      <c r="T564" s="24" t="str">
        <f t="shared" si="34"/>
        <v/>
      </c>
      <c r="U564" s="6" t="str">
        <f t="shared" si="36"/>
        <v/>
      </c>
    </row>
    <row r="565" spans="1:21">
      <c r="A565" s="11"/>
      <c r="B565" s="11"/>
      <c r="C565" s="11"/>
      <c r="D565" s="11" t="str">
        <f>IF($A565="","",_xlfn.TEXTJOIN(", ",TRUE,IF($G565&gt;0,'Template Setup'!$C$4,""),IF($H565&gt;0,'Template Setup'!$C$5,""),IF($I565&gt;0,'Template Setup'!$C$6,""),IF($J565&gt;0,'Template Setup'!$C$7,""),IF($K565&gt;0,'Template Setup'!$C$8,"")))</f>
        <v/>
      </c>
      <c r="E565" s="6" t="str" cm="1">
        <f t="array" ref="E565">IF($A565="","",_xlfn.LET(_xlpm.sheets,CHOOSE({1,2,3,4,5},'Template Setup'!$C$4,'Template Setup'!$C$5,'Template Setup'!$C$6,'Template Setup'!$C$7,'Template Setup'!$C$8),_xlpm.nums,CHOOSE({1,2,3,4,5},$L565,$M565,$N565,$O565,$P565),_xlpm.qtys,CHOOSE({1,2,3,4,5},$G565,$H565,$I565,$J565,$K565),_xlpm.validNums,_xlfn._xlws.FILTER(_xlpm.nums,_xlpm.qtys&gt;0),_xlpm.validSheets,_xlfn._xlws.FILTER(_xlpm.sheets,_xlpm.qtys&gt;0),_xlpm.mx,IFERROR(MAX(_xlpm.validNums),0),IF(_xlpm.mx=0,"",INDEX(_xlpm.validSheets,MATCH(_xlpm.mx,_xlpm.validNums,0))&amp;" (+"&amp;$R565&amp;")")))</f>
        <v/>
      </c>
      <c r="F565" s="11" t="str">
        <f t="shared" si="35"/>
        <v/>
      </c>
      <c r="G565" s="12" t="str">
        <f ca="1">IF($A565="","",IFERROR(SUMIF(INDIRECT("'"&amp;'Template Setup'!$C$4&amp;"'!C:C"),$A565,INDIRECT("'"&amp;'Template Setup'!$C$4&amp;"'!A:A")),0))</f>
        <v/>
      </c>
      <c r="H565" s="12" t="str">
        <f ca="1">IF($A565="","",IFERROR(SUMIF(INDIRECT("'"&amp;'Template Setup'!$C$5&amp;"'!C:C"),$A565,INDIRECT("'"&amp;'Template Setup'!$C$5&amp;"'!A:A")),0))</f>
        <v/>
      </c>
      <c r="I565" s="12" t="str">
        <f ca="1">IF($A565="","",IFERROR(SUMIF(INDIRECT("'"&amp;'Template Setup'!$C$6&amp;"'!C:C"),$A565,INDIRECT("'"&amp;'Template Setup'!$C$6&amp;"'!A:A")),0))</f>
        <v/>
      </c>
      <c r="J565" s="12" t="str">
        <f ca="1">IF($A565="","",IFERROR(SUMIF(INDIRECT("'"&amp;'Template Setup'!$C$7&amp;"'!C:C"),$A565,INDIRECT("'"&amp;'Template Setup'!$C$7&amp;"'!A:A")),0))</f>
        <v/>
      </c>
      <c r="K565" s="12" t="str">
        <f ca="1">IF($A565="","",IFERROR(SUMIF(INDIRECT("'"&amp;'Template Setup'!$C$8&amp;"'!C:C"),$A565,INDIRECT("'"&amp;'Template Setup'!$C$8&amp;"'!A:A")),0))</f>
        <v/>
      </c>
      <c r="L565" s="11" t="str">
        <f>IF($A565="","",IFERROR(VALUE(MID(TRIM('Template Setup'!$C$4),FIND("-",TRIM('Template Setup'!$C$4))+1,10)),0))</f>
        <v/>
      </c>
      <c r="M565" s="11" t="str">
        <f>IF($A565="","",IFERROR(VALUE(MID(TRIM('Template Setup'!$C$5),FIND("-",TRIM('Template Setup'!$C$5))+1,10)),0))</f>
        <v/>
      </c>
      <c r="N565" s="11" t="str">
        <f>IF($A565="","",IFERROR(VALUE(MID(TRIM('Template Setup'!$C$6),FIND("-",TRIM('Template Setup'!$C$6))+1,10)),0))</f>
        <v/>
      </c>
      <c r="O565" s="11" t="str">
        <f>IF($A565="","",IFERROR(VALUE(MID(TRIM('Template Setup'!$C$7),FIND("-",TRIM('Template Setup'!$C$7))+1,10)),0))</f>
        <v/>
      </c>
      <c r="P565" s="11" t="str">
        <f>IF($A565="","",IFERROR(VALUE(MID(TRIM('Template Setup'!$C$8),FIND("-",TRIM('Template Setup'!$C$8))+1,10)),0))</f>
        <v/>
      </c>
      <c r="Q565" s="9" t="str">
        <f>IF($A565="","",$A565&amp;"-"&amp;'Template Setup'!$C$16)</f>
        <v/>
      </c>
      <c r="R565" s="24" t="str">
        <f t="shared" si="33"/>
        <v/>
      </c>
      <c r="S565" s="24"/>
      <c r="T565" s="24" t="str">
        <f t="shared" si="34"/>
        <v/>
      </c>
      <c r="U565" s="6" t="str">
        <f t="shared" si="36"/>
        <v/>
      </c>
    </row>
    <row r="566" spans="1:21">
      <c r="A566" s="11"/>
      <c r="B566" s="11"/>
      <c r="C566" s="11"/>
      <c r="D566" s="11" t="str">
        <f>IF($A566="","",_xlfn.TEXTJOIN(", ",TRUE,IF($G566&gt;0,'Template Setup'!$C$4,""),IF($H566&gt;0,'Template Setup'!$C$5,""),IF($I566&gt;0,'Template Setup'!$C$6,""),IF($J566&gt;0,'Template Setup'!$C$7,""),IF($K566&gt;0,'Template Setup'!$C$8,"")))</f>
        <v/>
      </c>
      <c r="E566" s="6" t="str" cm="1">
        <f t="array" ref="E566">IF($A566="","",_xlfn.LET(_xlpm.sheets,CHOOSE({1,2,3,4,5},'Template Setup'!$C$4,'Template Setup'!$C$5,'Template Setup'!$C$6,'Template Setup'!$C$7,'Template Setup'!$C$8),_xlpm.nums,CHOOSE({1,2,3,4,5},$L566,$M566,$N566,$O566,$P566),_xlpm.qtys,CHOOSE({1,2,3,4,5},$G566,$H566,$I566,$J566,$K566),_xlpm.validNums,_xlfn._xlws.FILTER(_xlpm.nums,_xlpm.qtys&gt;0),_xlpm.validSheets,_xlfn._xlws.FILTER(_xlpm.sheets,_xlpm.qtys&gt;0),_xlpm.mx,IFERROR(MAX(_xlpm.validNums),0),IF(_xlpm.mx=0,"",INDEX(_xlpm.validSheets,MATCH(_xlpm.mx,_xlpm.validNums,0))&amp;" (+"&amp;$R566&amp;")")))</f>
        <v/>
      </c>
      <c r="F566" s="11" t="str">
        <f t="shared" si="35"/>
        <v/>
      </c>
      <c r="G566" s="12" t="str">
        <f ca="1">IF($A566="","",IFERROR(SUMIF(INDIRECT("'"&amp;'Template Setup'!$C$4&amp;"'!C:C"),$A566,INDIRECT("'"&amp;'Template Setup'!$C$4&amp;"'!A:A")),0))</f>
        <v/>
      </c>
      <c r="H566" s="12" t="str">
        <f ca="1">IF($A566="","",IFERROR(SUMIF(INDIRECT("'"&amp;'Template Setup'!$C$5&amp;"'!C:C"),$A566,INDIRECT("'"&amp;'Template Setup'!$C$5&amp;"'!A:A")),0))</f>
        <v/>
      </c>
      <c r="I566" s="12" t="str">
        <f ca="1">IF($A566="","",IFERROR(SUMIF(INDIRECT("'"&amp;'Template Setup'!$C$6&amp;"'!C:C"),$A566,INDIRECT("'"&amp;'Template Setup'!$C$6&amp;"'!A:A")),0))</f>
        <v/>
      </c>
      <c r="J566" s="12" t="str">
        <f ca="1">IF($A566="","",IFERROR(SUMIF(INDIRECT("'"&amp;'Template Setup'!$C$7&amp;"'!C:C"),$A566,INDIRECT("'"&amp;'Template Setup'!$C$7&amp;"'!A:A")),0))</f>
        <v/>
      </c>
      <c r="K566" s="12" t="str">
        <f ca="1">IF($A566="","",IFERROR(SUMIF(INDIRECT("'"&amp;'Template Setup'!$C$8&amp;"'!C:C"),$A566,INDIRECT("'"&amp;'Template Setup'!$C$8&amp;"'!A:A")),0))</f>
        <v/>
      </c>
      <c r="L566" s="11" t="str">
        <f>IF($A566="","",IFERROR(VALUE(MID(TRIM('Template Setup'!$C$4),FIND("-",TRIM('Template Setup'!$C$4))+1,10)),0))</f>
        <v/>
      </c>
      <c r="M566" s="11" t="str">
        <f>IF($A566="","",IFERROR(VALUE(MID(TRIM('Template Setup'!$C$5),FIND("-",TRIM('Template Setup'!$C$5))+1,10)),0))</f>
        <v/>
      </c>
      <c r="N566" s="11" t="str">
        <f>IF($A566="","",IFERROR(VALUE(MID(TRIM('Template Setup'!$C$6),FIND("-",TRIM('Template Setup'!$C$6))+1,10)),0))</f>
        <v/>
      </c>
      <c r="O566" s="11" t="str">
        <f>IF($A566="","",IFERROR(VALUE(MID(TRIM('Template Setup'!$C$7),FIND("-",TRIM('Template Setup'!$C$7))+1,10)),0))</f>
        <v/>
      </c>
      <c r="P566" s="11" t="str">
        <f>IF($A566="","",IFERROR(VALUE(MID(TRIM('Template Setup'!$C$8),FIND("-",TRIM('Template Setup'!$C$8))+1,10)),0))</f>
        <v/>
      </c>
      <c r="Q566" s="9" t="str">
        <f>IF($A566="","",$A566&amp;"-"&amp;'Template Setup'!$C$16)</f>
        <v/>
      </c>
      <c r="R566" s="24" t="str">
        <f t="shared" si="33"/>
        <v/>
      </c>
      <c r="S566" s="24"/>
      <c r="T566" s="24" t="str">
        <f t="shared" si="34"/>
        <v/>
      </c>
      <c r="U566" s="6" t="str">
        <f t="shared" si="36"/>
        <v/>
      </c>
    </row>
    <row r="567" spans="1:21">
      <c r="A567" s="11"/>
      <c r="B567" s="11"/>
      <c r="C567" s="11"/>
      <c r="D567" s="11" t="str">
        <f>IF($A567="","",_xlfn.TEXTJOIN(", ",TRUE,IF($G567&gt;0,'Template Setup'!$C$4,""),IF($H567&gt;0,'Template Setup'!$C$5,""),IF($I567&gt;0,'Template Setup'!$C$6,""),IF($J567&gt;0,'Template Setup'!$C$7,""),IF($K567&gt;0,'Template Setup'!$C$8,"")))</f>
        <v/>
      </c>
      <c r="E567" s="6" t="str" cm="1">
        <f t="array" ref="E567">IF($A567="","",_xlfn.LET(_xlpm.sheets,CHOOSE({1,2,3,4,5},'Template Setup'!$C$4,'Template Setup'!$C$5,'Template Setup'!$C$6,'Template Setup'!$C$7,'Template Setup'!$C$8),_xlpm.nums,CHOOSE({1,2,3,4,5},$L567,$M567,$N567,$O567,$P567),_xlpm.qtys,CHOOSE({1,2,3,4,5},$G567,$H567,$I567,$J567,$K567),_xlpm.validNums,_xlfn._xlws.FILTER(_xlpm.nums,_xlpm.qtys&gt;0),_xlpm.validSheets,_xlfn._xlws.FILTER(_xlpm.sheets,_xlpm.qtys&gt;0),_xlpm.mx,IFERROR(MAX(_xlpm.validNums),0),IF(_xlpm.mx=0,"",INDEX(_xlpm.validSheets,MATCH(_xlpm.mx,_xlpm.validNums,0))&amp;" (+"&amp;$R567&amp;")")))</f>
        <v/>
      </c>
      <c r="F567" s="11" t="str">
        <f t="shared" si="35"/>
        <v/>
      </c>
      <c r="G567" s="12" t="str">
        <f ca="1">IF($A567="","",IFERROR(SUMIF(INDIRECT("'"&amp;'Template Setup'!$C$4&amp;"'!C:C"),$A567,INDIRECT("'"&amp;'Template Setup'!$C$4&amp;"'!A:A")),0))</f>
        <v/>
      </c>
      <c r="H567" s="12" t="str">
        <f ca="1">IF($A567="","",IFERROR(SUMIF(INDIRECT("'"&amp;'Template Setup'!$C$5&amp;"'!C:C"),$A567,INDIRECT("'"&amp;'Template Setup'!$C$5&amp;"'!A:A")),0))</f>
        <v/>
      </c>
      <c r="I567" s="12" t="str">
        <f ca="1">IF($A567="","",IFERROR(SUMIF(INDIRECT("'"&amp;'Template Setup'!$C$6&amp;"'!C:C"),$A567,INDIRECT("'"&amp;'Template Setup'!$C$6&amp;"'!A:A")),0))</f>
        <v/>
      </c>
      <c r="J567" s="12" t="str">
        <f ca="1">IF($A567="","",IFERROR(SUMIF(INDIRECT("'"&amp;'Template Setup'!$C$7&amp;"'!C:C"),$A567,INDIRECT("'"&amp;'Template Setup'!$C$7&amp;"'!A:A")),0))</f>
        <v/>
      </c>
      <c r="K567" s="12" t="str">
        <f ca="1">IF($A567="","",IFERROR(SUMIF(INDIRECT("'"&amp;'Template Setup'!$C$8&amp;"'!C:C"),$A567,INDIRECT("'"&amp;'Template Setup'!$C$8&amp;"'!A:A")),0))</f>
        <v/>
      </c>
      <c r="L567" s="11" t="str">
        <f>IF($A567="","",IFERROR(VALUE(MID(TRIM('Template Setup'!$C$4),FIND("-",TRIM('Template Setup'!$C$4))+1,10)),0))</f>
        <v/>
      </c>
      <c r="M567" s="11" t="str">
        <f>IF($A567="","",IFERROR(VALUE(MID(TRIM('Template Setup'!$C$5),FIND("-",TRIM('Template Setup'!$C$5))+1,10)),0))</f>
        <v/>
      </c>
      <c r="N567" s="11" t="str">
        <f>IF($A567="","",IFERROR(VALUE(MID(TRIM('Template Setup'!$C$6),FIND("-",TRIM('Template Setup'!$C$6))+1,10)),0))</f>
        <v/>
      </c>
      <c r="O567" s="11" t="str">
        <f>IF($A567="","",IFERROR(VALUE(MID(TRIM('Template Setup'!$C$7),FIND("-",TRIM('Template Setup'!$C$7))+1,10)),0))</f>
        <v/>
      </c>
      <c r="P567" s="11" t="str">
        <f>IF($A567="","",IFERROR(VALUE(MID(TRIM('Template Setup'!$C$8),FIND("-",TRIM('Template Setup'!$C$8))+1,10)),0))</f>
        <v/>
      </c>
      <c r="Q567" s="9" t="str">
        <f>IF($A567="","",$A567&amp;"-"&amp;'Template Setup'!$C$16)</f>
        <v/>
      </c>
      <c r="R567" s="24" t="str">
        <f t="shared" si="33"/>
        <v/>
      </c>
      <c r="S567" s="24"/>
      <c r="T567" s="24" t="str">
        <f t="shared" si="34"/>
        <v/>
      </c>
      <c r="U567" s="6" t="str">
        <f t="shared" si="36"/>
        <v/>
      </c>
    </row>
    <row r="568" spans="1:21">
      <c r="A568" s="11"/>
      <c r="B568" s="11"/>
      <c r="C568" s="11"/>
      <c r="D568" s="11" t="str">
        <f>IF($A568="","",_xlfn.TEXTJOIN(", ",TRUE,IF($G568&gt;0,'Template Setup'!$C$4,""),IF($H568&gt;0,'Template Setup'!$C$5,""),IF($I568&gt;0,'Template Setup'!$C$6,""),IF($J568&gt;0,'Template Setup'!$C$7,""),IF($K568&gt;0,'Template Setup'!$C$8,"")))</f>
        <v/>
      </c>
      <c r="E568" s="6" t="str" cm="1">
        <f t="array" ref="E568">IF($A568="","",_xlfn.LET(_xlpm.sheets,CHOOSE({1,2,3,4,5},'Template Setup'!$C$4,'Template Setup'!$C$5,'Template Setup'!$C$6,'Template Setup'!$C$7,'Template Setup'!$C$8),_xlpm.nums,CHOOSE({1,2,3,4,5},$L568,$M568,$N568,$O568,$P568),_xlpm.qtys,CHOOSE({1,2,3,4,5},$G568,$H568,$I568,$J568,$K568),_xlpm.validNums,_xlfn._xlws.FILTER(_xlpm.nums,_xlpm.qtys&gt;0),_xlpm.validSheets,_xlfn._xlws.FILTER(_xlpm.sheets,_xlpm.qtys&gt;0),_xlpm.mx,IFERROR(MAX(_xlpm.validNums),0),IF(_xlpm.mx=0,"",INDEX(_xlpm.validSheets,MATCH(_xlpm.mx,_xlpm.validNums,0))&amp;" (+"&amp;$R568&amp;")")))</f>
        <v/>
      </c>
      <c r="F568" s="11" t="str">
        <f t="shared" si="35"/>
        <v/>
      </c>
      <c r="G568" s="12" t="str">
        <f ca="1">IF($A568="","",IFERROR(SUMIF(INDIRECT("'"&amp;'Template Setup'!$C$4&amp;"'!C:C"),$A568,INDIRECT("'"&amp;'Template Setup'!$C$4&amp;"'!A:A")),0))</f>
        <v/>
      </c>
      <c r="H568" s="12" t="str">
        <f ca="1">IF($A568="","",IFERROR(SUMIF(INDIRECT("'"&amp;'Template Setup'!$C$5&amp;"'!C:C"),$A568,INDIRECT("'"&amp;'Template Setup'!$C$5&amp;"'!A:A")),0))</f>
        <v/>
      </c>
      <c r="I568" s="12" t="str">
        <f ca="1">IF($A568="","",IFERROR(SUMIF(INDIRECT("'"&amp;'Template Setup'!$C$6&amp;"'!C:C"),$A568,INDIRECT("'"&amp;'Template Setup'!$C$6&amp;"'!A:A")),0))</f>
        <v/>
      </c>
      <c r="J568" s="12" t="str">
        <f ca="1">IF($A568="","",IFERROR(SUMIF(INDIRECT("'"&amp;'Template Setup'!$C$7&amp;"'!C:C"),$A568,INDIRECT("'"&amp;'Template Setup'!$C$7&amp;"'!A:A")),0))</f>
        <v/>
      </c>
      <c r="K568" s="12" t="str">
        <f ca="1">IF($A568="","",IFERROR(SUMIF(INDIRECT("'"&amp;'Template Setup'!$C$8&amp;"'!C:C"),$A568,INDIRECT("'"&amp;'Template Setup'!$C$8&amp;"'!A:A")),0))</f>
        <v/>
      </c>
      <c r="L568" s="11" t="str">
        <f>IF($A568="","",IFERROR(VALUE(MID(TRIM('Template Setup'!$C$4),FIND("-",TRIM('Template Setup'!$C$4))+1,10)),0))</f>
        <v/>
      </c>
      <c r="M568" s="11" t="str">
        <f>IF($A568="","",IFERROR(VALUE(MID(TRIM('Template Setup'!$C$5),FIND("-",TRIM('Template Setup'!$C$5))+1,10)),0))</f>
        <v/>
      </c>
      <c r="N568" s="11" t="str">
        <f>IF($A568="","",IFERROR(VALUE(MID(TRIM('Template Setup'!$C$6),FIND("-",TRIM('Template Setup'!$C$6))+1,10)),0))</f>
        <v/>
      </c>
      <c r="O568" s="11" t="str">
        <f>IF($A568="","",IFERROR(VALUE(MID(TRIM('Template Setup'!$C$7),FIND("-",TRIM('Template Setup'!$C$7))+1,10)),0))</f>
        <v/>
      </c>
      <c r="P568" s="11" t="str">
        <f>IF($A568="","",IFERROR(VALUE(MID(TRIM('Template Setup'!$C$8),FIND("-",TRIM('Template Setup'!$C$8))+1,10)),0))</f>
        <v/>
      </c>
      <c r="Q568" s="9" t="str">
        <f>IF($A568="","",$A568&amp;"-"&amp;'Template Setup'!$C$16)</f>
        <v/>
      </c>
      <c r="R568" s="24" t="str">
        <f t="shared" si="33"/>
        <v/>
      </c>
      <c r="S568" s="24"/>
      <c r="T568" s="24" t="str">
        <f t="shared" si="34"/>
        <v/>
      </c>
      <c r="U568" s="6" t="str">
        <f t="shared" si="36"/>
        <v/>
      </c>
    </row>
    <row r="569" spans="1:21">
      <c r="A569" s="11"/>
      <c r="B569" s="11"/>
      <c r="C569" s="11"/>
      <c r="D569" s="11" t="str">
        <f>IF($A569="","",_xlfn.TEXTJOIN(", ",TRUE,IF($G569&gt;0,'Template Setup'!$C$4,""),IF($H569&gt;0,'Template Setup'!$C$5,""),IF($I569&gt;0,'Template Setup'!$C$6,""),IF($J569&gt;0,'Template Setup'!$C$7,""),IF($K569&gt;0,'Template Setup'!$C$8,"")))</f>
        <v/>
      </c>
      <c r="E569" s="6" t="str" cm="1">
        <f t="array" ref="E569">IF($A569="","",_xlfn.LET(_xlpm.sheets,CHOOSE({1,2,3,4,5},'Template Setup'!$C$4,'Template Setup'!$C$5,'Template Setup'!$C$6,'Template Setup'!$C$7,'Template Setup'!$C$8),_xlpm.nums,CHOOSE({1,2,3,4,5},$L569,$M569,$N569,$O569,$P569),_xlpm.qtys,CHOOSE({1,2,3,4,5},$G569,$H569,$I569,$J569,$K569),_xlpm.validNums,_xlfn._xlws.FILTER(_xlpm.nums,_xlpm.qtys&gt;0),_xlpm.validSheets,_xlfn._xlws.FILTER(_xlpm.sheets,_xlpm.qtys&gt;0),_xlpm.mx,IFERROR(MAX(_xlpm.validNums),0),IF(_xlpm.mx=0,"",INDEX(_xlpm.validSheets,MATCH(_xlpm.mx,_xlpm.validNums,0))&amp;" (+"&amp;$R569&amp;")")))</f>
        <v/>
      </c>
      <c r="F569" s="11" t="str">
        <f t="shared" si="35"/>
        <v/>
      </c>
      <c r="G569" s="12" t="str">
        <f ca="1">IF($A569="","",IFERROR(SUMIF(INDIRECT("'"&amp;'Template Setup'!$C$4&amp;"'!C:C"),$A569,INDIRECT("'"&amp;'Template Setup'!$C$4&amp;"'!A:A")),0))</f>
        <v/>
      </c>
      <c r="H569" s="12" t="str">
        <f ca="1">IF($A569="","",IFERROR(SUMIF(INDIRECT("'"&amp;'Template Setup'!$C$5&amp;"'!C:C"),$A569,INDIRECT("'"&amp;'Template Setup'!$C$5&amp;"'!A:A")),0))</f>
        <v/>
      </c>
      <c r="I569" s="12" t="str">
        <f ca="1">IF($A569="","",IFERROR(SUMIF(INDIRECT("'"&amp;'Template Setup'!$C$6&amp;"'!C:C"),$A569,INDIRECT("'"&amp;'Template Setup'!$C$6&amp;"'!A:A")),0))</f>
        <v/>
      </c>
      <c r="J569" s="12" t="str">
        <f ca="1">IF($A569="","",IFERROR(SUMIF(INDIRECT("'"&amp;'Template Setup'!$C$7&amp;"'!C:C"),$A569,INDIRECT("'"&amp;'Template Setup'!$C$7&amp;"'!A:A")),0))</f>
        <v/>
      </c>
      <c r="K569" s="12" t="str">
        <f ca="1">IF($A569="","",IFERROR(SUMIF(INDIRECT("'"&amp;'Template Setup'!$C$8&amp;"'!C:C"),$A569,INDIRECT("'"&amp;'Template Setup'!$C$8&amp;"'!A:A")),0))</f>
        <v/>
      </c>
      <c r="L569" s="11" t="str">
        <f>IF($A569="","",IFERROR(VALUE(MID(TRIM('Template Setup'!$C$4),FIND("-",TRIM('Template Setup'!$C$4))+1,10)),0))</f>
        <v/>
      </c>
      <c r="M569" s="11" t="str">
        <f>IF($A569="","",IFERROR(VALUE(MID(TRIM('Template Setup'!$C$5),FIND("-",TRIM('Template Setup'!$C$5))+1,10)),0))</f>
        <v/>
      </c>
      <c r="N569" s="11" t="str">
        <f>IF($A569="","",IFERROR(VALUE(MID(TRIM('Template Setup'!$C$6),FIND("-",TRIM('Template Setup'!$C$6))+1,10)),0))</f>
        <v/>
      </c>
      <c r="O569" s="11" t="str">
        <f>IF($A569="","",IFERROR(VALUE(MID(TRIM('Template Setup'!$C$7),FIND("-",TRIM('Template Setup'!$C$7))+1,10)),0))</f>
        <v/>
      </c>
      <c r="P569" s="11" t="str">
        <f>IF($A569="","",IFERROR(VALUE(MID(TRIM('Template Setup'!$C$8),FIND("-",TRIM('Template Setup'!$C$8))+1,10)),0))</f>
        <v/>
      </c>
      <c r="Q569" s="9" t="str">
        <f>IF($A569="","",$A569&amp;"-"&amp;'Template Setup'!$C$16)</f>
        <v/>
      </c>
      <c r="R569" s="24" t="str">
        <f t="shared" si="33"/>
        <v/>
      </c>
      <c r="S569" s="24"/>
      <c r="T569" s="24" t="str">
        <f t="shared" si="34"/>
        <v/>
      </c>
      <c r="U569" s="6" t="str">
        <f t="shared" si="36"/>
        <v/>
      </c>
    </row>
    <row r="570" spans="1:21">
      <c r="A570" s="11"/>
      <c r="B570" s="11"/>
      <c r="C570" s="11"/>
      <c r="D570" s="11" t="str">
        <f>IF($A570="","",_xlfn.TEXTJOIN(", ",TRUE,IF($G570&gt;0,'Template Setup'!$C$4,""),IF($H570&gt;0,'Template Setup'!$C$5,""),IF($I570&gt;0,'Template Setup'!$C$6,""),IF($J570&gt;0,'Template Setup'!$C$7,""),IF($K570&gt;0,'Template Setup'!$C$8,"")))</f>
        <v/>
      </c>
      <c r="E570" s="6" t="str" cm="1">
        <f t="array" ref="E570">IF($A570="","",_xlfn.LET(_xlpm.sheets,CHOOSE({1,2,3,4,5},'Template Setup'!$C$4,'Template Setup'!$C$5,'Template Setup'!$C$6,'Template Setup'!$C$7,'Template Setup'!$C$8),_xlpm.nums,CHOOSE({1,2,3,4,5},$L570,$M570,$N570,$O570,$P570),_xlpm.qtys,CHOOSE({1,2,3,4,5},$G570,$H570,$I570,$J570,$K570),_xlpm.validNums,_xlfn._xlws.FILTER(_xlpm.nums,_xlpm.qtys&gt;0),_xlpm.validSheets,_xlfn._xlws.FILTER(_xlpm.sheets,_xlpm.qtys&gt;0),_xlpm.mx,IFERROR(MAX(_xlpm.validNums),0),IF(_xlpm.mx=0,"",INDEX(_xlpm.validSheets,MATCH(_xlpm.mx,_xlpm.validNums,0))&amp;" (+"&amp;$R570&amp;")")))</f>
        <v/>
      </c>
      <c r="F570" s="11" t="str">
        <f t="shared" si="35"/>
        <v/>
      </c>
      <c r="G570" s="12" t="str">
        <f ca="1">IF($A570="","",IFERROR(SUMIF(INDIRECT("'"&amp;'Template Setup'!$C$4&amp;"'!C:C"),$A570,INDIRECT("'"&amp;'Template Setup'!$C$4&amp;"'!A:A")),0))</f>
        <v/>
      </c>
      <c r="H570" s="12" t="str">
        <f ca="1">IF($A570="","",IFERROR(SUMIF(INDIRECT("'"&amp;'Template Setup'!$C$5&amp;"'!C:C"),$A570,INDIRECT("'"&amp;'Template Setup'!$C$5&amp;"'!A:A")),0))</f>
        <v/>
      </c>
      <c r="I570" s="12" t="str">
        <f ca="1">IF($A570="","",IFERROR(SUMIF(INDIRECT("'"&amp;'Template Setup'!$C$6&amp;"'!C:C"),$A570,INDIRECT("'"&amp;'Template Setup'!$C$6&amp;"'!A:A")),0))</f>
        <v/>
      </c>
      <c r="J570" s="12" t="str">
        <f ca="1">IF($A570="","",IFERROR(SUMIF(INDIRECT("'"&amp;'Template Setup'!$C$7&amp;"'!C:C"),$A570,INDIRECT("'"&amp;'Template Setup'!$C$7&amp;"'!A:A")),0))</f>
        <v/>
      </c>
      <c r="K570" s="12" t="str">
        <f ca="1">IF($A570="","",IFERROR(SUMIF(INDIRECT("'"&amp;'Template Setup'!$C$8&amp;"'!C:C"),$A570,INDIRECT("'"&amp;'Template Setup'!$C$8&amp;"'!A:A")),0))</f>
        <v/>
      </c>
      <c r="L570" s="11" t="str">
        <f>IF($A570="","",IFERROR(VALUE(MID(TRIM('Template Setup'!$C$4),FIND("-",TRIM('Template Setup'!$C$4))+1,10)),0))</f>
        <v/>
      </c>
      <c r="M570" s="11" t="str">
        <f>IF($A570="","",IFERROR(VALUE(MID(TRIM('Template Setup'!$C$5),FIND("-",TRIM('Template Setup'!$C$5))+1,10)),0))</f>
        <v/>
      </c>
      <c r="N570" s="11" t="str">
        <f>IF($A570="","",IFERROR(VALUE(MID(TRIM('Template Setup'!$C$6),FIND("-",TRIM('Template Setup'!$C$6))+1,10)),0))</f>
        <v/>
      </c>
      <c r="O570" s="11" t="str">
        <f>IF($A570="","",IFERROR(VALUE(MID(TRIM('Template Setup'!$C$7),FIND("-",TRIM('Template Setup'!$C$7))+1,10)),0))</f>
        <v/>
      </c>
      <c r="P570" s="11" t="str">
        <f>IF($A570="","",IFERROR(VALUE(MID(TRIM('Template Setup'!$C$8),FIND("-",TRIM('Template Setup'!$C$8))+1,10)),0))</f>
        <v/>
      </c>
      <c r="Q570" s="9" t="str">
        <f>IF($A570="","",$A570&amp;"-"&amp;'Template Setup'!$C$16)</f>
        <v/>
      </c>
      <c r="R570" s="24" t="str">
        <f t="shared" si="33"/>
        <v/>
      </c>
      <c r="S570" s="24"/>
      <c r="T570" s="24" t="str">
        <f t="shared" si="34"/>
        <v/>
      </c>
      <c r="U570" s="6" t="str">
        <f t="shared" si="36"/>
        <v/>
      </c>
    </row>
    <row r="571" spans="1:21">
      <c r="A571" s="11"/>
      <c r="B571" s="11"/>
      <c r="C571" s="11"/>
      <c r="D571" s="11" t="str">
        <f>IF($A571="","",_xlfn.TEXTJOIN(", ",TRUE,IF($G571&gt;0,'Template Setup'!$C$4,""),IF($H571&gt;0,'Template Setup'!$C$5,""),IF($I571&gt;0,'Template Setup'!$C$6,""),IF($J571&gt;0,'Template Setup'!$C$7,""),IF($K571&gt;0,'Template Setup'!$C$8,"")))</f>
        <v/>
      </c>
      <c r="E571" s="6" t="str" cm="1">
        <f t="array" ref="E571">IF($A571="","",_xlfn.LET(_xlpm.sheets,CHOOSE({1,2,3,4,5},'Template Setup'!$C$4,'Template Setup'!$C$5,'Template Setup'!$C$6,'Template Setup'!$C$7,'Template Setup'!$C$8),_xlpm.nums,CHOOSE({1,2,3,4,5},$L571,$M571,$N571,$O571,$P571),_xlpm.qtys,CHOOSE({1,2,3,4,5},$G571,$H571,$I571,$J571,$K571),_xlpm.validNums,_xlfn._xlws.FILTER(_xlpm.nums,_xlpm.qtys&gt;0),_xlpm.validSheets,_xlfn._xlws.FILTER(_xlpm.sheets,_xlpm.qtys&gt;0),_xlpm.mx,IFERROR(MAX(_xlpm.validNums),0),IF(_xlpm.mx=0,"",INDEX(_xlpm.validSheets,MATCH(_xlpm.mx,_xlpm.validNums,0))&amp;" (+"&amp;$R571&amp;")")))</f>
        <v/>
      </c>
      <c r="F571" s="11" t="str">
        <f t="shared" si="35"/>
        <v/>
      </c>
      <c r="G571" s="12" t="str">
        <f ca="1">IF($A571="","",IFERROR(SUMIF(INDIRECT("'"&amp;'Template Setup'!$C$4&amp;"'!C:C"),$A571,INDIRECT("'"&amp;'Template Setup'!$C$4&amp;"'!A:A")),0))</f>
        <v/>
      </c>
      <c r="H571" s="12" t="str">
        <f ca="1">IF($A571="","",IFERROR(SUMIF(INDIRECT("'"&amp;'Template Setup'!$C$5&amp;"'!C:C"),$A571,INDIRECT("'"&amp;'Template Setup'!$C$5&amp;"'!A:A")),0))</f>
        <v/>
      </c>
      <c r="I571" s="12" t="str">
        <f ca="1">IF($A571="","",IFERROR(SUMIF(INDIRECT("'"&amp;'Template Setup'!$C$6&amp;"'!C:C"),$A571,INDIRECT("'"&amp;'Template Setup'!$C$6&amp;"'!A:A")),0))</f>
        <v/>
      </c>
      <c r="J571" s="12" t="str">
        <f ca="1">IF($A571="","",IFERROR(SUMIF(INDIRECT("'"&amp;'Template Setup'!$C$7&amp;"'!C:C"),$A571,INDIRECT("'"&amp;'Template Setup'!$C$7&amp;"'!A:A")),0))</f>
        <v/>
      </c>
      <c r="K571" s="12" t="str">
        <f ca="1">IF($A571="","",IFERROR(SUMIF(INDIRECT("'"&amp;'Template Setup'!$C$8&amp;"'!C:C"),$A571,INDIRECT("'"&amp;'Template Setup'!$C$8&amp;"'!A:A")),0))</f>
        <v/>
      </c>
      <c r="L571" s="11" t="str">
        <f>IF($A571="","",IFERROR(VALUE(MID(TRIM('Template Setup'!$C$4),FIND("-",TRIM('Template Setup'!$C$4))+1,10)),0))</f>
        <v/>
      </c>
      <c r="M571" s="11" t="str">
        <f>IF($A571="","",IFERROR(VALUE(MID(TRIM('Template Setup'!$C$5),FIND("-",TRIM('Template Setup'!$C$5))+1,10)),0))</f>
        <v/>
      </c>
      <c r="N571" s="11" t="str">
        <f>IF($A571="","",IFERROR(VALUE(MID(TRIM('Template Setup'!$C$6),FIND("-",TRIM('Template Setup'!$C$6))+1,10)),0))</f>
        <v/>
      </c>
      <c r="O571" s="11" t="str">
        <f>IF($A571="","",IFERROR(VALUE(MID(TRIM('Template Setup'!$C$7),FIND("-",TRIM('Template Setup'!$C$7))+1,10)),0))</f>
        <v/>
      </c>
      <c r="P571" s="11" t="str">
        <f>IF($A571="","",IFERROR(VALUE(MID(TRIM('Template Setup'!$C$8),FIND("-",TRIM('Template Setup'!$C$8))+1,10)),0))</f>
        <v/>
      </c>
      <c r="Q571" s="9" t="str">
        <f>IF($A571="","",$A571&amp;"-"&amp;'Template Setup'!$C$16)</f>
        <v/>
      </c>
      <c r="R571" s="24" t="str">
        <f t="shared" si="33"/>
        <v/>
      </c>
      <c r="S571" s="24"/>
      <c r="T571" s="24" t="str">
        <f t="shared" si="34"/>
        <v/>
      </c>
      <c r="U571" s="6" t="str">
        <f t="shared" si="36"/>
        <v/>
      </c>
    </row>
    <row r="572" spans="1:21">
      <c r="A572" s="11"/>
      <c r="B572" s="11"/>
      <c r="C572" s="11"/>
      <c r="D572" s="11" t="str">
        <f>IF($A572="","",_xlfn.TEXTJOIN(", ",TRUE,IF($G572&gt;0,'Template Setup'!$C$4,""),IF($H572&gt;0,'Template Setup'!$C$5,""),IF($I572&gt;0,'Template Setup'!$C$6,""),IF($J572&gt;0,'Template Setup'!$C$7,""),IF($K572&gt;0,'Template Setup'!$C$8,"")))</f>
        <v/>
      </c>
      <c r="E572" s="6" t="str" cm="1">
        <f t="array" ref="E572">IF($A572="","",_xlfn.LET(_xlpm.sheets,CHOOSE({1,2,3,4,5},'Template Setup'!$C$4,'Template Setup'!$C$5,'Template Setup'!$C$6,'Template Setup'!$C$7,'Template Setup'!$C$8),_xlpm.nums,CHOOSE({1,2,3,4,5},$L572,$M572,$N572,$O572,$P572),_xlpm.qtys,CHOOSE({1,2,3,4,5},$G572,$H572,$I572,$J572,$K572),_xlpm.validNums,_xlfn._xlws.FILTER(_xlpm.nums,_xlpm.qtys&gt;0),_xlpm.validSheets,_xlfn._xlws.FILTER(_xlpm.sheets,_xlpm.qtys&gt;0),_xlpm.mx,IFERROR(MAX(_xlpm.validNums),0),IF(_xlpm.mx=0,"",INDEX(_xlpm.validSheets,MATCH(_xlpm.mx,_xlpm.validNums,0))&amp;" (+"&amp;$R572&amp;")")))</f>
        <v/>
      </c>
      <c r="F572" s="11" t="str">
        <f t="shared" si="35"/>
        <v/>
      </c>
      <c r="G572" s="12" t="str">
        <f ca="1">IF($A572="","",IFERROR(SUMIF(INDIRECT("'"&amp;'Template Setup'!$C$4&amp;"'!C:C"),$A572,INDIRECT("'"&amp;'Template Setup'!$C$4&amp;"'!A:A")),0))</f>
        <v/>
      </c>
      <c r="H572" s="12" t="str">
        <f ca="1">IF($A572="","",IFERROR(SUMIF(INDIRECT("'"&amp;'Template Setup'!$C$5&amp;"'!C:C"),$A572,INDIRECT("'"&amp;'Template Setup'!$C$5&amp;"'!A:A")),0))</f>
        <v/>
      </c>
      <c r="I572" s="12" t="str">
        <f ca="1">IF($A572="","",IFERROR(SUMIF(INDIRECT("'"&amp;'Template Setup'!$C$6&amp;"'!C:C"),$A572,INDIRECT("'"&amp;'Template Setup'!$C$6&amp;"'!A:A")),0))</f>
        <v/>
      </c>
      <c r="J572" s="12" t="str">
        <f ca="1">IF($A572="","",IFERROR(SUMIF(INDIRECT("'"&amp;'Template Setup'!$C$7&amp;"'!C:C"),$A572,INDIRECT("'"&amp;'Template Setup'!$C$7&amp;"'!A:A")),0))</f>
        <v/>
      </c>
      <c r="K572" s="12" t="str">
        <f ca="1">IF($A572="","",IFERROR(SUMIF(INDIRECT("'"&amp;'Template Setup'!$C$8&amp;"'!C:C"),$A572,INDIRECT("'"&amp;'Template Setup'!$C$8&amp;"'!A:A")),0))</f>
        <v/>
      </c>
      <c r="L572" s="11" t="str">
        <f>IF($A572="","",IFERROR(VALUE(MID(TRIM('Template Setup'!$C$4),FIND("-",TRIM('Template Setup'!$C$4))+1,10)),0))</f>
        <v/>
      </c>
      <c r="M572" s="11" t="str">
        <f>IF($A572="","",IFERROR(VALUE(MID(TRIM('Template Setup'!$C$5),FIND("-",TRIM('Template Setup'!$C$5))+1,10)),0))</f>
        <v/>
      </c>
      <c r="N572" s="11" t="str">
        <f>IF($A572="","",IFERROR(VALUE(MID(TRIM('Template Setup'!$C$6),FIND("-",TRIM('Template Setup'!$C$6))+1,10)),0))</f>
        <v/>
      </c>
      <c r="O572" s="11" t="str">
        <f>IF($A572="","",IFERROR(VALUE(MID(TRIM('Template Setup'!$C$7),FIND("-",TRIM('Template Setup'!$C$7))+1,10)),0))</f>
        <v/>
      </c>
      <c r="P572" s="11" t="str">
        <f>IF($A572="","",IFERROR(VALUE(MID(TRIM('Template Setup'!$C$8),FIND("-",TRIM('Template Setup'!$C$8))+1,10)),0))</f>
        <v/>
      </c>
      <c r="Q572" s="9" t="str">
        <f>IF($A572="","",$A572&amp;"-"&amp;'Template Setup'!$C$16)</f>
        <v/>
      </c>
      <c r="R572" s="24" t="str">
        <f t="shared" si="33"/>
        <v/>
      </c>
      <c r="S572" s="24"/>
      <c r="T572" s="24" t="str">
        <f t="shared" si="34"/>
        <v/>
      </c>
      <c r="U572" s="6" t="str">
        <f t="shared" si="36"/>
        <v/>
      </c>
    </row>
    <row r="573" spans="1:21">
      <c r="A573" s="11"/>
      <c r="B573" s="11"/>
      <c r="C573" s="11"/>
      <c r="D573" s="11" t="str">
        <f>IF($A573="","",_xlfn.TEXTJOIN(", ",TRUE,IF($G573&gt;0,'Template Setup'!$C$4,""),IF($H573&gt;0,'Template Setup'!$C$5,""),IF($I573&gt;0,'Template Setup'!$C$6,""),IF($J573&gt;0,'Template Setup'!$C$7,""),IF($K573&gt;0,'Template Setup'!$C$8,"")))</f>
        <v/>
      </c>
      <c r="E573" s="6" t="str" cm="1">
        <f t="array" ref="E573">IF($A573="","",_xlfn.LET(_xlpm.sheets,CHOOSE({1,2,3,4,5},'Template Setup'!$C$4,'Template Setup'!$C$5,'Template Setup'!$C$6,'Template Setup'!$C$7,'Template Setup'!$C$8),_xlpm.nums,CHOOSE({1,2,3,4,5},$L573,$M573,$N573,$O573,$P573),_xlpm.qtys,CHOOSE({1,2,3,4,5},$G573,$H573,$I573,$J573,$K573),_xlpm.validNums,_xlfn._xlws.FILTER(_xlpm.nums,_xlpm.qtys&gt;0),_xlpm.validSheets,_xlfn._xlws.FILTER(_xlpm.sheets,_xlpm.qtys&gt;0),_xlpm.mx,IFERROR(MAX(_xlpm.validNums),0),IF(_xlpm.mx=0,"",INDEX(_xlpm.validSheets,MATCH(_xlpm.mx,_xlpm.validNums,0))&amp;" (+"&amp;$R573&amp;")")))</f>
        <v/>
      </c>
      <c r="F573" s="11" t="str">
        <f t="shared" si="35"/>
        <v/>
      </c>
      <c r="G573" s="12" t="str">
        <f ca="1">IF($A573="","",IFERROR(SUMIF(INDIRECT("'"&amp;'Template Setup'!$C$4&amp;"'!C:C"),$A573,INDIRECT("'"&amp;'Template Setup'!$C$4&amp;"'!A:A")),0))</f>
        <v/>
      </c>
      <c r="H573" s="12" t="str">
        <f ca="1">IF($A573="","",IFERROR(SUMIF(INDIRECT("'"&amp;'Template Setup'!$C$5&amp;"'!C:C"),$A573,INDIRECT("'"&amp;'Template Setup'!$C$5&amp;"'!A:A")),0))</f>
        <v/>
      </c>
      <c r="I573" s="12" t="str">
        <f ca="1">IF($A573="","",IFERROR(SUMIF(INDIRECT("'"&amp;'Template Setup'!$C$6&amp;"'!C:C"),$A573,INDIRECT("'"&amp;'Template Setup'!$C$6&amp;"'!A:A")),0))</f>
        <v/>
      </c>
      <c r="J573" s="12" t="str">
        <f ca="1">IF($A573="","",IFERROR(SUMIF(INDIRECT("'"&amp;'Template Setup'!$C$7&amp;"'!C:C"),$A573,INDIRECT("'"&amp;'Template Setup'!$C$7&amp;"'!A:A")),0))</f>
        <v/>
      </c>
      <c r="K573" s="12" t="str">
        <f ca="1">IF($A573="","",IFERROR(SUMIF(INDIRECT("'"&amp;'Template Setup'!$C$8&amp;"'!C:C"),$A573,INDIRECT("'"&amp;'Template Setup'!$C$8&amp;"'!A:A")),0))</f>
        <v/>
      </c>
      <c r="L573" s="11" t="str">
        <f>IF($A573="","",IFERROR(VALUE(MID(TRIM('Template Setup'!$C$4),FIND("-",TRIM('Template Setup'!$C$4))+1,10)),0))</f>
        <v/>
      </c>
      <c r="M573" s="11" t="str">
        <f>IF($A573="","",IFERROR(VALUE(MID(TRIM('Template Setup'!$C$5),FIND("-",TRIM('Template Setup'!$C$5))+1,10)),0))</f>
        <v/>
      </c>
      <c r="N573" s="11" t="str">
        <f>IF($A573="","",IFERROR(VALUE(MID(TRIM('Template Setup'!$C$6),FIND("-",TRIM('Template Setup'!$C$6))+1,10)),0))</f>
        <v/>
      </c>
      <c r="O573" s="11" t="str">
        <f>IF($A573="","",IFERROR(VALUE(MID(TRIM('Template Setup'!$C$7),FIND("-",TRIM('Template Setup'!$C$7))+1,10)),0))</f>
        <v/>
      </c>
      <c r="P573" s="11" t="str">
        <f>IF($A573="","",IFERROR(VALUE(MID(TRIM('Template Setup'!$C$8),FIND("-",TRIM('Template Setup'!$C$8))+1,10)),0))</f>
        <v/>
      </c>
      <c r="Q573" s="9" t="str">
        <f>IF($A573="","",$A573&amp;"-"&amp;'Template Setup'!$C$16)</f>
        <v/>
      </c>
      <c r="R573" s="24" t="str">
        <f t="shared" si="33"/>
        <v/>
      </c>
      <c r="S573" s="24"/>
      <c r="T573" s="24" t="str">
        <f t="shared" si="34"/>
        <v/>
      </c>
      <c r="U573" s="6" t="str">
        <f t="shared" si="36"/>
        <v/>
      </c>
    </row>
    <row r="574" spans="1:21">
      <c r="A574" s="11"/>
      <c r="B574" s="11"/>
      <c r="C574" s="11"/>
      <c r="D574" s="11" t="str">
        <f>IF($A574="","",_xlfn.TEXTJOIN(", ",TRUE,IF($G574&gt;0,'Template Setup'!$C$4,""),IF($H574&gt;0,'Template Setup'!$C$5,""),IF($I574&gt;0,'Template Setup'!$C$6,""),IF($J574&gt;0,'Template Setup'!$C$7,""),IF($K574&gt;0,'Template Setup'!$C$8,"")))</f>
        <v/>
      </c>
      <c r="E574" s="6" t="str" cm="1">
        <f t="array" ref="E574">IF($A574="","",_xlfn.LET(_xlpm.sheets,CHOOSE({1,2,3,4,5},'Template Setup'!$C$4,'Template Setup'!$C$5,'Template Setup'!$C$6,'Template Setup'!$C$7,'Template Setup'!$C$8),_xlpm.nums,CHOOSE({1,2,3,4,5},$L574,$M574,$N574,$O574,$P574),_xlpm.qtys,CHOOSE({1,2,3,4,5},$G574,$H574,$I574,$J574,$K574),_xlpm.validNums,_xlfn._xlws.FILTER(_xlpm.nums,_xlpm.qtys&gt;0),_xlpm.validSheets,_xlfn._xlws.FILTER(_xlpm.sheets,_xlpm.qtys&gt;0),_xlpm.mx,IFERROR(MAX(_xlpm.validNums),0),IF(_xlpm.mx=0,"",INDEX(_xlpm.validSheets,MATCH(_xlpm.mx,_xlpm.validNums,0))&amp;" (+"&amp;$R574&amp;")")))</f>
        <v/>
      </c>
      <c r="F574" s="11" t="str">
        <f t="shared" si="35"/>
        <v/>
      </c>
      <c r="G574" s="12" t="str">
        <f ca="1">IF($A574="","",IFERROR(SUMIF(INDIRECT("'"&amp;'Template Setup'!$C$4&amp;"'!C:C"),$A574,INDIRECT("'"&amp;'Template Setup'!$C$4&amp;"'!A:A")),0))</f>
        <v/>
      </c>
      <c r="H574" s="12" t="str">
        <f ca="1">IF($A574="","",IFERROR(SUMIF(INDIRECT("'"&amp;'Template Setup'!$C$5&amp;"'!C:C"),$A574,INDIRECT("'"&amp;'Template Setup'!$C$5&amp;"'!A:A")),0))</f>
        <v/>
      </c>
      <c r="I574" s="12" t="str">
        <f ca="1">IF($A574="","",IFERROR(SUMIF(INDIRECT("'"&amp;'Template Setup'!$C$6&amp;"'!C:C"),$A574,INDIRECT("'"&amp;'Template Setup'!$C$6&amp;"'!A:A")),0))</f>
        <v/>
      </c>
      <c r="J574" s="12" t="str">
        <f ca="1">IF($A574="","",IFERROR(SUMIF(INDIRECT("'"&amp;'Template Setup'!$C$7&amp;"'!C:C"),$A574,INDIRECT("'"&amp;'Template Setup'!$C$7&amp;"'!A:A")),0))</f>
        <v/>
      </c>
      <c r="K574" s="12" t="str">
        <f ca="1">IF($A574="","",IFERROR(SUMIF(INDIRECT("'"&amp;'Template Setup'!$C$8&amp;"'!C:C"),$A574,INDIRECT("'"&amp;'Template Setup'!$C$8&amp;"'!A:A")),0))</f>
        <v/>
      </c>
      <c r="L574" s="11" t="str">
        <f>IF($A574="","",IFERROR(VALUE(MID(TRIM('Template Setup'!$C$4),FIND("-",TRIM('Template Setup'!$C$4))+1,10)),0))</f>
        <v/>
      </c>
      <c r="M574" s="11" t="str">
        <f>IF($A574="","",IFERROR(VALUE(MID(TRIM('Template Setup'!$C$5),FIND("-",TRIM('Template Setup'!$C$5))+1,10)),0))</f>
        <v/>
      </c>
      <c r="N574" s="11" t="str">
        <f>IF($A574="","",IFERROR(VALUE(MID(TRIM('Template Setup'!$C$6),FIND("-",TRIM('Template Setup'!$C$6))+1,10)),0))</f>
        <v/>
      </c>
      <c r="O574" s="11" t="str">
        <f>IF($A574="","",IFERROR(VALUE(MID(TRIM('Template Setup'!$C$7),FIND("-",TRIM('Template Setup'!$C$7))+1,10)),0))</f>
        <v/>
      </c>
      <c r="P574" s="11" t="str">
        <f>IF($A574="","",IFERROR(VALUE(MID(TRIM('Template Setup'!$C$8),FIND("-",TRIM('Template Setup'!$C$8))+1,10)),0))</f>
        <v/>
      </c>
      <c r="Q574" s="9" t="str">
        <f>IF($A574="","",$A574&amp;"-"&amp;'Template Setup'!$C$16)</f>
        <v/>
      </c>
      <c r="R574" s="24" t="str">
        <f t="shared" si="33"/>
        <v/>
      </c>
      <c r="S574" s="24"/>
      <c r="T574" s="24" t="str">
        <f t="shared" si="34"/>
        <v/>
      </c>
      <c r="U574" s="6" t="str">
        <f t="shared" si="36"/>
        <v/>
      </c>
    </row>
    <row r="575" spans="1:21">
      <c r="A575" s="11"/>
      <c r="B575" s="11"/>
      <c r="C575" s="11"/>
      <c r="D575" s="11" t="str">
        <f>IF($A575="","",_xlfn.TEXTJOIN(", ",TRUE,IF($G575&gt;0,'Template Setup'!$C$4,""),IF($H575&gt;0,'Template Setup'!$C$5,""),IF($I575&gt;0,'Template Setup'!$C$6,""),IF($J575&gt;0,'Template Setup'!$C$7,""),IF($K575&gt;0,'Template Setup'!$C$8,"")))</f>
        <v/>
      </c>
      <c r="E575" s="6" t="str" cm="1">
        <f t="array" ref="E575">IF($A575="","",_xlfn.LET(_xlpm.sheets,CHOOSE({1,2,3,4,5},'Template Setup'!$C$4,'Template Setup'!$C$5,'Template Setup'!$C$6,'Template Setup'!$C$7,'Template Setup'!$C$8),_xlpm.nums,CHOOSE({1,2,3,4,5},$L575,$M575,$N575,$O575,$P575),_xlpm.qtys,CHOOSE({1,2,3,4,5},$G575,$H575,$I575,$J575,$K575),_xlpm.validNums,_xlfn._xlws.FILTER(_xlpm.nums,_xlpm.qtys&gt;0),_xlpm.validSheets,_xlfn._xlws.FILTER(_xlpm.sheets,_xlpm.qtys&gt;0),_xlpm.mx,IFERROR(MAX(_xlpm.validNums),0),IF(_xlpm.mx=0,"",INDEX(_xlpm.validSheets,MATCH(_xlpm.mx,_xlpm.validNums,0))&amp;" (+"&amp;$R575&amp;")")))</f>
        <v/>
      </c>
      <c r="F575" s="11" t="str">
        <f t="shared" si="35"/>
        <v/>
      </c>
      <c r="G575" s="12" t="str">
        <f ca="1">IF($A575="","",IFERROR(SUMIF(INDIRECT("'"&amp;'Template Setup'!$C$4&amp;"'!C:C"),$A575,INDIRECT("'"&amp;'Template Setup'!$C$4&amp;"'!A:A")),0))</f>
        <v/>
      </c>
      <c r="H575" s="12" t="str">
        <f ca="1">IF($A575="","",IFERROR(SUMIF(INDIRECT("'"&amp;'Template Setup'!$C$5&amp;"'!C:C"),$A575,INDIRECT("'"&amp;'Template Setup'!$C$5&amp;"'!A:A")),0))</f>
        <v/>
      </c>
      <c r="I575" s="12" t="str">
        <f ca="1">IF($A575="","",IFERROR(SUMIF(INDIRECT("'"&amp;'Template Setup'!$C$6&amp;"'!C:C"),$A575,INDIRECT("'"&amp;'Template Setup'!$C$6&amp;"'!A:A")),0))</f>
        <v/>
      </c>
      <c r="J575" s="12" t="str">
        <f ca="1">IF($A575="","",IFERROR(SUMIF(INDIRECT("'"&amp;'Template Setup'!$C$7&amp;"'!C:C"),$A575,INDIRECT("'"&amp;'Template Setup'!$C$7&amp;"'!A:A")),0))</f>
        <v/>
      </c>
      <c r="K575" s="12" t="str">
        <f ca="1">IF($A575="","",IFERROR(SUMIF(INDIRECT("'"&amp;'Template Setup'!$C$8&amp;"'!C:C"),$A575,INDIRECT("'"&amp;'Template Setup'!$C$8&amp;"'!A:A")),0))</f>
        <v/>
      </c>
      <c r="L575" s="11" t="str">
        <f>IF($A575="","",IFERROR(VALUE(MID(TRIM('Template Setup'!$C$4),FIND("-",TRIM('Template Setup'!$C$4))+1,10)),0))</f>
        <v/>
      </c>
      <c r="M575" s="11" t="str">
        <f>IF($A575="","",IFERROR(VALUE(MID(TRIM('Template Setup'!$C$5),FIND("-",TRIM('Template Setup'!$C$5))+1,10)),0))</f>
        <v/>
      </c>
      <c r="N575" s="11" t="str">
        <f>IF($A575="","",IFERROR(VALUE(MID(TRIM('Template Setup'!$C$6),FIND("-",TRIM('Template Setup'!$C$6))+1,10)),0))</f>
        <v/>
      </c>
      <c r="O575" s="11" t="str">
        <f>IF($A575="","",IFERROR(VALUE(MID(TRIM('Template Setup'!$C$7),FIND("-",TRIM('Template Setup'!$C$7))+1,10)),0))</f>
        <v/>
      </c>
      <c r="P575" s="11" t="str">
        <f>IF($A575="","",IFERROR(VALUE(MID(TRIM('Template Setup'!$C$8),FIND("-",TRIM('Template Setup'!$C$8))+1,10)),0))</f>
        <v/>
      </c>
      <c r="Q575" s="9" t="str">
        <f>IF($A575="","",$A575&amp;"-"&amp;'Template Setup'!$C$16)</f>
        <v/>
      </c>
      <c r="R575" s="24" t="str">
        <f t="shared" si="33"/>
        <v/>
      </c>
      <c r="S575" s="24"/>
      <c r="T575" s="24" t="str">
        <f t="shared" si="34"/>
        <v/>
      </c>
      <c r="U575" s="6" t="str">
        <f t="shared" si="36"/>
        <v/>
      </c>
    </row>
    <row r="576" spans="1:21">
      <c r="A576" s="11"/>
      <c r="B576" s="11"/>
      <c r="C576" s="11"/>
      <c r="D576" s="11" t="str">
        <f>IF($A576="","",_xlfn.TEXTJOIN(", ",TRUE,IF($G576&gt;0,'Template Setup'!$C$4,""),IF($H576&gt;0,'Template Setup'!$C$5,""),IF($I576&gt;0,'Template Setup'!$C$6,""),IF($J576&gt;0,'Template Setup'!$C$7,""),IF($K576&gt;0,'Template Setup'!$C$8,"")))</f>
        <v/>
      </c>
      <c r="E576" s="6" t="str" cm="1">
        <f t="array" ref="E576">IF($A576="","",_xlfn.LET(_xlpm.sheets,CHOOSE({1,2,3,4,5},'Template Setup'!$C$4,'Template Setup'!$C$5,'Template Setup'!$C$6,'Template Setup'!$C$7,'Template Setup'!$C$8),_xlpm.nums,CHOOSE({1,2,3,4,5},$L576,$M576,$N576,$O576,$P576),_xlpm.qtys,CHOOSE({1,2,3,4,5},$G576,$H576,$I576,$J576,$K576),_xlpm.validNums,_xlfn._xlws.FILTER(_xlpm.nums,_xlpm.qtys&gt;0),_xlpm.validSheets,_xlfn._xlws.FILTER(_xlpm.sheets,_xlpm.qtys&gt;0),_xlpm.mx,IFERROR(MAX(_xlpm.validNums),0),IF(_xlpm.mx=0,"",INDEX(_xlpm.validSheets,MATCH(_xlpm.mx,_xlpm.validNums,0))&amp;" (+"&amp;$R576&amp;")")))</f>
        <v/>
      </c>
      <c r="F576" s="11" t="str">
        <f t="shared" si="35"/>
        <v/>
      </c>
      <c r="G576" s="12" t="str">
        <f ca="1">IF($A576="","",IFERROR(SUMIF(INDIRECT("'"&amp;'Template Setup'!$C$4&amp;"'!C:C"),$A576,INDIRECT("'"&amp;'Template Setup'!$C$4&amp;"'!A:A")),0))</f>
        <v/>
      </c>
      <c r="H576" s="12" t="str">
        <f ca="1">IF($A576="","",IFERROR(SUMIF(INDIRECT("'"&amp;'Template Setup'!$C$5&amp;"'!C:C"),$A576,INDIRECT("'"&amp;'Template Setup'!$C$5&amp;"'!A:A")),0))</f>
        <v/>
      </c>
      <c r="I576" s="12" t="str">
        <f ca="1">IF($A576="","",IFERROR(SUMIF(INDIRECT("'"&amp;'Template Setup'!$C$6&amp;"'!C:C"),$A576,INDIRECT("'"&amp;'Template Setup'!$C$6&amp;"'!A:A")),0))</f>
        <v/>
      </c>
      <c r="J576" s="12" t="str">
        <f ca="1">IF($A576="","",IFERROR(SUMIF(INDIRECT("'"&amp;'Template Setup'!$C$7&amp;"'!C:C"),$A576,INDIRECT("'"&amp;'Template Setup'!$C$7&amp;"'!A:A")),0))</f>
        <v/>
      </c>
      <c r="K576" s="12" t="str">
        <f ca="1">IF($A576="","",IFERROR(SUMIF(INDIRECT("'"&amp;'Template Setup'!$C$8&amp;"'!C:C"),$A576,INDIRECT("'"&amp;'Template Setup'!$C$8&amp;"'!A:A")),0))</f>
        <v/>
      </c>
      <c r="L576" s="11" t="str">
        <f>IF($A576="","",IFERROR(VALUE(MID(TRIM('Template Setup'!$C$4),FIND("-",TRIM('Template Setup'!$C$4))+1,10)),0))</f>
        <v/>
      </c>
      <c r="M576" s="11" t="str">
        <f>IF($A576="","",IFERROR(VALUE(MID(TRIM('Template Setup'!$C$5),FIND("-",TRIM('Template Setup'!$C$5))+1,10)),0))</f>
        <v/>
      </c>
      <c r="N576" s="11" t="str">
        <f>IF($A576="","",IFERROR(VALUE(MID(TRIM('Template Setup'!$C$6),FIND("-",TRIM('Template Setup'!$C$6))+1,10)),0))</f>
        <v/>
      </c>
      <c r="O576" s="11" t="str">
        <f>IF($A576="","",IFERROR(VALUE(MID(TRIM('Template Setup'!$C$7),FIND("-",TRIM('Template Setup'!$C$7))+1,10)),0))</f>
        <v/>
      </c>
      <c r="P576" s="11" t="str">
        <f>IF($A576="","",IFERROR(VALUE(MID(TRIM('Template Setup'!$C$8),FIND("-",TRIM('Template Setup'!$C$8))+1,10)),0))</f>
        <v/>
      </c>
      <c r="Q576" s="9" t="str">
        <f>IF($A576="","",$A576&amp;"-"&amp;'Template Setup'!$C$16)</f>
        <v/>
      </c>
      <c r="R576" s="24" t="str">
        <f t="shared" si="33"/>
        <v/>
      </c>
      <c r="S576" s="24"/>
      <c r="T576" s="24" t="str">
        <f t="shared" si="34"/>
        <v/>
      </c>
      <c r="U576" s="6" t="str">
        <f t="shared" si="36"/>
        <v/>
      </c>
    </row>
    <row r="577" spans="1:21">
      <c r="A577" s="11"/>
      <c r="B577" s="11"/>
      <c r="C577" s="11"/>
      <c r="D577" s="11" t="str">
        <f>IF($A577="","",_xlfn.TEXTJOIN(", ",TRUE,IF($G577&gt;0,'Template Setup'!$C$4,""),IF($H577&gt;0,'Template Setup'!$C$5,""),IF($I577&gt;0,'Template Setup'!$C$6,""),IF($J577&gt;0,'Template Setup'!$C$7,""),IF($K577&gt;0,'Template Setup'!$C$8,"")))</f>
        <v/>
      </c>
      <c r="E577" s="6" t="str" cm="1">
        <f t="array" ref="E577">IF($A577="","",_xlfn.LET(_xlpm.sheets,CHOOSE({1,2,3,4,5},'Template Setup'!$C$4,'Template Setup'!$C$5,'Template Setup'!$C$6,'Template Setup'!$C$7,'Template Setup'!$C$8),_xlpm.nums,CHOOSE({1,2,3,4,5},$L577,$M577,$N577,$O577,$P577),_xlpm.qtys,CHOOSE({1,2,3,4,5},$G577,$H577,$I577,$J577,$K577),_xlpm.validNums,_xlfn._xlws.FILTER(_xlpm.nums,_xlpm.qtys&gt;0),_xlpm.validSheets,_xlfn._xlws.FILTER(_xlpm.sheets,_xlpm.qtys&gt;0),_xlpm.mx,IFERROR(MAX(_xlpm.validNums),0),IF(_xlpm.mx=0,"",INDEX(_xlpm.validSheets,MATCH(_xlpm.mx,_xlpm.validNums,0))&amp;" (+"&amp;$R577&amp;")")))</f>
        <v/>
      </c>
      <c r="F577" s="11" t="str">
        <f t="shared" si="35"/>
        <v/>
      </c>
      <c r="G577" s="12" t="str">
        <f ca="1">IF($A577="","",IFERROR(SUMIF(INDIRECT("'"&amp;'Template Setup'!$C$4&amp;"'!C:C"),$A577,INDIRECT("'"&amp;'Template Setup'!$C$4&amp;"'!A:A")),0))</f>
        <v/>
      </c>
      <c r="H577" s="12" t="str">
        <f ca="1">IF($A577="","",IFERROR(SUMIF(INDIRECT("'"&amp;'Template Setup'!$C$5&amp;"'!C:C"),$A577,INDIRECT("'"&amp;'Template Setup'!$C$5&amp;"'!A:A")),0))</f>
        <v/>
      </c>
      <c r="I577" s="12" t="str">
        <f ca="1">IF($A577="","",IFERROR(SUMIF(INDIRECT("'"&amp;'Template Setup'!$C$6&amp;"'!C:C"),$A577,INDIRECT("'"&amp;'Template Setup'!$C$6&amp;"'!A:A")),0))</f>
        <v/>
      </c>
      <c r="J577" s="12" t="str">
        <f ca="1">IF($A577="","",IFERROR(SUMIF(INDIRECT("'"&amp;'Template Setup'!$C$7&amp;"'!C:C"),$A577,INDIRECT("'"&amp;'Template Setup'!$C$7&amp;"'!A:A")),0))</f>
        <v/>
      </c>
      <c r="K577" s="12" t="str">
        <f ca="1">IF($A577="","",IFERROR(SUMIF(INDIRECT("'"&amp;'Template Setup'!$C$8&amp;"'!C:C"),$A577,INDIRECT("'"&amp;'Template Setup'!$C$8&amp;"'!A:A")),0))</f>
        <v/>
      </c>
      <c r="L577" s="11" t="str">
        <f>IF($A577="","",IFERROR(VALUE(MID(TRIM('Template Setup'!$C$4),FIND("-",TRIM('Template Setup'!$C$4))+1,10)),0))</f>
        <v/>
      </c>
      <c r="M577" s="11" t="str">
        <f>IF($A577="","",IFERROR(VALUE(MID(TRIM('Template Setup'!$C$5),FIND("-",TRIM('Template Setup'!$C$5))+1,10)),0))</f>
        <v/>
      </c>
      <c r="N577" s="11" t="str">
        <f>IF($A577="","",IFERROR(VALUE(MID(TRIM('Template Setup'!$C$6),FIND("-",TRIM('Template Setup'!$C$6))+1,10)),0))</f>
        <v/>
      </c>
      <c r="O577" s="11" t="str">
        <f>IF($A577="","",IFERROR(VALUE(MID(TRIM('Template Setup'!$C$7),FIND("-",TRIM('Template Setup'!$C$7))+1,10)),0))</f>
        <v/>
      </c>
      <c r="P577" s="11" t="str">
        <f>IF($A577="","",IFERROR(VALUE(MID(TRIM('Template Setup'!$C$8),FIND("-",TRIM('Template Setup'!$C$8))+1,10)),0))</f>
        <v/>
      </c>
      <c r="Q577" s="9" t="str">
        <f>IF($A577="","",$A577&amp;"-"&amp;'Template Setup'!$C$16)</f>
        <v/>
      </c>
      <c r="R577" s="24" t="str">
        <f t="shared" si="33"/>
        <v/>
      </c>
      <c r="S577" s="24"/>
      <c r="T577" s="24" t="str">
        <f t="shared" si="34"/>
        <v/>
      </c>
      <c r="U577" s="6" t="str">
        <f t="shared" si="36"/>
        <v/>
      </c>
    </row>
    <row r="578" spans="1:21">
      <c r="A578" s="11"/>
      <c r="B578" s="11"/>
      <c r="C578" s="11"/>
      <c r="D578" s="11" t="str">
        <f>IF($A578="","",_xlfn.TEXTJOIN(", ",TRUE,IF($G578&gt;0,'Template Setup'!$C$4,""),IF($H578&gt;0,'Template Setup'!$C$5,""),IF($I578&gt;0,'Template Setup'!$C$6,""),IF($J578&gt;0,'Template Setup'!$C$7,""),IF($K578&gt;0,'Template Setup'!$C$8,"")))</f>
        <v/>
      </c>
      <c r="E578" s="6" t="str" cm="1">
        <f t="array" ref="E578">IF($A578="","",_xlfn.LET(_xlpm.sheets,CHOOSE({1,2,3,4,5},'Template Setup'!$C$4,'Template Setup'!$C$5,'Template Setup'!$C$6,'Template Setup'!$C$7,'Template Setup'!$C$8),_xlpm.nums,CHOOSE({1,2,3,4,5},$L578,$M578,$N578,$O578,$P578),_xlpm.qtys,CHOOSE({1,2,3,4,5},$G578,$H578,$I578,$J578,$K578),_xlpm.validNums,_xlfn._xlws.FILTER(_xlpm.nums,_xlpm.qtys&gt;0),_xlpm.validSheets,_xlfn._xlws.FILTER(_xlpm.sheets,_xlpm.qtys&gt;0),_xlpm.mx,IFERROR(MAX(_xlpm.validNums),0),IF(_xlpm.mx=0,"",INDEX(_xlpm.validSheets,MATCH(_xlpm.mx,_xlpm.validNums,0))&amp;" (+"&amp;$R578&amp;")")))</f>
        <v/>
      </c>
      <c r="F578" s="11" t="str">
        <f t="shared" si="35"/>
        <v/>
      </c>
      <c r="G578" s="12" t="str">
        <f ca="1">IF($A578="","",IFERROR(SUMIF(INDIRECT("'"&amp;'Template Setup'!$C$4&amp;"'!C:C"),$A578,INDIRECT("'"&amp;'Template Setup'!$C$4&amp;"'!A:A")),0))</f>
        <v/>
      </c>
      <c r="H578" s="12" t="str">
        <f ca="1">IF($A578="","",IFERROR(SUMIF(INDIRECT("'"&amp;'Template Setup'!$C$5&amp;"'!C:C"),$A578,INDIRECT("'"&amp;'Template Setup'!$C$5&amp;"'!A:A")),0))</f>
        <v/>
      </c>
      <c r="I578" s="12" t="str">
        <f ca="1">IF($A578="","",IFERROR(SUMIF(INDIRECT("'"&amp;'Template Setup'!$C$6&amp;"'!C:C"),$A578,INDIRECT("'"&amp;'Template Setup'!$C$6&amp;"'!A:A")),0))</f>
        <v/>
      </c>
      <c r="J578" s="12" t="str">
        <f ca="1">IF($A578="","",IFERROR(SUMIF(INDIRECT("'"&amp;'Template Setup'!$C$7&amp;"'!C:C"),$A578,INDIRECT("'"&amp;'Template Setup'!$C$7&amp;"'!A:A")),0))</f>
        <v/>
      </c>
      <c r="K578" s="12" t="str">
        <f ca="1">IF($A578="","",IFERROR(SUMIF(INDIRECT("'"&amp;'Template Setup'!$C$8&amp;"'!C:C"),$A578,INDIRECT("'"&amp;'Template Setup'!$C$8&amp;"'!A:A")),0))</f>
        <v/>
      </c>
      <c r="L578" s="11" t="str">
        <f>IF($A578="","",IFERROR(VALUE(MID(TRIM('Template Setup'!$C$4),FIND("-",TRIM('Template Setup'!$C$4))+1,10)),0))</f>
        <v/>
      </c>
      <c r="M578" s="11" t="str">
        <f>IF($A578="","",IFERROR(VALUE(MID(TRIM('Template Setup'!$C$5),FIND("-",TRIM('Template Setup'!$C$5))+1,10)),0))</f>
        <v/>
      </c>
      <c r="N578" s="11" t="str">
        <f>IF($A578="","",IFERROR(VALUE(MID(TRIM('Template Setup'!$C$6),FIND("-",TRIM('Template Setup'!$C$6))+1,10)),0))</f>
        <v/>
      </c>
      <c r="O578" s="11" t="str">
        <f>IF($A578="","",IFERROR(VALUE(MID(TRIM('Template Setup'!$C$7),FIND("-",TRIM('Template Setup'!$C$7))+1,10)),0))</f>
        <v/>
      </c>
      <c r="P578" s="11" t="str">
        <f>IF($A578="","",IFERROR(VALUE(MID(TRIM('Template Setup'!$C$8),FIND("-",TRIM('Template Setup'!$C$8))+1,10)),0))</f>
        <v/>
      </c>
      <c r="Q578" s="9" t="str">
        <f>IF($A578="","",$A578&amp;"-"&amp;'Template Setup'!$C$16)</f>
        <v/>
      </c>
      <c r="R578" s="24" t="str">
        <f t="shared" ref="R578:R641" si="37">IF($A578="","",SUM($G578:$K578))</f>
        <v/>
      </c>
      <c r="S578" s="24"/>
      <c r="T578" s="24" t="str">
        <f t="shared" ref="T578:T641" si="38">IF($A578="","",IF(ISBLANK(S578),"",N(R578)+S578))</f>
        <v/>
      </c>
      <c r="U578" s="6" t="str">
        <f t="shared" si="36"/>
        <v/>
      </c>
    </row>
    <row r="579" spans="1:21">
      <c r="A579" s="11"/>
      <c r="B579" s="11"/>
      <c r="C579" s="11"/>
      <c r="D579" s="11" t="str">
        <f>IF($A579="","",_xlfn.TEXTJOIN(", ",TRUE,IF($G579&gt;0,'Template Setup'!$C$4,""),IF($H579&gt;0,'Template Setup'!$C$5,""),IF($I579&gt;0,'Template Setup'!$C$6,""),IF($J579&gt;0,'Template Setup'!$C$7,""),IF($K579&gt;0,'Template Setup'!$C$8,"")))</f>
        <v/>
      </c>
      <c r="E579" s="6" t="str" cm="1">
        <f t="array" ref="E579">IF($A579="","",_xlfn.LET(_xlpm.sheets,CHOOSE({1,2,3,4,5},'Template Setup'!$C$4,'Template Setup'!$C$5,'Template Setup'!$C$6,'Template Setup'!$C$7,'Template Setup'!$C$8),_xlpm.nums,CHOOSE({1,2,3,4,5},$L579,$M579,$N579,$O579,$P579),_xlpm.qtys,CHOOSE({1,2,3,4,5},$G579,$H579,$I579,$J579,$K579),_xlpm.validNums,_xlfn._xlws.FILTER(_xlpm.nums,_xlpm.qtys&gt;0),_xlpm.validSheets,_xlfn._xlws.FILTER(_xlpm.sheets,_xlpm.qtys&gt;0),_xlpm.mx,IFERROR(MAX(_xlpm.validNums),0),IF(_xlpm.mx=0,"",INDEX(_xlpm.validSheets,MATCH(_xlpm.mx,_xlpm.validNums,0))&amp;" (+"&amp;$R579&amp;")")))</f>
        <v/>
      </c>
      <c r="F579" s="11" t="str">
        <f t="shared" ref="F579:F642" si="39">IF($E579="","","PACP-"&amp;LEFT($E579,FIND("-",$E579)-1)&amp;"-000"&amp;MID($E579,FIND("-",$E579)+1,3))</f>
        <v/>
      </c>
      <c r="G579" s="12" t="str">
        <f ca="1">IF($A579="","",IFERROR(SUMIF(INDIRECT("'"&amp;'Template Setup'!$C$4&amp;"'!C:C"),$A579,INDIRECT("'"&amp;'Template Setup'!$C$4&amp;"'!A:A")),0))</f>
        <v/>
      </c>
      <c r="H579" s="12" t="str">
        <f ca="1">IF($A579="","",IFERROR(SUMIF(INDIRECT("'"&amp;'Template Setup'!$C$5&amp;"'!C:C"),$A579,INDIRECT("'"&amp;'Template Setup'!$C$5&amp;"'!A:A")),0))</f>
        <v/>
      </c>
      <c r="I579" s="12" t="str">
        <f ca="1">IF($A579="","",IFERROR(SUMIF(INDIRECT("'"&amp;'Template Setup'!$C$6&amp;"'!C:C"),$A579,INDIRECT("'"&amp;'Template Setup'!$C$6&amp;"'!A:A")),0))</f>
        <v/>
      </c>
      <c r="J579" s="12" t="str">
        <f ca="1">IF($A579="","",IFERROR(SUMIF(INDIRECT("'"&amp;'Template Setup'!$C$7&amp;"'!C:C"),$A579,INDIRECT("'"&amp;'Template Setup'!$C$7&amp;"'!A:A")),0))</f>
        <v/>
      </c>
      <c r="K579" s="12" t="str">
        <f ca="1">IF($A579="","",IFERROR(SUMIF(INDIRECT("'"&amp;'Template Setup'!$C$8&amp;"'!C:C"),$A579,INDIRECT("'"&amp;'Template Setup'!$C$8&amp;"'!A:A")),0))</f>
        <v/>
      </c>
      <c r="L579" s="11" t="str">
        <f>IF($A579="","",IFERROR(VALUE(MID(TRIM('Template Setup'!$C$4),FIND("-",TRIM('Template Setup'!$C$4))+1,10)),0))</f>
        <v/>
      </c>
      <c r="M579" s="11" t="str">
        <f>IF($A579="","",IFERROR(VALUE(MID(TRIM('Template Setup'!$C$5),FIND("-",TRIM('Template Setup'!$C$5))+1,10)),0))</f>
        <v/>
      </c>
      <c r="N579" s="11" t="str">
        <f>IF($A579="","",IFERROR(VALUE(MID(TRIM('Template Setup'!$C$6),FIND("-",TRIM('Template Setup'!$C$6))+1,10)),0))</f>
        <v/>
      </c>
      <c r="O579" s="11" t="str">
        <f>IF($A579="","",IFERROR(VALUE(MID(TRIM('Template Setup'!$C$7),FIND("-",TRIM('Template Setup'!$C$7))+1,10)),0))</f>
        <v/>
      </c>
      <c r="P579" s="11" t="str">
        <f>IF($A579="","",IFERROR(VALUE(MID(TRIM('Template Setup'!$C$8),FIND("-",TRIM('Template Setup'!$C$8))+1,10)),0))</f>
        <v/>
      </c>
      <c r="Q579" s="9" t="str">
        <f>IF($A579="","",$A579&amp;"-"&amp;'Template Setup'!$C$16)</f>
        <v/>
      </c>
      <c r="R579" s="24" t="str">
        <f t="shared" si="37"/>
        <v/>
      </c>
      <c r="S579" s="24"/>
      <c r="T579" s="24" t="str">
        <f t="shared" si="38"/>
        <v/>
      </c>
      <c r="U579" s="6" t="str">
        <f t="shared" si="36"/>
        <v/>
      </c>
    </row>
    <row r="580" spans="1:21">
      <c r="A580" s="11"/>
      <c r="B580" s="11"/>
      <c r="C580" s="11"/>
      <c r="D580" s="11" t="str">
        <f>IF($A580="","",_xlfn.TEXTJOIN(", ",TRUE,IF($G580&gt;0,'Template Setup'!$C$4,""),IF($H580&gt;0,'Template Setup'!$C$5,""),IF($I580&gt;0,'Template Setup'!$C$6,""),IF($J580&gt;0,'Template Setup'!$C$7,""),IF($K580&gt;0,'Template Setup'!$C$8,"")))</f>
        <v/>
      </c>
      <c r="E580" s="6" t="str" cm="1">
        <f t="array" ref="E580">IF($A580="","",_xlfn.LET(_xlpm.sheets,CHOOSE({1,2,3,4,5},'Template Setup'!$C$4,'Template Setup'!$C$5,'Template Setup'!$C$6,'Template Setup'!$C$7,'Template Setup'!$C$8),_xlpm.nums,CHOOSE({1,2,3,4,5},$L580,$M580,$N580,$O580,$P580),_xlpm.qtys,CHOOSE({1,2,3,4,5},$G580,$H580,$I580,$J580,$K580),_xlpm.validNums,_xlfn._xlws.FILTER(_xlpm.nums,_xlpm.qtys&gt;0),_xlpm.validSheets,_xlfn._xlws.FILTER(_xlpm.sheets,_xlpm.qtys&gt;0),_xlpm.mx,IFERROR(MAX(_xlpm.validNums),0),IF(_xlpm.mx=0,"",INDEX(_xlpm.validSheets,MATCH(_xlpm.mx,_xlpm.validNums,0))&amp;" (+"&amp;$R580&amp;")")))</f>
        <v/>
      </c>
      <c r="F580" s="11" t="str">
        <f t="shared" si="39"/>
        <v/>
      </c>
      <c r="G580" s="12" t="str">
        <f ca="1">IF($A580="","",IFERROR(SUMIF(INDIRECT("'"&amp;'Template Setup'!$C$4&amp;"'!C:C"),$A580,INDIRECT("'"&amp;'Template Setup'!$C$4&amp;"'!A:A")),0))</f>
        <v/>
      </c>
      <c r="H580" s="12" t="str">
        <f ca="1">IF($A580="","",IFERROR(SUMIF(INDIRECT("'"&amp;'Template Setup'!$C$5&amp;"'!C:C"),$A580,INDIRECT("'"&amp;'Template Setup'!$C$5&amp;"'!A:A")),0))</f>
        <v/>
      </c>
      <c r="I580" s="12" t="str">
        <f ca="1">IF($A580="","",IFERROR(SUMIF(INDIRECT("'"&amp;'Template Setup'!$C$6&amp;"'!C:C"),$A580,INDIRECT("'"&amp;'Template Setup'!$C$6&amp;"'!A:A")),0))</f>
        <v/>
      </c>
      <c r="J580" s="12" t="str">
        <f ca="1">IF($A580="","",IFERROR(SUMIF(INDIRECT("'"&amp;'Template Setup'!$C$7&amp;"'!C:C"),$A580,INDIRECT("'"&amp;'Template Setup'!$C$7&amp;"'!A:A")),0))</f>
        <v/>
      </c>
      <c r="K580" s="12" t="str">
        <f ca="1">IF($A580="","",IFERROR(SUMIF(INDIRECT("'"&amp;'Template Setup'!$C$8&amp;"'!C:C"),$A580,INDIRECT("'"&amp;'Template Setup'!$C$8&amp;"'!A:A")),0))</f>
        <v/>
      </c>
      <c r="L580" s="11" t="str">
        <f>IF($A580="","",IFERROR(VALUE(MID(TRIM('Template Setup'!$C$4),FIND("-",TRIM('Template Setup'!$C$4))+1,10)),0))</f>
        <v/>
      </c>
      <c r="M580" s="11" t="str">
        <f>IF($A580="","",IFERROR(VALUE(MID(TRIM('Template Setup'!$C$5),FIND("-",TRIM('Template Setup'!$C$5))+1,10)),0))</f>
        <v/>
      </c>
      <c r="N580" s="11" t="str">
        <f>IF($A580="","",IFERROR(VALUE(MID(TRIM('Template Setup'!$C$6),FIND("-",TRIM('Template Setup'!$C$6))+1,10)),0))</f>
        <v/>
      </c>
      <c r="O580" s="11" t="str">
        <f>IF($A580="","",IFERROR(VALUE(MID(TRIM('Template Setup'!$C$7),FIND("-",TRIM('Template Setup'!$C$7))+1,10)),0))</f>
        <v/>
      </c>
      <c r="P580" s="11" t="str">
        <f>IF($A580="","",IFERROR(VALUE(MID(TRIM('Template Setup'!$C$8),FIND("-",TRIM('Template Setup'!$C$8))+1,10)),0))</f>
        <v/>
      </c>
      <c r="Q580" s="9" t="str">
        <f>IF($A580="","",$A580&amp;"-"&amp;'Template Setup'!$C$16)</f>
        <v/>
      </c>
      <c r="R580" s="24" t="str">
        <f t="shared" si="37"/>
        <v/>
      </c>
      <c r="S580" s="24"/>
      <c r="T580" s="24" t="str">
        <f t="shared" si="38"/>
        <v/>
      </c>
      <c r="U580" s="6" t="str">
        <f t="shared" si="36"/>
        <v/>
      </c>
    </row>
    <row r="581" spans="1:21">
      <c r="A581" s="11"/>
      <c r="B581" s="11"/>
      <c r="C581" s="11"/>
      <c r="D581" s="11" t="str">
        <f>IF($A581="","",_xlfn.TEXTJOIN(", ",TRUE,IF($G581&gt;0,'Template Setup'!$C$4,""),IF($H581&gt;0,'Template Setup'!$C$5,""),IF($I581&gt;0,'Template Setup'!$C$6,""),IF($J581&gt;0,'Template Setup'!$C$7,""),IF($K581&gt;0,'Template Setup'!$C$8,"")))</f>
        <v/>
      </c>
      <c r="E581" s="6" t="str" cm="1">
        <f t="array" ref="E581">IF($A581="","",_xlfn.LET(_xlpm.sheets,CHOOSE({1,2,3,4,5},'Template Setup'!$C$4,'Template Setup'!$C$5,'Template Setup'!$C$6,'Template Setup'!$C$7,'Template Setup'!$C$8),_xlpm.nums,CHOOSE({1,2,3,4,5},$L581,$M581,$N581,$O581,$P581),_xlpm.qtys,CHOOSE({1,2,3,4,5},$G581,$H581,$I581,$J581,$K581),_xlpm.validNums,_xlfn._xlws.FILTER(_xlpm.nums,_xlpm.qtys&gt;0),_xlpm.validSheets,_xlfn._xlws.FILTER(_xlpm.sheets,_xlpm.qtys&gt;0),_xlpm.mx,IFERROR(MAX(_xlpm.validNums),0),IF(_xlpm.mx=0,"",INDEX(_xlpm.validSheets,MATCH(_xlpm.mx,_xlpm.validNums,0))&amp;" (+"&amp;$R581&amp;")")))</f>
        <v/>
      </c>
      <c r="F581" s="11" t="str">
        <f t="shared" si="39"/>
        <v/>
      </c>
      <c r="G581" s="12" t="str">
        <f ca="1">IF($A581="","",IFERROR(SUMIF(INDIRECT("'"&amp;'Template Setup'!$C$4&amp;"'!C:C"),$A581,INDIRECT("'"&amp;'Template Setup'!$C$4&amp;"'!A:A")),0))</f>
        <v/>
      </c>
      <c r="H581" s="12" t="str">
        <f ca="1">IF($A581="","",IFERROR(SUMIF(INDIRECT("'"&amp;'Template Setup'!$C$5&amp;"'!C:C"),$A581,INDIRECT("'"&amp;'Template Setup'!$C$5&amp;"'!A:A")),0))</f>
        <v/>
      </c>
      <c r="I581" s="12" t="str">
        <f ca="1">IF($A581="","",IFERROR(SUMIF(INDIRECT("'"&amp;'Template Setup'!$C$6&amp;"'!C:C"),$A581,INDIRECT("'"&amp;'Template Setup'!$C$6&amp;"'!A:A")),0))</f>
        <v/>
      </c>
      <c r="J581" s="12" t="str">
        <f ca="1">IF($A581="","",IFERROR(SUMIF(INDIRECT("'"&amp;'Template Setup'!$C$7&amp;"'!C:C"),$A581,INDIRECT("'"&amp;'Template Setup'!$C$7&amp;"'!A:A")),0))</f>
        <v/>
      </c>
      <c r="K581" s="12" t="str">
        <f ca="1">IF($A581="","",IFERROR(SUMIF(INDIRECT("'"&amp;'Template Setup'!$C$8&amp;"'!C:C"),$A581,INDIRECT("'"&amp;'Template Setup'!$C$8&amp;"'!A:A")),0))</f>
        <v/>
      </c>
      <c r="L581" s="11" t="str">
        <f>IF($A581="","",IFERROR(VALUE(MID(TRIM('Template Setup'!$C$4),FIND("-",TRIM('Template Setup'!$C$4))+1,10)),0))</f>
        <v/>
      </c>
      <c r="M581" s="11" t="str">
        <f>IF($A581="","",IFERROR(VALUE(MID(TRIM('Template Setup'!$C$5),FIND("-",TRIM('Template Setup'!$C$5))+1,10)),0))</f>
        <v/>
      </c>
      <c r="N581" s="11" t="str">
        <f>IF($A581="","",IFERROR(VALUE(MID(TRIM('Template Setup'!$C$6),FIND("-",TRIM('Template Setup'!$C$6))+1,10)),0))</f>
        <v/>
      </c>
      <c r="O581" s="11" t="str">
        <f>IF($A581="","",IFERROR(VALUE(MID(TRIM('Template Setup'!$C$7),FIND("-",TRIM('Template Setup'!$C$7))+1,10)),0))</f>
        <v/>
      </c>
      <c r="P581" s="11" t="str">
        <f>IF($A581="","",IFERROR(VALUE(MID(TRIM('Template Setup'!$C$8),FIND("-",TRIM('Template Setup'!$C$8))+1,10)),0))</f>
        <v/>
      </c>
      <c r="Q581" s="9" t="str">
        <f>IF($A581="","",$A581&amp;"-"&amp;'Template Setup'!$C$16)</f>
        <v/>
      </c>
      <c r="R581" s="24" t="str">
        <f t="shared" si="37"/>
        <v/>
      </c>
      <c r="S581" s="24"/>
      <c r="T581" s="24" t="str">
        <f t="shared" si="38"/>
        <v/>
      </c>
      <c r="U581" s="6" t="str">
        <f t="shared" si="36"/>
        <v/>
      </c>
    </row>
    <row r="582" spans="1:21">
      <c r="A582" s="11"/>
      <c r="B582" s="11"/>
      <c r="C582" s="11"/>
      <c r="D582" s="11" t="str">
        <f>IF($A582="","",_xlfn.TEXTJOIN(", ",TRUE,IF($G582&gt;0,'Template Setup'!$C$4,""),IF($H582&gt;0,'Template Setup'!$C$5,""),IF($I582&gt;0,'Template Setup'!$C$6,""),IF($J582&gt;0,'Template Setup'!$C$7,""),IF($K582&gt;0,'Template Setup'!$C$8,"")))</f>
        <v/>
      </c>
      <c r="E582" s="6" t="str" cm="1">
        <f t="array" ref="E582">IF($A582="","",_xlfn.LET(_xlpm.sheets,CHOOSE({1,2,3,4,5},'Template Setup'!$C$4,'Template Setup'!$C$5,'Template Setup'!$C$6,'Template Setup'!$C$7,'Template Setup'!$C$8),_xlpm.nums,CHOOSE({1,2,3,4,5},$L582,$M582,$N582,$O582,$P582),_xlpm.qtys,CHOOSE({1,2,3,4,5},$G582,$H582,$I582,$J582,$K582),_xlpm.validNums,_xlfn._xlws.FILTER(_xlpm.nums,_xlpm.qtys&gt;0),_xlpm.validSheets,_xlfn._xlws.FILTER(_xlpm.sheets,_xlpm.qtys&gt;0),_xlpm.mx,IFERROR(MAX(_xlpm.validNums),0),IF(_xlpm.mx=0,"",INDEX(_xlpm.validSheets,MATCH(_xlpm.mx,_xlpm.validNums,0))&amp;" (+"&amp;$R582&amp;")")))</f>
        <v/>
      </c>
      <c r="F582" s="11" t="str">
        <f t="shared" si="39"/>
        <v/>
      </c>
      <c r="G582" s="12" t="str">
        <f ca="1">IF($A582="","",IFERROR(SUMIF(INDIRECT("'"&amp;'Template Setup'!$C$4&amp;"'!C:C"),$A582,INDIRECT("'"&amp;'Template Setup'!$C$4&amp;"'!A:A")),0))</f>
        <v/>
      </c>
      <c r="H582" s="12" t="str">
        <f ca="1">IF($A582="","",IFERROR(SUMIF(INDIRECT("'"&amp;'Template Setup'!$C$5&amp;"'!C:C"),$A582,INDIRECT("'"&amp;'Template Setup'!$C$5&amp;"'!A:A")),0))</f>
        <v/>
      </c>
      <c r="I582" s="12" t="str">
        <f ca="1">IF($A582="","",IFERROR(SUMIF(INDIRECT("'"&amp;'Template Setup'!$C$6&amp;"'!C:C"),$A582,INDIRECT("'"&amp;'Template Setup'!$C$6&amp;"'!A:A")),0))</f>
        <v/>
      </c>
      <c r="J582" s="12" t="str">
        <f ca="1">IF($A582="","",IFERROR(SUMIF(INDIRECT("'"&amp;'Template Setup'!$C$7&amp;"'!C:C"),$A582,INDIRECT("'"&amp;'Template Setup'!$C$7&amp;"'!A:A")),0))</f>
        <v/>
      </c>
      <c r="K582" s="12" t="str">
        <f ca="1">IF($A582="","",IFERROR(SUMIF(INDIRECT("'"&amp;'Template Setup'!$C$8&amp;"'!C:C"),$A582,INDIRECT("'"&amp;'Template Setup'!$C$8&amp;"'!A:A")),0))</f>
        <v/>
      </c>
      <c r="L582" s="11" t="str">
        <f>IF($A582="","",IFERROR(VALUE(MID(TRIM('Template Setup'!$C$4),FIND("-",TRIM('Template Setup'!$C$4))+1,10)),0))</f>
        <v/>
      </c>
      <c r="M582" s="11" t="str">
        <f>IF($A582="","",IFERROR(VALUE(MID(TRIM('Template Setup'!$C$5),FIND("-",TRIM('Template Setup'!$C$5))+1,10)),0))</f>
        <v/>
      </c>
      <c r="N582" s="11" t="str">
        <f>IF($A582="","",IFERROR(VALUE(MID(TRIM('Template Setup'!$C$6),FIND("-",TRIM('Template Setup'!$C$6))+1,10)),0))</f>
        <v/>
      </c>
      <c r="O582" s="11" t="str">
        <f>IF($A582="","",IFERROR(VALUE(MID(TRIM('Template Setup'!$C$7),FIND("-",TRIM('Template Setup'!$C$7))+1,10)),0))</f>
        <v/>
      </c>
      <c r="P582" s="11" t="str">
        <f>IF($A582="","",IFERROR(VALUE(MID(TRIM('Template Setup'!$C$8),FIND("-",TRIM('Template Setup'!$C$8))+1,10)),0))</f>
        <v/>
      </c>
      <c r="Q582" s="9" t="str">
        <f>IF($A582="","",$A582&amp;"-"&amp;'Template Setup'!$C$16)</f>
        <v/>
      </c>
      <c r="R582" s="24" t="str">
        <f t="shared" si="37"/>
        <v/>
      </c>
      <c r="S582" s="24"/>
      <c r="T582" s="24" t="str">
        <f t="shared" si="38"/>
        <v/>
      </c>
      <c r="U582" s="6" t="str">
        <f t="shared" si="36"/>
        <v/>
      </c>
    </row>
    <row r="583" spans="1:21">
      <c r="A583" s="11"/>
      <c r="B583" s="11"/>
      <c r="C583" s="11"/>
      <c r="D583" s="11" t="str">
        <f>IF($A583="","",_xlfn.TEXTJOIN(", ",TRUE,IF($G583&gt;0,'Template Setup'!$C$4,""),IF($H583&gt;0,'Template Setup'!$C$5,""),IF($I583&gt;0,'Template Setup'!$C$6,""),IF($J583&gt;0,'Template Setup'!$C$7,""),IF($K583&gt;0,'Template Setup'!$C$8,"")))</f>
        <v/>
      </c>
      <c r="E583" s="6" t="str" cm="1">
        <f t="array" ref="E583">IF($A583="","",_xlfn.LET(_xlpm.sheets,CHOOSE({1,2,3,4,5},'Template Setup'!$C$4,'Template Setup'!$C$5,'Template Setup'!$C$6,'Template Setup'!$C$7,'Template Setup'!$C$8),_xlpm.nums,CHOOSE({1,2,3,4,5},$L583,$M583,$N583,$O583,$P583),_xlpm.qtys,CHOOSE({1,2,3,4,5},$G583,$H583,$I583,$J583,$K583),_xlpm.validNums,_xlfn._xlws.FILTER(_xlpm.nums,_xlpm.qtys&gt;0),_xlpm.validSheets,_xlfn._xlws.FILTER(_xlpm.sheets,_xlpm.qtys&gt;0),_xlpm.mx,IFERROR(MAX(_xlpm.validNums),0),IF(_xlpm.mx=0,"",INDEX(_xlpm.validSheets,MATCH(_xlpm.mx,_xlpm.validNums,0))&amp;" (+"&amp;$R583&amp;")")))</f>
        <v/>
      </c>
      <c r="F583" s="11" t="str">
        <f t="shared" si="39"/>
        <v/>
      </c>
      <c r="G583" s="12" t="str">
        <f ca="1">IF($A583="","",IFERROR(SUMIF(INDIRECT("'"&amp;'Template Setup'!$C$4&amp;"'!C:C"),$A583,INDIRECT("'"&amp;'Template Setup'!$C$4&amp;"'!A:A")),0))</f>
        <v/>
      </c>
      <c r="H583" s="12" t="str">
        <f ca="1">IF($A583="","",IFERROR(SUMIF(INDIRECT("'"&amp;'Template Setup'!$C$5&amp;"'!C:C"),$A583,INDIRECT("'"&amp;'Template Setup'!$C$5&amp;"'!A:A")),0))</f>
        <v/>
      </c>
      <c r="I583" s="12" t="str">
        <f ca="1">IF($A583="","",IFERROR(SUMIF(INDIRECT("'"&amp;'Template Setup'!$C$6&amp;"'!C:C"),$A583,INDIRECT("'"&amp;'Template Setup'!$C$6&amp;"'!A:A")),0))</f>
        <v/>
      </c>
      <c r="J583" s="12" t="str">
        <f ca="1">IF($A583="","",IFERROR(SUMIF(INDIRECT("'"&amp;'Template Setup'!$C$7&amp;"'!C:C"),$A583,INDIRECT("'"&amp;'Template Setup'!$C$7&amp;"'!A:A")),0))</f>
        <v/>
      </c>
      <c r="K583" s="12" t="str">
        <f ca="1">IF($A583="","",IFERROR(SUMIF(INDIRECT("'"&amp;'Template Setup'!$C$8&amp;"'!C:C"),$A583,INDIRECT("'"&amp;'Template Setup'!$C$8&amp;"'!A:A")),0))</f>
        <v/>
      </c>
      <c r="L583" s="11" t="str">
        <f>IF($A583="","",IFERROR(VALUE(MID(TRIM('Template Setup'!$C$4),FIND("-",TRIM('Template Setup'!$C$4))+1,10)),0))</f>
        <v/>
      </c>
      <c r="M583" s="11" t="str">
        <f>IF($A583="","",IFERROR(VALUE(MID(TRIM('Template Setup'!$C$5),FIND("-",TRIM('Template Setup'!$C$5))+1,10)),0))</f>
        <v/>
      </c>
      <c r="N583" s="11" t="str">
        <f>IF($A583="","",IFERROR(VALUE(MID(TRIM('Template Setup'!$C$6),FIND("-",TRIM('Template Setup'!$C$6))+1,10)),0))</f>
        <v/>
      </c>
      <c r="O583" s="11" t="str">
        <f>IF($A583="","",IFERROR(VALUE(MID(TRIM('Template Setup'!$C$7),FIND("-",TRIM('Template Setup'!$C$7))+1,10)),0))</f>
        <v/>
      </c>
      <c r="P583" s="11" t="str">
        <f>IF($A583="","",IFERROR(VALUE(MID(TRIM('Template Setup'!$C$8),FIND("-",TRIM('Template Setup'!$C$8))+1,10)),0))</f>
        <v/>
      </c>
      <c r="Q583" s="9" t="str">
        <f>IF($A583="","",$A583&amp;"-"&amp;'Template Setup'!$C$16)</f>
        <v/>
      </c>
      <c r="R583" s="24" t="str">
        <f t="shared" si="37"/>
        <v/>
      </c>
      <c r="S583" s="24"/>
      <c r="T583" s="24" t="str">
        <f t="shared" si="38"/>
        <v/>
      </c>
      <c r="U583" s="6" t="str">
        <f t="shared" si="36"/>
        <v/>
      </c>
    </row>
    <row r="584" spans="1:21">
      <c r="A584" s="11"/>
      <c r="B584" s="11"/>
      <c r="C584" s="11"/>
      <c r="D584" s="11" t="str">
        <f>IF($A584="","",_xlfn.TEXTJOIN(", ",TRUE,IF($G584&gt;0,'Template Setup'!$C$4,""),IF($H584&gt;0,'Template Setup'!$C$5,""),IF($I584&gt;0,'Template Setup'!$C$6,""),IF($J584&gt;0,'Template Setup'!$C$7,""),IF($K584&gt;0,'Template Setup'!$C$8,"")))</f>
        <v/>
      </c>
      <c r="E584" s="6" t="str" cm="1">
        <f t="array" ref="E584">IF($A584="","",_xlfn.LET(_xlpm.sheets,CHOOSE({1,2,3,4,5},'Template Setup'!$C$4,'Template Setup'!$C$5,'Template Setup'!$C$6,'Template Setup'!$C$7,'Template Setup'!$C$8),_xlpm.nums,CHOOSE({1,2,3,4,5},$L584,$M584,$N584,$O584,$P584),_xlpm.qtys,CHOOSE({1,2,3,4,5},$G584,$H584,$I584,$J584,$K584),_xlpm.validNums,_xlfn._xlws.FILTER(_xlpm.nums,_xlpm.qtys&gt;0),_xlpm.validSheets,_xlfn._xlws.FILTER(_xlpm.sheets,_xlpm.qtys&gt;0),_xlpm.mx,IFERROR(MAX(_xlpm.validNums),0),IF(_xlpm.mx=0,"",INDEX(_xlpm.validSheets,MATCH(_xlpm.mx,_xlpm.validNums,0))&amp;" (+"&amp;$R584&amp;")")))</f>
        <v/>
      </c>
      <c r="F584" s="11" t="str">
        <f t="shared" si="39"/>
        <v/>
      </c>
      <c r="G584" s="12" t="str">
        <f ca="1">IF($A584="","",IFERROR(SUMIF(INDIRECT("'"&amp;'Template Setup'!$C$4&amp;"'!C:C"),$A584,INDIRECT("'"&amp;'Template Setup'!$C$4&amp;"'!A:A")),0))</f>
        <v/>
      </c>
      <c r="H584" s="12" t="str">
        <f ca="1">IF($A584="","",IFERROR(SUMIF(INDIRECT("'"&amp;'Template Setup'!$C$5&amp;"'!C:C"),$A584,INDIRECT("'"&amp;'Template Setup'!$C$5&amp;"'!A:A")),0))</f>
        <v/>
      </c>
      <c r="I584" s="12" t="str">
        <f ca="1">IF($A584="","",IFERROR(SUMIF(INDIRECT("'"&amp;'Template Setup'!$C$6&amp;"'!C:C"),$A584,INDIRECT("'"&amp;'Template Setup'!$C$6&amp;"'!A:A")),0))</f>
        <v/>
      </c>
      <c r="J584" s="12" t="str">
        <f ca="1">IF($A584="","",IFERROR(SUMIF(INDIRECT("'"&amp;'Template Setup'!$C$7&amp;"'!C:C"),$A584,INDIRECT("'"&amp;'Template Setup'!$C$7&amp;"'!A:A")),0))</f>
        <v/>
      </c>
      <c r="K584" s="12" t="str">
        <f ca="1">IF($A584="","",IFERROR(SUMIF(INDIRECT("'"&amp;'Template Setup'!$C$8&amp;"'!C:C"),$A584,INDIRECT("'"&amp;'Template Setup'!$C$8&amp;"'!A:A")),0))</f>
        <v/>
      </c>
      <c r="L584" s="11" t="str">
        <f>IF($A584="","",IFERROR(VALUE(MID(TRIM('Template Setup'!$C$4),FIND("-",TRIM('Template Setup'!$C$4))+1,10)),0))</f>
        <v/>
      </c>
      <c r="M584" s="11" t="str">
        <f>IF($A584="","",IFERROR(VALUE(MID(TRIM('Template Setup'!$C$5),FIND("-",TRIM('Template Setup'!$C$5))+1,10)),0))</f>
        <v/>
      </c>
      <c r="N584" s="11" t="str">
        <f>IF($A584="","",IFERROR(VALUE(MID(TRIM('Template Setup'!$C$6),FIND("-",TRIM('Template Setup'!$C$6))+1,10)),0))</f>
        <v/>
      </c>
      <c r="O584" s="11" t="str">
        <f>IF($A584="","",IFERROR(VALUE(MID(TRIM('Template Setup'!$C$7),FIND("-",TRIM('Template Setup'!$C$7))+1,10)),0))</f>
        <v/>
      </c>
      <c r="P584" s="11" t="str">
        <f>IF($A584="","",IFERROR(VALUE(MID(TRIM('Template Setup'!$C$8),FIND("-",TRIM('Template Setup'!$C$8))+1,10)),0))</f>
        <v/>
      </c>
      <c r="Q584" s="9" t="str">
        <f>IF($A584="","",$A584&amp;"-"&amp;'Template Setup'!$C$16)</f>
        <v/>
      </c>
      <c r="R584" s="24" t="str">
        <f t="shared" si="37"/>
        <v/>
      </c>
      <c r="S584" s="24"/>
      <c r="T584" s="24" t="str">
        <f t="shared" si="38"/>
        <v/>
      </c>
      <c r="U584" s="6" t="str">
        <f t="shared" si="36"/>
        <v/>
      </c>
    </row>
    <row r="585" spans="1:21">
      <c r="A585" s="11"/>
      <c r="B585" s="11"/>
      <c r="C585" s="11"/>
      <c r="D585" s="11" t="str">
        <f>IF($A585="","",_xlfn.TEXTJOIN(", ",TRUE,IF($G585&gt;0,'Template Setup'!$C$4,""),IF($H585&gt;0,'Template Setup'!$C$5,""),IF($I585&gt;0,'Template Setup'!$C$6,""),IF($J585&gt;0,'Template Setup'!$C$7,""),IF($K585&gt;0,'Template Setup'!$C$8,"")))</f>
        <v/>
      </c>
      <c r="E585" s="6" t="str" cm="1">
        <f t="array" ref="E585">IF($A585="","",_xlfn.LET(_xlpm.sheets,CHOOSE({1,2,3,4,5},'Template Setup'!$C$4,'Template Setup'!$C$5,'Template Setup'!$C$6,'Template Setup'!$C$7,'Template Setup'!$C$8),_xlpm.nums,CHOOSE({1,2,3,4,5},$L585,$M585,$N585,$O585,$P585),_xlpm.qtys,CHOOSE({1,2,3,4,5},$G585,$H585,$I585,$J585,$K585),_xlpm.validNums,_xlfn._xlws.FILTER(_xlpm.nums,_xlpm.qtys&gt;0),_xlpm.validSheets,_xlfn._xlws.FILTER(_xlpm.sheets,_xlpm.qtys&gt;0),_xlpm.mx,IFERROR(MAX(_xlpm.validNums),0),IF(_xlpm.mx=0,"",INDEX(_xlpm.validSheets,MATCH(_xlpm.mx,_xlpm.validNums,0))&amp;" (+"&amp;$R585&amp;")")))</f>
        <v/>
      </c>
      <c r="F585" s="11" t="str">
        <f t="shared" si="39"/>
        <v/>
      </c>
      <c r="G585" s="12" t="str">
        <f ca="1">IF($A585="","",IFERROR(SUMIF(INDIRECT("'"&amp;'Template Setup'!$C$4&amp;"'!C:C"),$A585,INDIRECT("'"&amp;'Template Setup'!$C$4&amp;"'!A:A")),0))</f>
        <v/>
      </c>
      <c r="H585" s="12" t="str">
        <f ca="1">IF($A585="","",IFERROR(SUMIF(INDIRECT("'"&amp;'Template Setup'!$C$5&amp;"'!C:C"),$A585,INDIRECT("'"&amp;'Template Setup'!$C$5&amp;"'!A:A")),0))</f>
        <v/>
      </c>
      <c r="I585" s="12" t="str">
        <f ca="1">IF($A585="","",IFERROR(SUMIF(INDIRECT("'"&amp;'Template Setup'!$C$6&amp;"'!C:C"),$A585,INDIRECT("'"&amp;'Template Setup'!$C$6&amp;"'!A:A")),0))</f>
        <v/>
      </c>
      <c r="J585" s="12" t="str">
        <f ca="1">IF($A585="","",IFERROR(SUMIF(INDIRECT("'"&amp;'Template Setup'!$C$7&amp;"'!C:C"),$A585,INDIRECT("'"&amp;'Template Setup'!$C$7&amp;"'!A:A")),0))</f>
        <v/>
      </c>
      <c r="K585" s="12" t="str">
        <f ca="1">IF($A585="","",IFERROR(SUMIF(INDIRECT("'"&amp;'Template Setup'!$C$8&amp;"'!C:C"),$A585,INDIRECT("'"&amp;'Template Setup'!$C$8&amp;"'!A:A")),0))</f>
        <v/>
      </c>
      <c r="L585" s="11" t="str">
        <f>IF($A585="","",IFERROR(VALUE(MID(TRIM('Template Setup'!$C$4),FIND("-",TRIM('Template Setup'!$C$4))+1,10)),0))</f>
        <v/>
      </c>
      <c r="M585" s="11" t="str">
        <f>IF($A585="","",IFERROR(VALUE(MID(TRIM('Template Setup'!$C$5),FIND("-",TRIM('Template Setup'!$C$5))+1,10)),0))</f>
        <v/>
      </c>
      <c r="N585" s="11" t="str">
        <f>IF($A585="","",IFERROR(VALUE(MID(TRIM('Template Setup'!$C$6),FIND("-",TRIM('Template Setup'!$C$6))+1,10)),0))</f>
        <v/>
      </c>
      <c r="O585" s="11" t="str">
        <f>IF($A585="","",IFERROR(VALUE(MID(TRIM('Template Setup'!$C$7),FIND("-",TRIM('Template Setup'!$C$7))+1,10)),0))</f>
        <v/>
      </c>
      <c r="P585" s="11" t="str">
        <f>IF($A585="","",IFERROR(VALUE(MID(TRIM('Template Setup'!$C$8),FIND("-",TRIM('Template Setup'!$C$8))+1,10)),0))</f>
        <v/>
      </c>
      <c r="Q585" s="9" t="str">
        <f>IF($A585="","",$A585&amp;"-"&amp;'Template Setup'!$C$16)</f>
        <v/>
      </c>
      <c r="R585" s="24" t="str">
        <f t="shared" si="37"/>
        <v/>
      </c>
      <c r="S585" s="24"/>
      <c r="T585" s="24" t="str">
        <f t="shared" si="38"/>
        <v/>
      </c>
      <c r="U585" s="6" t="str">
        <f t="shared" si="36"/>
        <v/>
      </c>
    </row>
    <row r="586" spans="1:21">
      <c r="A586" s="11"/>
      <c r="B586" s="11"/>
      <c r="C586" s="11"/>
      <c r="D586" s="11" t="str">
        <f>IF($A586="","",_xlfn.TEXTJOIN(", ",TRUE,IF($G586&gt;0,'Template Setup'!$C$4,""),IF($H586&gt;0,'Template Setup'!$C$5,""),IF($I586&gt;0,'Template Setup'!$C$6,""),IF($J586&gt;0,'Template Setup'!$C$7,""),IF($K586&gt;0,'Template Setup'!$C$8,"")))</f>
        <v/>
      </c>
      <c r="E586" s="6" t="str" cm="1">
        <f t="array" ref="E586">IF($A586="","",_xlfn.LET(_xlpm.sheets,CHOOSE({1,2,3,4,5},'Template Setup'!$C$4,'Template Setup'!$C$5,'Template Setup'!$C$6,'Template Setup'!$C$7,'Template Setup'!$C$8),_xlpm.nums,CHOOSE({1,2,3,4,5},$L586,$M586,$N586,$O586,$P586),_xlpm.qtys,CHOOSE({1,2,3,4,5},$G586,$H586,$I586,$J586,$K586),_xlpm.validNums,_xlfn._xlws.FILTER(_xlpm.nums,_xlpm.qtys&gt;0),_xlpm.validSheets,_xlfn._xlws.FILTER(_xlpm.sheets,_xlpm.qtys&gt;0),_xlpm.mx,IFERROR(MAX(_xlpm.validNums),0),IF(_xlpm.mx=0,"",INDEX(_xlpm.validSheets,MATCH(_xlpm.mx,_xlpm.validNums,0))&amp;" (+"&amp;$R586&amp;")")))</f>
        <v/>
      </c>
      <c r="F586" s="11" t="str">
        <f t="shared" si="39"/>
        <v/>
      </c>
      <c r="G586" s="12" t="str">
        <f ca="1">IF($A586="","",IFERROR(SUMIF(INDIRECT("'"&amp;'Template Setup'!$C$4&amp;"'!C:C"),$A586,INDIRECT("'"&amp;'Template Setup'!$C$4&amp;"'!A:A")),0))</f>
        <v/>
      </c>
      <c r="H586" s="12" t="str">
        <f ca="1">IF($A586="","",IFERROR(SUMIF(INDIRECT("'"&amp;'Template Setup'!$C$5&amp;"'!C:C"),$A586,INDIRECT("'"&amp;'Template Setup'!$C$5&amp;"'!A:A")),0))</f>
        <v/>
      </c>
      <c r="I586" s="12" t="str">
        <f ca="1">IF($A586="","",IFERROR(SUMIF(INDIRECT("'"&amp;'Template Setup'!$C$6&amp;"'!C:C"),$A586,INDIRECT("'"&amp;'Template Setup'!$C$6&amp;"'!A:A")),0))</f>
        <v/>
      </c>
      <c r="J586" s="12" t="str">
        <f ca="1">IF($A586="","",IFERROR(SUMIF(INDIRECT("'"&amp;'Template Setup'!$C$7&amp;"'!C:C"),$A586,INDIRECT("'"&amp;'Template Setup'!$C$7&amp;"'!A:A")),0))</f>
        <v/>
      </c>
      <c r="K586" s="12" t="str">
        <f ca="1">IF($A586="","",IFERROR(SUMIF(INDIRECT("'"&amp;'Template Setup'!$C$8&amp;"'!C:C"),$A586,INDIRECT("'"&amp;'Template Setup'!$C$8&amp;"'!A:A")),0))</f>
        <v/>
      </c>
      <c r="L586" s="11" t="str">
        <f>IF($A586="","",IFERROR(VALUE(MID(TRIM('Template Setup'!$C$4),FIND("-",TRIM('Template Setup'!$C$4))+1,10)),0))</f>
        <v/>
      </c>
      <c r="M586" s="11" t="str">
        <f>IF($A586="","",IFERROR(VALUE(MID(TRIM('Template Setup'!$C$5),FIND("-",TRIM('Template Setup'!$C$5))+1,10)),0))</f>
        <v/>
      </c>
      <c r="N586" s="11" t="str">
        <f>IF($A586="","",IFERROR(VALUE(MID(TRIM('Template Setup'!$C$6),FIND("-",TRIM('Template Setup'!$C$6))+1,10)),0))</f>
        <v/>
      </c>
      <c r="O586" s="11" t="str">
        <f>IF($A586="","",IFERROR(VALUE(MID(TRIM('Template Setup'!$C$7),FIND("-",TRIM('Template Setup'!$C$7))+1,10)),0))</f>
        <v/>
      </c>
      <c r="P586" s="11" t="str">
        <f>IF($A586="","",IFERROR(VALUE(MID(TRIM('Template Setup'!$C$8),FIND("-",TRIM('Template Setup'!$C$8))+1,10)),0))</f>
        <v/>
      </c>
      <c r="Q586" s="9" t="str">
        <f>IF($A586="","",$A586&amp;"-"&amp;'Template Setup'!$C$16)</f>
        <v/>
      </c>
      <c r="R586" s="24" t="str">
        <f t="shared" si="37"/>
        <v/>
      </c>
      <c r="S586" s="24"/>
      <c r="T586" s="24" t="str">
        <f t="shared" si="38"/>
        <v/>
      </c>
      <c r="U586" s="6" t="str">
        <f t="shared" si="36"/>
        <v/>
      </c>
    </row>
    <row r="587" spans="1:21">
      <c r="A587" s="11"/>
      <c r="B587" s="11"/>
      <c r="C587" s="11"/>
      <c r="D587" s="11" t="str">
        <f>IF($A587="","",_xlfn.TEXTJOIN(", ",TRUE,IF($G587&gt;0,'Template Setup'!$C$4,""),IF($H587&gt;0,'Template Setup'!$C$5,""),IF($I587&gt;0,'Template Setup'!$C$6,""),IF($J587&gt;0,'Template Setup'!$C$7,""),IF($K587&gt;0,'Template Setup'!$C$8,"")))</f>
        <v/>
      </c>
      <c r="E587" s="6" t="str" cm="1">
        <f t="array" ref="E587">IF($A587="","",_xlfn.LET(_xlpm.sheets,CHOOSE({1,2,3,4,5},'Template Setup'!$C$4,'Template Setup'!$C$5,'Template Setup'!$C$6,'Template Setup'!$C$7,'Template Setup'!$C$8),_xlpm.nums,CHOOSE({1,2,3,4,5},$L587,$M587,$N587,$O587,$P587),_xlpm.qtys,CHOOSE({1,2,3,4,5},$G587,$H587,$I587,$J587,$K587),_xlpm.validNums,_xlfn._xlws.FILTER(_xlpm.nums,_xlpm.qtys&gt;0),_xlpm.validSheets,_xlfn._xlws.FILTER(_xlpm.sheets,_xlpm.qtys&gt;0),_xlpm.mx,IFERROR(MAX(_xlpm.validNums),0),IF(_xlpm.mx=0,"",INDEX(_xlpm.validSheets,MATCH(_xlpm.mx,_xlpm.validNums,0))&amp;" (+"&amp;$R587&amp;")")))</f>
        <v/>
      </c>
      <c r="F587" s="11" t="str">
        <f t="shared" si="39"/>
        <v/>
      </c>
      <c r="G587" s="12" t="str">
        <f ca="1">IF($A587="","",IFERROR(SUMIF(INDIRECT("'"&amp;'Template Setup'!$C$4&amp;"'!C:C"),$A587,INDIRECT("'"&amp;'Template Setup'!$C$4&amp;"'!A:A")),0))</f>
        <v/>
      </c>
      <c r="H587" s="12" t="str">
        <f ca="1">IF($A587="","",IFERROR(SUMIF(INDIRECT("'"&amp;'Template Setup'!$C$5&amp;"'!C:C"),$A587,INDIRECT("'"&amp;'Template Setup'!$C$5&amp;"'!A:A")),0))</f>
        <v/>
      </c>
      <c r="I587" s="12" t="str">
        <f ca="1">IF($A587="","",IFERROR(SUMIF(INDIRECT("'"&amp;'Template Setup'!$C$6&amp;"'!C:C"),$A587,INDIRECT("'"&amp;'Template Setup'!$C$6&amp;"'!A:A")),0))</f>
        <v/>
      </c>
      <c r="J587" s="12" t="str">
        <f ca="1">IF($A587="","",IFERROR(SUMIF(INDIRECT("'"&amp;'Template Setup'!$C$7&amp;"'!C:C"),$A587,INDIRECT("'"&amp;'Template Setup'!$C$7&amp;"'!A:A")),0))</f>
        <v/>
      </c>
      <c r="K587" s="12" t="str">
        <f ca="1">IF($A587="","",IFERROR(SUMIF(INDIRECT("'"&amp;'Template Setup'!$C$8&amp;"'!C:C"),$A587,INDIRECT("'"&amp;'Template Setup'!$C$8&amp;"'!A:A")),0))</f>
        <v/>
      </c>
      <c r="L587" s="11" t="str">
        <f>IF($A587="","",IFERROR(VALUE(MID(TRIM('Template Setup'!$C$4),FIND("-",TRIM('Template Setup'!$C$4))+1,10)),0))</f>
        <v/>
      </c>
      <c r="M587" s="11" t="str">
        <f>IF($A587="","",IFERROR(VALUE(MID(TRIM('Template Setup'!$C$5),FIND("-",TRIM('Template Setup'!$C$5))+1,10)),0))</f>
        <v/>
      </c>
      <c r="N587" s="11" t="str">
        <f>IF($A587="","",IFERROR(VALUE(MID(TRIM('Template Setup'!$C$6),FIND("-",TRIM('Template Setup'!$C$6))+1,10)),0))</f>
        <v/>
      </c>
      <c r="O587" s="11" t="str">
        <f>IF($A587="","",IFERROR(VALUE(MID(TRIM('Template Setup'!$C$7),FIND("-",TRIM('Template Setup'!$C$7))+1,10)),0))</f>
        <v/>
      </c>
      <c r="P587" s="11" t="str">
        <f>IF($A587="","",IFERROR(VALUE(MID(TRIM('Template Setup'!$C$8),FIND("-",TRIM('Template Setup'!$C$8))+1,10)),0))</f>
        <v/>
      </c>
      <c r="Q587" s="9" t="str">
        <f>IF($A587="","",$A587&amp;"-"&amp;'Template Setup'!$C$16)</f>
        <v/>
      </c>
      <c r="R587" s="24" t="str">
        <f t="shared" si="37"/>
        <v/>
      </c>
      <c r="S587" s="24"/>
      <c r="T587" s="24" t="str">
        <f t="shared" si="38"/>
        <v/>
      </c>
      <c r="U587" s="6" t="str">
        <f t="shared" si="36"/>
        <v/>
      </c>
    </row>
    <row r="588" spans="1:21">
      <c r="A588" s="11"/>
      <c r="B588" s="11"/>
      <c r="C588" s="11"/>
      <c r="D588" s="11" t="str">
        <f>IF($A588="","",_xlfn.TEXTJOIN(", ",TRUE,IF($G588&gt;0,'Template Setup'!$C$4,""),IF($H588&gt;0,'Template Setup'!$C$5,""),IF($I588&gt;0,'Template Setup'!$C$6,""),IF($J588&gt;0,'Template Setup'!$C$7,""),IF($K588&gt;0,'Template Setup'!$C$8,"")))</f>
        <v/>
      </c>
      <c r="E588" s="6" t="str" cm="1">
        <f t="array" ref="E588">IF($A588="","",_xlfn.LET(_xlpm.sheets,CHOOSE({1,2,3,4,5},'Template Setup'!$C$4,'Template Setup'!$C$5,'Template Setup'!$C$6,'Template Setup'!$C$7,'Template Setup'!$C$8),_xlpm.nums,CHOOSE({1,2,3,4,5},$L588,$M588,$N588,$O588,$P588),_xlpm.qtys,CHOOSE({1,2,3,4,5},$G588,$H588,$I588,$J588,$K588),_xlpm.validNums,_xlfn._xlws.FILTER(_xlpm.nums,_xlpm.qtys&gt;0),_xlpm.validSheets,_xlfn._xlws.FILTER(_xlpm.sheets,_xlpm.qtys&gt;0),_xlpm.mx,IFERROR(MAX(_xlpm.validNums),0),IF(_xlpm.mx=0,"",INDEX(_xlpm.validSheets,MATCH(_xlpm.mx,_xlpm.validNums,0))&amp;" (+"&amp;$R588&amp;")")))</f>
        <v/>
      </c>
      <c r="F588" s="11" t="str">
        <f t="shared" si="39"/>
        <v/>
      </c>
      <c r="G588" s="12" t="str">
        <f ca="1">IF($A588="","",IFERROR(SUMIF(INDIRECT("'"&amp;'Template Setup'!$C$4&amp;"'!C:C"),$A588,INDIRECT("'"&amp;'Template Setup'!$C$4&amp;"'!A:A")),0))</f>
        <v/>
      </c>
      <c r="H588" s="12" t="str">
        <f ca="1">IF($A588="","",IFERROR(SUMIF(INDIRECT("'"&amp;'Template Setup'!$C$5&amp;"'!C:C"),$A588,INDIRECT("'"&amp;'Template Setup'!$C$5&amp;"'!A:A")),0))</f>
        <v/>
      </c>
      <c r="I588" s="12" t="str">
        <f ca="1">IF($A588="","",IFERROR(SUMIF(INDIRECT("'"&amp;'Template Setup'!$C$6&amp;"'!C:C"),$A588,INDIRECT("'"&amp;'Template Setup'!$C$6&amp;"'!A:A")),0))</f>
        <v/>
      </c>
      <c r="J588" s="12" t="str">
        <f ca="1">IF($A588="","",IFERROR(SUMIF(INDIRECT("'"&amp;'Template Setup'!$C$7&amp;"'!C:C"),$A588,INDIRECT("'"&amp;'Template Setup'!$C$7&amp;"'!A:A")),0))</f>
        <v/>
      </c>
      <c r="K588" s="12" t="str">
        <f ca="1">IF($A588="","",IFERROR(SUMIF(INDIRECT("'"&amp;'Template Setup'!$C$8&amp;"'!C:C"),$A588,INDIRECT("'"&amp;'Template Setup'!$C$8&amp;"'!A:A")),0))</f>
        <v/>
      </c>
      <c r="L588" s="11" t="str">
        <f>IF($A588="","",IFERROR(VALUE(MID(TRIM('Template Setup'!$C$4),FIND("-",TRIM('Template Setup'!$C$4))+1,10)),0))</f>
        <v/>
      </c>
      <c r="M588" s="11" t="str">
        <f>IF($A588="","",IFERROR(VALUE(MID(TRIM('Template Setup'!$C$5),FIND("-",TRIM('Template Setup'!$C$5))+1,10)),0))</f>
        <v/>
      </c>
      <c r="N588" s="11" t="str">
        <f>IF($A588="","",IFERROR(VALUE(MID(TRIM('Template Setup'!$C$6),FIND("-",TRIM('Template Setup'!$C$6))+1,10)),0))</f>
        <v/>
      </c>
      <c r="O588" s="11" t="str">
        <f>IF($A588="","",IFERROR(VALUE(MID(TRIM('Template Setup'!$C$7),FIND("-",TRIM('Template Setup'!$C$7))+1,10)),0))</f>
        <v/>
      </c>
      <c r="P588" s="11" t="str">
        <f>IF($A588="","",IFERROR(VALUE(MID(TRIM('Template Setup'!$C$8),FIND("-",TRIM('Template Setup'!$C$8))+1,10)),0))</f>
        <v/>
      </c>
      <c r="Q588" s="9" t="str">
        <f>IF($A588="","",$A588&amp;"-"&amp;'Template Setup'!$C$16)</f>
        <v/>
      </c>
      <c r="R588" s="24" t="str">
        <f t="shared" si="37"/>
        <v/>
      </c>
      <c r="S588" s="24"/>
      <c r="T588" s="24" t="str">
        <f t="shared" si="38"/>
        <v/>
      </c>
      <c r="U588" s="6" t="str">
        <f t="shared" si="36"/>
        <v/>
      </c>
    </row>
    <row r="589" spans="1:21">
      <c r="A589" s="11"/>
      <c r="B589" s="11"/>
      <c r="C589" s="11"/>
      <c r="D589" s="11" t="str">
        <f>IF($A589="","",_xlfn.TEXTJOIN(", ",TRUE,IF($G589&gt;0,'Template Setup'!$C$4,""),IF($H589&gt;0,'Template Setup'!$C$5,""),IF($I589&gt;0,'Template Setup'!$C$6,""),IF($J589&gt;0,'Template Setup'!$C$7,""),IF($K589&gt;0,'Template Setup'!$C$8,"")))</f>
        <v/>
      </c>
      <c r="E589" s="6" t="str" cm="1">
        <f t="array" ref="E589">IF($A589="","",_xlfn.LET(_xlpm.sheets,CHOOSE({1,2,3,4,5},'Template Setup'!$C$4,'Template Setup'!$C$5,'Template Setup'!$C$6,'Template Setup'!$C$7,'Template Setup'!$C$8),_xlpm.nums,CHOOSE({1,2,3,4,5},$L589,$M589,$N589,$O589,$P589),_xlpm.qtys,CHOOSE({1,2,3,4,5},$G589,$H589,$I589,$J589,$K589),_xlpm.validNums,_xlfn._xlws.FILTER(_xlpm.nums,_xlpm.qtys&gt;0),_xlpm.validSheets,_xlfn._xlws.FILTER(_xlpm.sheets,_xlpm.qtys&gt;0),_xlpm.mx,IFERROR(MAX(_xlpm.validNums),0),IF(_xlpm.mx=0,"",INDEX(_xlpm.validSheets,MATCH(_xlpm.mx,_xlpm.validNums,0))&amp;" (+"&amp;$R589&amp;")")))</f>
        <v/>
      </c>
      <c r="F589" s="11" t="str">
        <f t="shared" si="39"/>
        <v/>
      </c>
      <c r="G589" s="12" t="str">
        <f ca="1">IF($A589="","",IFERROR(SUMIF(INDIRECT("'"&amp;'Template Setup'!$C$4&amp;"'!C:C"),$A589,INDIRECT("'"&amp;'Template Setup'!$C$4&amp;"'!A:A")),0))</f>
        <v/>
      </c>
      <c r="H589" s="12" t="str">
        <f ca="1">IF($A589="","",IFERROR(SUMIF(INDIRECT("'"&amp;'Template Setup'!$C$5&amp;"'!C:C"),$A589,INDIRECT("'"&amp;'Template Setup'!$C$5&amp;"'!A:A")),0))</f>
        <v/>
      </c>
      <c r="I589" s="12" t="str">
        <f ca="1">IF($A589="","",IFERROR(SUMIF(INDIRECT("'"&amp;'Template Setup'!$C$6&amp;"'!C:C"),$A589,INDIRECT("'"&amp;'Template Setup'!$C$6&amp;"'!A:A")),0))</f>
        <v/>
      </c>
      <c r="J589" s="12" t="str">
        <f ca="1">IF($A589="","",IFERROR(SUMIF(INDIRECT("'"&amp;'Template Setup'!$C$7&amp;"'!C:C"),$A589,INDIRECT("'"&amp;'Template Setup'!$C$7&amp;"'!A:A")),0))</f>
        <v/>
      </c>
      <c r="K589" s="12" t="str">
        <f ca="1">IF($A589="","",IFERROR(SUMIF(INDIRECT("'"&amp;'Template Setup'!$C$8&amp;"'!C:C"),$A589,INDIRECT("'"&amp;'Template Setup'!$C$8&amp;"'!A:A")),0))</f>
        <v/>
      </c>
      <c r="L589" s="11" t="str">
        <f>IF($A589="","",IFERROR(VALUE(MID(TRIM('Template Setup'!$C$4),FIND("-",TRIM('Template Setup'!$C$4))+1,10)),0))</f>
        <v/>
      </c>
      <c r="M589" s="11" t="str">
        <f>IF($A589="","",IFERROR(VALUE(MID(TRIM('Template Setup'!$C$5),FIND("-",TRIM('Template Setup'!$C$5))+1,10)),0))</f>
        <v/>
      </c>
      <c r="N589" s="11" t="str">
        <f>IF($A589="","",IFERROR(VALUE(MID(TRIM('Template Setup'!$C$6),FIND("-",TRIM('Template Setup'!$C$6))+1,10)),0))</f>
        <v/>
      </c>
      <c r="O589" s="11" t="str">
        <f>IF($A589="","",IFERROR(VALUE(MID(TRIM('Template Setup'!$C$7),FIND("-",TRIM('Template Setup'!$C$7))+1,10)),0))</f>
        <v/>
      </c>
      <c r="P589" s="11" t="str">
        <f>IF($A589="","",IFERROR(VALUE(MID(TRIM('Template Setup'!$C$8),FIND("-",TRIM('Template Setup'!$C$8))+1,10)),0))</f>
        <v/>
      </c>
      <c r="Q589" s="9" t="str">
        <f>IF($A589="","",$A589&amp;"-"&amp;'Template Setup'!$C$16)</f>
        <v/>
      </c>
      <c r="R589" s="24" t="str">
        <f t="shared" si="37"/>
        <v/>
      </c>
      <c r="S589" s="24"/>
      <c r="T589" s="24" t="str">
        <f t="shared" si="38"/>
        <v/>
      </c>
      <c r="U589" s="6" t="str">
        <f t="shared" si="36"/>
        <v/>
      </c>
    </row>
    <row r="590" spans="1:21">
      <c r="A590" s="11"/>
      <c r="B590" s="11"/>
      <c r="C590" s="11"/>
      <c r="D590" s="11" t="str">
        <f>IF($A590="","",_xlfn.TEXTJOIN(", ",TRUE,IF($G590&gt;0,'Template Setup'!$C$4,""),IF($H590&gt;0,'Template Setup'!$C$5,""),IF($I590&gt;0,'Template Setup'!$C$6,""),IF($J590&gt;0,'Template Setup'!$C$7,""),IF($K590&gt;0,'Template Setup'!$C$8,"")))</f>
        <v/>
      </c>
      <c r="E590" s="6" t="str" cm="1">
        <f t="array" ref="E590">IF($A590="","",_xlfn.LET(_xlpm.sheets,CHOOSE({1,2,3,4,5},'Template Setup'!$C$4,'Template Setup'!$C$5,'Template Setup'!$C$6,'Template Setup'!$C$7,'Template Setup'!$C$8),_xlpm.nums,CHOOSE({1,2,3,4,5},$L590,$M590,$N590,$O590,$P590),_xlpm.qtys,CHOOSE({1,2,3,4,5},$G590,$H590,$I590,$J590,$K590),_xlpm.validNums,_xlfn._xlws.FILTER(_xlpm.nums,_xlpm.qtys&gt;0),_xlpm.validSheets,_xlfn._xlws.FILTER(_xlpm.sheets,_xlpm.qtys&gt;0),_xlpm.mx,IFERROR(MAX(_xlpm.validNums),0),IF(_xlpm.mx=0,"",INDEX(_xlpm.validSheets,MATCH(_xlpm.mx,_xlpm.validNums,0))&amp;" (+"&amp;$R590&amp;")")))</f>
        <v/>
      </c>
      <c r="F590" s="11" t="str">
        <f t="shared" si="39"/>
        <v/>
      </c>
      <c r="G590" s="12" t="str">
        <f ca="1">IF($A590="","",IFERROR(SUMIF(INDIRECT("'"&amp;'Template Setup'!$C$4&amp;"'!C:C"),$A590,INDIRECT("'"&amp;'Template Setup'!$C$4&amp;"'!A:A")),0))</f>
        <v/>
      </c>
      <c r="H590" s="12" t="str">
        <f ca="1">IF($A590="","",IFERROR(SUMIF(INDIRECT("'"&amp;'Template Setup'!$C$5&amp;"'!C:C"),$A590,INDIRECT("'"&amp;'Template Setup'!$C$5&amp;"'!A:A")),0))</f>
        <v/>
      </c>
      <c r="I590" s="12" t="str">
        <f ca="1">IF($A590="","",IFERROR(SUMIF(INDIRECT("'"&amp;'Template Setup'!$C$6&amp;"'!C:C"),$A590,INDIRECT("'"&amp;'Template Setup'!$C$6&amp;"'!A:A")),0))</f>
        <v/>
      </c>
      <c r="J590" s="12" t="str">
        <f ca="1">IF($A590="","",IFERROR(SUMIF(INDIRECT("'"&amp;'Template Setup'!$C$7&amp;"'!C:C"),$A590,INDIRECT("'"&amp;'Template Setup'!$C$7&amp;"'!A:A")),0))</f>
        <v/>
      </c>
      <c r="K590" s="12" t="str">
        <f ca="1">IF($A590="","",IFERROR(SUMIF(INDIRECT("'"&amp;'Template Setup'!$C$8&amp;"'!C:C"),$A590,INDIRECT("'"&amp;'Template Setup'!$C$8&amp;"'!A:A")),0))</f>
        <v/>
      </c>
      <c r="L590" s="11" t="str">
        <f>IF($A590="","",IFERROR(VALUE(MID(TRIM('Template Setup'!$C$4),FIND("-",TRIM('Template Setup'!$C$4))+1,10)),0))</f>
        <v/>
      </c>
      <c r="M590" s="11" t="str">
        <f>IF($A590="","",IFERROR(VALUE(MID(TRIM('Template Setup'!$C$5),FIND("-",TRIM('Template Setup'!$C$5))+1,10)),0))</f>
        <v/>
      </c>
      <c r="N590" s="11" t="str">
        <f>IF($A590="","",IFERROR(VALUE(MID(TRIM('Template Setup'!$C$6),FIND("-",TRIM('Template Setup'!$C$6))+1,10)),0))</f>
        <v/>
      </c>
      <c r="O590" s="11" t="str">
        <f>IF($A590="","",IFERROR(VALUE(MID(TRIM('Template Setup'!$C$7),FIND("-",TRIM('Template Setup'!$C$7))+1,10)),0))</f>
        <v/>
      </c>
      <c r="P590" s="11" t="str">
        <f>IF($A590="","",IFERROR(VALUE(MID(TRIM('Template Setup'!$C$8),FIND("-",TRIM('Template Setup'!$C$8))+1,10)),0))</f>
        <v/>
      </c>
      <c r="Q590" s="9" t="str">
        <f>IF($A590="","",$A590&amp;"-"&amp;'Template Setup'!$C$16)</f>
        <v/>
      </c>
      <c r="R590" s="24" t="str">
        <f t="shared" si="37"/>
        <v/>
      </c>
      <c r="S590" s="24"/>
      <c r="T590" s="24" t="str">
        <f t="shared" si="38"/>
        <v/>
      </c>
      <c r="U590" s="6" t="str">
        <f t="shared" si="36"/>
        <v/>
      </c>
    </row>
    <row r="591" spans="1:21">
      <c r="A591" s="11"/>
      <c r="B591" s="11"/>
      <c r="C591" s="11"/>
      <c r="D591" s="11" t="str">
        <f>IF($A591="","",_xlfn.TEXTJOIN(", ",TRUE,IF($G591&gt;0,'Template Setup'!$C$4,""),IF($H591&gt;0,'Template Setup'!$C$5,""),IF($I591&gt;0,'Template Setup'!$C$6,""),IF($J591&gt;0,'Template Setup'!$C$7,""),IF($K591&gt;0,'Template Setup'!$C$8,"")))</f>
        <v/>
      </c>
      <c r="E591" s="6" t="str" cm="1">
        <f t="array" ref="E591">IF($A591="","",_xlfn.LET(_xlpm.sheets,CHOOSE({1,2,3,4,5},'Template Setup'!$C$4,'Template Setup'!$C$5,'Template Setup'!$C$6,'Template Setup'!$C$7,'Template Setup'!$C$8),_xlpm.nums,CHOOSE({1,2,3,4,5},$L591,$M591,$N591,$O591,$P591),_xlpm.qtys,CHOOSE({1,2,3,4,5},$G591,$H591,$I591,$J591,$K591),_xlpm.validNums,_xlfn._xlws.FILTER(_xlpm.nums,_xlpm.qtys&gt;0),_xlpm.validSheets,_xlfn._xlws.FILTER(_xlpm.sheets,_xlpm.qtys&gt;0),_xlpm.mx,IFERROR(MAX(_xlpm.validNums),0),IF(_xlpm.mx=0,"",INDEX(_xlpm.validSheets,MATCH(_xlpm.mx,_xlpm.validNums,0))&amp;" (+"&amp;$R591&amp;")")))</f>
        <v/>
      </c>
      <c r="F591" s="11" t="str">
        <f t="shared" si="39"/>
        <v/>
      </c>
      <c r="G591" s="12" t="str">
        <f ca="1">IF($A591="","",IFERROR(SUMIF(INDIRECT("'"&amp;'Template Setup'!$C$4&amp;"'!C:C"),$A591,INDIRECT("'"&amp;'Template Setup'!$C$4&amp;"'!A:A")),0))</f>
        <v/>
      </c>
      <c r="H591" s="12" t="str">
        <f ca="1">IF($A591="","",IFERROR(SUMIF(INDIRECT("'"&amp;'Template Setup'!$C$5&amp;"'!C:C"),$A591,INDIRECT("'"&amp;'Template Setup'!$C$5&amp;"'!A:A")),0))</f>
        <v/>
      </c>
      <c r="I591" s="12" t="str">
        <f ca="1">IF($A591="","",IFERROR(SUMIF(INDIRECT("'"&amp;'Template Setup'!$C$6&amp;"'!C:C"),$A591,INDIRECT("'"&amp;'Template Setup'!$C$6&amp;"'!A:A")),0))</f>
        <v/>
      </c>
      <c r="J591" s="12" t="str">
        <f ca="1">IF($A591="","",IFERROR(SUMIF(INDIRECT("'"&amp;'Template Setup'!$C$7&amp;"'!C:C"),$A591,INDIRECT("'"&amp;'Template Setup'!$C$7&amp;"'!A:A")),0))</f>
        <v/>
      </c>
      <c r="K591" s="12" t="str">
        <f ca="1">IF($A591="","",IFERROR(SUMIF(INDIRECT("'"&amp;'Template Setup'!$C$8&amp;"'!C:C"),$A591,INDIRECT("'"&amp;'Template Setup'!$C$8&amp;"'!A:A")),0))</f>
        <v/>
      </c>
      <c r="L591" s="11" t="str">
        <f>IF($A591="","",IFERROR(VALUE(MID(TRIM('Template Setup'!$C$4),FIND("-",TRIM('Template Setup'!$C$4))+1,10)),0))</f>
        <v/>
      </c>
      <c r="M591" s="11" t="str">
        <f>IF($A591="","",IFERROR(VALUE(MID(TRIM('Template Setup'!$C$5),FIND("-",TRIM('Template Setup'!$C$5))+1,10)),0))</f>
        <v/>
      </c>
      <c r="N591" s="11" t="str">
        <f>IF($A591="","",IFERROR(VALUE(MID(TRIM('Template Setup'!$C$6),FIND("-",TRIM('Template Setup'!$C$6))+1,10)),0))</f>
        <v/>
      </c>
      <c r="O591" s="11" t="str">
        <f>IF($A591="","",IFERROR(VALUE(MID(TRIM('Template Setup'!$C$7),FIND("-",TRIM('Template Setup'!$C$7))+1,10)),0))</f>
        <v/>
      </c>
      <c r="P591" s="11" t="str">
        <f>IF($A591="","",IFERROR(VALUE(MID(TRIM('Template Setup'!$C$8),FIND("-",TRIM('Template Setup'!$C$8))+1,10)),0))</f>
        <v/>
      </c>
      <c r="Q591" s="9" t="str">
        <f>IF($A591="","",$A591&amp;"-"&amp;'Template Setup'!$C$16)</f>
        <v/>
      </c>
      <c r="R591" s="24" t="str">
        <f t="shared" si="37"/>
        <v/>
      </c>
      <c r="S591" s="24"/>
      <c r="T591" s="24" t="str">
        <f t="shared" si="38"/>
        <v/>
      </c>
      <c r="U591" s="6" t="str">
        <f t="shared" si="36"/>
        <v/>
      </c>
    </row>
    <row r="592" spans="1:21">
      <c r="A592" s="11"/>
      <c r="B592" s="11"/>
      <c r="C592" s="11"/>
      <c r="D592" s="11" t="str">
        <f>IF($A592="","",_xlfn.TEXTJOIN(", ",TRUE,IF($G592&gt;0,'Template Setup'!$C$4,""),IF($H592&gt;0,'Template Setup'!$C$5,""),IF($I592&gt;0,'Template Setup'!$C$6,""),IF($J592&gt;0,'Template Setup'!$C$7,""),IF($K592&gt;0,'Template Setup'!$C$8,"")))</f>
        <v/>
      </c>
      <c r="E592" s="6" t="str" cm="1">
        <f t="array" ref="E592">IF($A592="","",_xlfn.LET(_xlpm.sheets,CHOOSE({1,2,3,4,5},'Template Setup'!$C$4,'Template Setup'!$C$5,'Template Setup'!$C$6,'Template Setup'!$C$7,'Template Setup'!$C$8),_xlpm.nums,CHOOSE({1,2,3,4,5},$L592,$M592,$N592,$O592,$P592),_xlpm.qtys,CHOOSE({1,2,3,4,5},$G592,$H592,$I592,$J592,$K592),_xlpm.validNums,_xlfn._xlws.FILTER(_xlpm.nums,_xlpm.qtys&gt;0),_xlpm.validSheets,_xlfn._xlws.FILTER(_xlpm.sheets,_xlpm.qtys&gt;0),_xlpm.mx,IFERROR(MAX(_xlpm.validNums),0),IF(_xlpm.mx=0,"",INDEX(_xlpm.validSheets,MATCH(_xlpm.mx,_xlpm.validNums,0))&amp;" (+"&amp;$R592&amp;")")))</f>
        <v/>
      </c>
      <c r="F592" s="11" t="str">
        <f t="shared" si="39"/>
        <v/>
      </c>
      <c r="G592" s="12" t="str">
        <f ca="1">IF($A592="","",IFERROR(SUMIF(INDIRECT("'"&amp;'Template Setup'!$C$4&amp;"'!C:C"),$A592,INDIRECT("'"&amp;'Template Setup'!$C$4&amp;"'!A:A")),0))</f>
        <v/>
      </c>
      <c r="H592" s="12" t="str">
        <f ca="1">IF($A592="","",IFERROR(SUMIF(INDIRECT("'"&amp;'Template Setup'!$C$5&amp;"'!C:C"),$A592,INDIRECT("'"&amp;'Template Setup'!$C$5&amp;"'!A:A")),0))</f>
        <v/>
      </c>
      <c r="I592" s="12" t="str">
        <f ca="1">IF($A592="","",IFERROR(SUMIF(INDIRECT("'"&amp;'Template Setup'!$C$6&amp;"'!C:C"),$A592,INDIRECT("'"&amp;'Template Setup'!$C$6&amp;"'!A:A")),0))</f>
        <v/>
      </c>
      <c r="J592" s="12" t="str">
        <f ca="1">IF($A592="","",IFERROR(SUMIF(INDIRECT("'"&amp;'Template Setup'!$C$7&amp;"'!C:C"),$A592,INDIRECT("'"&amp;'Template Setup'!$C$7&amp;"'!A:A")),0))</f>
        <v/>
      </c>
      <c r="K592" s="12" t="str">
        <f ca="1">IF($A592="","",IFERROR(SUMIF(INDIRECT("'"&amp;'Template Setup'!$C$8&amp;"'!C:C"),$A592,INDIRECT("'"&amp;'Template Setup'!$C$8&amp;"'!A:A")),0))</f>
        <v/>
      </c>
      <c r="L592" s="11" t="str">
        <f>IF($A592="","",IFERROR(VALUE(MID(TRIM('Template Setup'!$C$4),FIND("-",TRIM('Template Setup'!$C$4))+1,10)),0))</f>
        <v/>
      </c>
      <c r="M592" s="11" t="str">
        <f>IF($A592="","",IFERROR(VALUE(MID(TRIM('Template Setup'!$C$5),FIND("-",TRIM('Template Setup'!$C$5))+1,10)),0))</f>
        <v/>
      </c>
      <c r="N592" s="11" t="str">
        <f>IF($A592="","",IFERROR(VALUE(MID(TRIM('Template Setup'!$C$6),FIND("-",TRIM('Template Setup'!$C$6))+1,10)),0))</f>
        <v/>
      </c>
      <c r="O592" s="11" t="str">
        <f>IF($A592="","",IFERROR(VALUE(MID(TRIM('Template Setup'!$C$7),FIND("-",TRIM('Template Setup'!$C$7))+1,10)),0))</f>
        <v/>
      </c>
      <c r="P592" s="11" t="str">
        <f>IF($A592="","",IFERROR(VALUE(MID(TRIM('Template Setup'!$C$8),FIND("-",TRIM('Template Setup'!$C$8))+1,10)),0))</f>
        <v/>
      </c>
      <c r="Q592" s="9" t="str">
        <f>IF($A592="","",$A592&amp;"-"&amp;'Template Setup'!$C$16)</f>
        <v/>
      </c>
      <c r="R592" s="24" t="str">
        <f t="shared" si="37"/>
        <v/>
      </c>
      <c r="S592" s="24"/>
      <c r="T592" s="24" t="str">
        <f t="shared" si="38"/>
        <v/>
      </c>
      <c r="U592" s="6" t="str">
        <f t="shared" si="36"/>
        <v/>
      </c>
    </row>
    <row r="593" spans="1:21">
      <c r="A593" s="11"/>
      <c r="B593" s="11"/>
      <c r="C593" s="11"/>
      <c r="D593" s="11" t="str">
        <f>IF($A593="","",_xlfn.TEXTJOIN(", ",TRUE,IF($G593&gt;0,'Template Setup'!$C$4,""),IF($H593&gt;0,'Template Setup'!$C$5,""),IF($I593&gt;0,'Template Setup'!$C$6,""),IF($J593&gt;0,'Template Setup'!$C$7,""),IF($K593&gt;0,'Template Setup'!$C$8,"")))</f>
        <v/>
      </c>
      <c r="E593" s="6" t="str" cm="1">
        <f t="array" ref="E593">IF($A593="","",_xlfn.LET(_xlpm.sheets,CHOOSE({1,2,3,4,5},'Template Setup'!$C$4,'Template Setup'!$C$5,'Template Setup'!$C$6,'Template Setup'!$C$7,'Template Setup'!$C$8),_xlpm.nums,CHOOSE({1,2,3,4,5},$L593,$M593,$N593,$O593,$P593),_xlpm.qtys,CHOOSE({1,2,3,4,5},$G593,$H593,$I593,$J593,$K593),_xlpm.validNums,_xlfn._xlws.FILTER(_xlpm.nums,_xlpm.qtys&gt;0),_xlpm.validSheets,_xlfn._xlws.FILTER(_xlpm.sheets,_xlpm.qtys&gt;0),_xlpm.mx,IFERROR(MAX(_xlpm.validNums),0),IF(_xlpm.mx=0,"",INDEX(_xlpm.validSheets,MATCH(_xlpm.mx,_xlpm.validNums,0))&amp;" (+"&amp;$R593&amp;")")))</f>
        <v/>
      </c>
      <c r="F593" s="11" t="str">
        <f t="shared" si="39"/>
        <v/>
      </c>
      <c r="G593" s="12" t="str">
        <f ca="1">IF($A593="","",IFERROR(SUMIF(INDIRECT("'"&amp;'Template Setup'!$C$4&amp;"'!C:C"),$A593,INDIRECT("'"&amp;'Template Setup'!$C$4&amp;"'!A:A")),0))</f>
        <v/>
      </c>
      <c r="H593" s="12" t="str">
        <f ca="1">IF($A593="","",IFERROR(SUMIF(INDIRECT("'"&amp;'Template Setup'!$C$5&amp;"'!C:C"),$A593,INDIRECT("'"&amp;'Template Setup'!$C$5&amp;"'!A:A")),0))</f>
        <v/>
      </c>
      <c r="I593" s="12" t="str">
        <f ca="1">IF($A593="","",IFERROR(SUMIF(INDIRECT("'"&amp;'Template Setup'!$C$6&amp;"'!C:C"),$A593,INDIRECT("'"&amp;'Template Setup'!$C$6&amp;"'!A:A")),0))</f>
        <v/>
      </c>
      <c r="J593" s="12" t="str">
        <f ca="1">IF($A593="","",IFERROR(SUMIF(INDIRECT("'"&amp;'Template Setup'!$C$7&amp;"'!C:C"),$A593,INDIRECT("'"&amp;'Template Setup'!$C$7&amp;"'!A:A")),0))</f>
        <v/>
      </c>
      <c r="K593" s="12" t="str">
        <f ca="1">IF($A593="","",IFERROR(SUMIF(INDIRECT("'"&amp;'Template Setup'!$C$8&amp;"'!C:C"),$A593,INDIRECT("'"&amp;'Template Setup'!$C$8&amp;"'!A:A")),0))</f>
        <v/>
      </c>
      <c r="L593" s="11" t="str">
        <f>IF($A593="","",IFERROR(VALUE(MID(TRIM('Template Setup'!$C$4),FIND("-",TRIM('Template Setup'!$C$4))+1,10)),0))</f>
        <v/>
      </c>
      <c r="M593" s="11" t="str">
        <f>IF($A593="","",IFERROR(VALUE(MID(TRIM('Template Setup'!$C$5),FIND("-",TRIM('Template Setup'!$C$5))+1,10)),0))</f>
        <v/>
      </c>
      <c r="N593" s="11" t="str">
        <f>IF($A593="","",IFERROR(VALUE(MID(TRIM('Template Setup'!$C$6),FIND("-",TRIM('Template Setup'!$C$6))+1,10)),0))</f>
        <v/>
      </c>
      <c r="O593" s="11" t="str">
        <f>IF($A593="","",IFERROR(VALUE(MID(TRIM('Template Setup'!$C$7),FIND("-",TRIM('Template Setup'!$C$7))+1,10)),0))</f>
        <v/>
      </c>
      <c r="P593" s="11" t="str">
        <f>IF($A593="","",IFERROR(VALUE(MID(TRIM('Template Setup'!$C$8),FIND("-",TRIM('Template Setup'!$C$8))+1,10)),0))</f>
        <v/>
      </c>
      <c r="Q593" s="9" t="str">
        <f>IF($A593="","",$A593&amp;"-"&amp;'Template Setup'!$C$16)</f>
        <v/>
      </c>
      <c r="R593" s="24" t="str">
        <f t="shared" si="37"/>
        <v/>
      </c>
      <c r="S593" s="24"/>
      <c r="T593" s="24" t="str">
        <f t="shared" si="38"/>
        <v/>
      </c>
      <c r="U593" s="6" t="str">
        <f t="shared" si="36"/>
        <v/>
      </c>
    </row>
    <row r="594" spans="1:21">
      <c r="A594" s="11"/>
      <c r="B594" s="11"/>
      <c r="C594" s="11"/>
      <c r="D594" s="11" t="str">
        <f>IF($A594="","",_xlfn.TEXTJOIN(", ",TRUE,IF($G594&gt;0,'Template Setup'!$C$4,""),IF($H594&gt;0,'Template Setup'!$C$5,""),IF($I594&gt;0,'Template Setup'!$C$6,""),IF($J594&gt;0,'Template Setup'!$C$7,""),IF($K594&gt;0,'Template Setup'!$C$8,"")))</f>
        <v/>
      </c>
      <c r="E594" s="6" t="str" cm="1">
        <f t="array" ref="E594">IF($A594="","",_xlfn.LET(_xlpm.sheets,CHOOSE({1,2,3,4,5},'Template Setup'!$C$4,'Template Setup'!$C$5,'Template Setup'!$C$6,'Template Setup'!$C$7,'Template Setup'!$C$8),_xlpm.nums,CHOOSE({1,2,3,4,5},$L594,$M594,$N594,$O594,$P594),_xlpm.qtys,CHOOSE({1,2,3,4,5},$G594,$H594,$I594,$J594,$K594),_xlpm.validNums,_xlfn._xlws.FILTER(_xlpm.nums,_xlpm.qtys&gt;0),_xlpm.validSheets,_xlfn._xlws.FILTER(_xlpm.sheets,_xlpm.qtys&gt;0),_xlpm.mx,IFERROR(MAX(_xlpm.validNums),0),IF(_xlpm.mx=0,"",INDEX(_xlpm.validSheets,MATCH(_xlpm.mx,_xlpm.validNums,0))&amp;" (+"&amp;$R594&amp;")")))</f>
        <v/>
      </c>
      <c r="F594" s="11" t="str">
        <f t="shared" si="39"/>
        <v/>
      </c>
      <c r="G594" s="12" t="str">
        <f ca="1">IF($A594="","",IFERROR(SUMIF(INDIRECT("'"&amp;'Template Setup'!$C$4&amp;"'!C:C"),$A594,INDIRECT("'"&amp;'Template Setup'!$C$4&amp;"'!A:A")),0))</f>
        <v/>
      </c>
      <c r="H594" s="12" t="str">
        <f ca="1">IF($A594="","",IFERROR(SUMIF(INDIRECT("'"&amp;'Template Setup'!$C$5&amp;"'!C:C"),$A594,INDIRECT("'"&amp;'Template Setup'!$C$5&amp;"'!A:A")),0))</f>
        <v/>
      </c>
      <c r="I594" s="12" t="str">
        <f ca="1">IF($A594="","",IFERROR(SUMIF(INDIRECT("'"&amp;'Template Setup'!$C$6&amp;"'!C:C"),$A594,INDIRECT("'"&amp;'Template Setup'!$C$6&amp;"'!A:A")),0))</f>
        <v/>
      </c>
      <c r="J594" s="12" t="str">
        <f ca="1">IF($A594="","",IFERROR(SUMIF(INDIRECT("'"&amp;'Template Setup'!$C$7&amp;"'!C:C"),$A594,INDIRECT("'"&amp;'Template Setup'!$C$7&amp;"'!A:A")),0))</f>
        <v/>
      </c>
      <c r="K594" s="12" t="str">
        <f ca="1">IF($A594="","",IFERROR(SUMIF(INDIRECT("'"&amp;'Template Setup'!$C$8&amp;"'!C:C"),$A594,INDIRECT("'"&amp;'Template Setup'!$C$8&amp;"'!A:A")),0))</f>
        <v/>
      </c>
      <c r="L594" s="11" t="str">
        <f>IF($A594="","",IFERROR(VALUE(MID(TRIM('Template Setup'!$C$4),FIND("-",TRIM('Template Setup'!$C$4))+1,10)),0))</f>
        <v/>
      </c>
      <c r="M594" s="11" t="str">
        <f>IF($A594="","",IFERROR(VALUE(MID(TRIM('Template Setup'!$C$5),FIND("-",TRIM('Template Setup'!$C$5))+1,10)),0))</f>
        <v/>
      </c>
      <c r="N594" s="11" t="str">
        <f>IF($A594="","",IFERROR(VALUE(MID(TRIM('Template Setup'!$C$6),FIND("-",TRIM('Template Setup'!$C$6))+1,10)),0))</f>
        <v/>
      </c>
      <c r="O594" s="11" t="str">
        <f>IF($A594="","",IFERROR(VALUE(MID(TRIM('Template Setup'!$C$7),FIND("-",TRIM('Template Setup'!$C$7))+1,10)),0))</f>
        <v/>
      </c>
      <c r="P594" s="11" t="str">
        <f>IF($A594="","",IFERROR(VALUE(MID(TRIM('Template Setup'!$C$8),FIND("-",TRIM('Template Setup'!$C$8))+1,10)),0))</f>
        <v/>
      </c>
      <c r="Q594" s="9" t="str">
        <f>IF($A594="","",$A594&amp;"-"&amp;'Template Setup'!$C$16)</f>
        <v/>
      </c>
      <c r="R594" s="24" t="str">
        <f t="shared" si="37"/>
        <v/>
      </c>
      <c r="S594" s="24"/>
      <c r="T594" s="24" t="str">
        <f t="shared" si="38"/>
        <v/>
      </c>
      <c r="U594" s="6" t="str">
        <f t="shared" ref="U594:U657" si="40">IF($A594="","","☐")</f>
        <v/>
      </c>
    </row>
    <row r="595" spans="1:21">
      <c r="A595" s="11"/>
      <c r="B595" s="11"/>
      <c r="C595" s="11"/>
      <c r="D595" s="11" t="str">
        <f>IF($A595="","",_xlfn.TEXTJOIN(", ",TRUE,IF($G595&gt;0,'Template Setup'!$C$4,""),IF($H595&gt;0,'Template Setup'!$C$5,""),IF($I595&gt;0,'Template Setup'!$C$6,""),IF($J595&gt;0,'Template Setup'!$C$7,""),IF($K595&gt;0,'Template Setup'!$C$8,"")))</f>
        <v/>
      </c>
      <c r="E595" s="6" t="str" cm="1">
        <f t="array" ref="E595">IF($A595="","",_xlfn.LET(_xlpm.sheets,CHOOSE({1,2,3,4,5},'Template Setup'!$C$4,'Template Setup'!$C$5,'Template Setup'!$C$6,'Template Setup'!$C$7,'Template Setup'!$C$8),_xlpm.nums,CHOOSE({1,2,3,4,5},$L595,$M595,$N595,$O595,$P595),_xlpm.qtys,CHOOSE({1,2,3,4,5},$G595,$H595,$I595,$J595,$K595),_xlpm.validNums,_xlfn._xlws.FILTER(_xlpm.nums,_xlpm.qtys&gt;0),_xlpm.validSheets,_xlfn._xlws.FILTER(_xlpm.sheets,_xlpm.qtys&gt;0),_xlpm.mx,IFERROR(MAX(_xlpm.validNums),0),IF(_xlpm.mx=0,"",INDEX(_xlpm.validSheets,MATCH(_xlpm.mx,_xlpm.validNums,0))&amp;" (+"&amp;$R595&amp;")")))</f>
        <v/>
      </c>
      <c r="F595" s="11" t="str">
        <f t="shared" si="39"/>
        <v/>
      </c>
      <c r="G595" s="12" t="str">
        <f ca="1">IF($A595="","",IFERROR(SUMIF(INDIRECT("'"&amp;'Template Setup'!$C$4&amp;"'!C:C"),$A595,INDIRECT("'"&amp;'Template Setup'!$C$4&amp;"'!A:A")),0))</f>
        <v/>
      </c>
      <c r="H595" s="12" t="str">
        <f ca="1">IF($A595="","",IFERROR(SUMIF(INDIRECT("'"&amp;'Template Setup'!$C$5&amp;"'!C:C"),$A595,INDIRECT("'"&amp;'Template Setup'!$C$5&amp;"'!A:A")),0))</f>
        <v/>
      </c>
      <c r="I595" s="12" t="str">
        <f ca="1">IF($A595="","",IFERROR(SUMIF(INDIRECT("'"&amp;'Template Setup'!$C$6&amp;"'!C:C"),$A595,INDIRECT("'"&amp;'Template Setup'!$C$6&amp;"'!A:A")),0))</f>
        <v/>
      </c>
      <c r="J595" s="12" t="str">
        <f ca="1">IF($A595="","",IFERROR(SUMIF(INDIRECT("'"&amp;'Template Setup'!$C$7&amp;"'!C:C"),$A595,INDIRECT("'"&amp;'Template Setup'!$C$7&amp;"'!A:A")),0))</f>
        <v/>
      </c>
      <c r="K595" s="12" t="str">
        <f ca="1">IF($A595="","",IFERROR(SUMIF(INDIRECT("'"&amp;'Template Setup'!$C$8&amp;"'!C:C"),$A595,INDIRECT("'"&amp;'Template Setup'!$C$8&amp;"'!A:A")),0))</f>
        <v/>
      </c>
      <c r="L595" s="11" t="str">
        <f>IF($A595="","",IFERROR(VALUE(MID(TRIM('Template Setup'!$C$4),FIND("-",TRIM('Template Setup'!$C$4))+1,10)),0))</f>
        <v/>
      </c>
      <c r="M595" s="11" t="str">
        <f>IF($A595="","",IFERROR(VALUE(MID(TRIM('Template Setup'!$C$5),FIND("-",TRIM('Template Setup'!$C$5))+1,10)),0))</f>
        <v/>
      </c>
      <c r="N595" s="11" t="str">
        <f>IF($A595="","",IFERROR(VALUE(MID(TRIM('Template Setup'!$C$6),FIND("-",TRIM('Template Setup'!$C$6))+1,10)),0))</f>
        <v/>
      </c>
      <c r="O595" s="11" t="str">
        <f>IF($A595="","",IFERROR(VALUE(MID(TRIM('Template Setup'!$C$7),FIND("-",TRIM('Template Setup'!$C$7))+1,10)),0))</f>
        <v/>
      </c>
      <c r="P595" s="11" t="str">
        <f>IF($A595="","",IFERROR(VALUE(MID(TRIM('Template Setup'!$C$8),FIND("-",TRIM('Template Setup'!$C$8))+1,10)),0))</f>
        <v/>
      </c>
      <c r="Q595" s="9" t="str">
        <f>IF($A595="","",$A595&amp;"-"&amp;'Template Setup'!$C$16)</f>
        <v/>
      </c>
      <c r="R595" s="24" t="str">
        <f t="shared" si="37"/>
        <v/>
      </c>
      <c r="S595" s="24"/>
      <c r="T595" s="24" t="str">
        <f t="shared" si="38"/>
        <v/>
      </c>
      <c r="U595" s="6" t="str">
        <f t="shared" si="40"/>
        <v/>
      </c>
    </row>
    <row r="596" spans="1:21">
      <c r="A596" s="11"/>
      <c r="B596" s="11"/>
      <c r="C596" s="11"/>
      <c r="D596" s="11" t="str">
        <f>IF($A596="","",_xlfn.TEXTJOIN(", ",TRUE,IF($G596&gt;0,'Template Setup'!$C$4,""),IF($H596&gt;0,'Template Setup'!$C$5,""),IF($I596&gt;0,'Template Setup'!$C$6,""),IF($J596&gt;0,'Template Setup'!$C$7,""),IF($K596&gt;0,'Template Setup'!$C$8,"")))</f>
        <v/>
      </c>
      <c r="E596" s="6" t="str" cm="1">
        <f t="array" ref="E596">IF($A596="","",_xlfn.LET(_xlpm.sheets,CHOOSE({1,2,3,4,5},'Template Setup'!$C$4,'Template Setup'!$C$5,'Template Setup'!$C$6,'Template Setup'!$C$7,'Template Setup'!$C$8),_xlpm.nums,CHOOSE({1,2,3,4,5},$L596,$M596,$N596,$O596,$P596),_xlpm.qtys,CHOOSE({1,2,3,4,5},$G596,$H596,$I596,$J596,$K596),_xlpm.validNums,_xlfn._xlws.FILTER(_xlpm.nums,_xlpm.qtys&gt;0),_xlpm.validSheets,_xlfn._xlws.FILTER(_xlpm.sheets,_xlpm.qtys&gt;0),_xlpm.mx,IFERROR(MAX(_xlpm.validNums),0),IF(_xlpm.mx=0,"",INDEX(_xlpm.validSheets,MATCH(_xlpm.mx,_xlpm.validNums,0))&amp;" (+"&amp;$R596&amp;")")))</f>
        <v/>
      </c>
      <c r="F596" s="11" t="str">
        <f t="shared" si="39"/>
        <v/>
      </c>
      <c r="G596" s="12" t="str">
        <f ca="1">IF($A596="","",IFERROR(SUMIF(INDIRECT("'"&amp;'Template Setup'!$C$4&amp;"'!C:C"),$A596,INDIRECT("'"&amp;'Template Setup'!$C$4&amp;"'!A:A")),0))</f>
        <v/>
      </c>
      <c r="H596" s="12" t="str">
        <f ca="1">IF($A596="","",IFERROR(SUMIF(INDIRECT("'"&amp;'Template Setup'!$C$5&amp;"'!C:C"),$A596,INDIRECT("'"&amp;'Template Setup'!$C$5&amp;"'!A:A")),0))</f>
        <v/>
      </c>
      <c r="I596" s="12" t="str">
        <f ca="1">IF($A596="","",IFERROR(SUMIF(INDIRECT("'"&amp;'Template Setup'!$C$6&amp;"'!C:C"),$A596,INDIRECT("'"&amp;'Template Setup'!$C$6&amp;"'!A:A")),0))</f>
        <v/>
      </c>
      <c r="J596" s="12" t="str">
        <f ca="1">IF($A596="","",IFERROR(SUMIF(INDIRECT("'"&amp;'Template Setup'!$C$7&amp;"'!C:C"),$A596,INDIRECT("'"&amp;'Template Setup'!$C$7&amp;"'!A:A")),0))</f>
        <v/>
      </c>
      <c r="K596" s="12" t="str">
        <f ca="1">IF($A596="","",IFERROR(SUMIF(INDIRECT("'"&amp;'Template Setup'!$C$8&amp;"'!C:C"),$A596,INDIRECT("'"&amp;'Template Setup'!$C$8&amp;"'!A:A")),0))</f>
        <v/>
      </c>
      <c r="L596" s="11" t="str">
        <f>IF($A596="","",IFERROR(VALUE(MID(TRIM('Template Setup'!$C$4),FIND("-",TRIM('Template Setup'!$C$4))+1,10)),0))</f>
        <v/>
      </c>
      <c r="M596" s="11" t="str">
        <f>IF($A596="","",IFERROR(VALUE(MID(TRIM('Template Setup'!$C$5),FIND("-",TRIM('Template Setup'!$C$5))+1,10)),0))</f>
        <v/>
      </c>
      <c r="N596" s="11" t="str">
        <f>IF($A596="","",IFERROR(VALUE(MID(TRIM('Template Setup'!$C$6),FIND("-",TRIM('Template Setup'!$C$6))+1,10)),0))</f>
        <v/>
      </c>
      <c r="O596" s="11" t="str">
        <f>IF($A596="","",IFERROR(VALUE(MID(TRIM('Template Setup'!$C$7),FIND("-",TRIM('Template Setup'!$C$7))+1,10)),0))</f>
        <v/>
      </c>
      <c r="P596" s="11" t="str">
        <f>IF($A596="","",IFERROR(VALUE(MID(TRIM('Template Setup'!$C$8),FIND("-",TRIM('Template Setup'!$C$8))+1,10)),0))</f>
        <v/>
      </c>
      <c r="Q596" s="9" t="str">
        <f>IF($A596="","",$A596&amp;"-"&amp;'Template Setup'!$C$16)</f>
        <v/>
      </c>
      <c r="R596" s="24" t="str">
        <f t="shared" si="37"/>
        <v/>
      </c>
      <c r="S596" s="24"/>
      <c r="T596" s="24" t="str">
        <f t="shared" si="38"/>
        <v/>
      </c>
      <c r="U596" s="6" t="str">
        <f t="shared" si="40"/>
        <v/>
      </c>
    </row>
    <row r="597" spans="1:21">
      <c r="A597" s="11"/>
      <c r="B597" s="11"/>
      <c r="C597" s="11"/>
      <c r="D597" s="11" t="str">
        <f>IF($A597="","",_xlfn.TEXTJOIN(", ",TRUE,IF($G597&gt;0,'Template Setup'!$C$4,""),IF($H597&gt;0,'Template Setup'!$C$5,""),IF($I597&gt;0,'Template Setup'!$C$6,""),IF($J597&gt;0,'Template Setup'!$C$7,""),IF($K597&gt;0,'Template Setup'!$C$8,"")))</f>
        <v/>
      </c>
      <c r="E597" s="6" t="str" cm="1">
        <f t="array" ref="E597">IF($A597="","",_xlfn.LET(_xlpm.sheets,CHOOSE({1,2,3,4,5},'Template Setup'!$C$4,'Template Setup'!$C$5,'Template Setup'!$C$6,'Template Setup'!$C$7,'Template Setup'!$C$8),_xlpm.nums,CHOOSE({1,2,3,4,5},$L597,$M597,$N597,$O597,$P597),_xlpm.qtys,CHOOSE({1,2,3,4,5},$G597,$H597,$I597,$J597,$K597),_xlpm.validNums,_xlfn._xlws.FILTER(_xlpm.nums,_xlpm.qtys&gt;0),_xlpm.validSheets,_xlfn._xlws.FILTER(_xlpm.sheets,_xlpm.qtys&gt;0),_xlpm.mx,IFERROR(MAX(_xlpm.validNums),0),IF(_xlpm.mx=0,"",INDEX(_xlpm.validSheets,MATCH(_xlpm.mx,_xlpm.validNums,0))&amp;" (+"&amp;$R597&amp;")")))</f>
        <v/>
      </c>
      <c r="F597" s="11" t="str">
        <f t="shared" si="39"/>
        <v/>
      </c>
      <c r="G597" s="12" t="str">
        <f ca="1">IF($A597="","",IFERROR(SUMIF(INDIRECT("'"&amp;'Template Setup'!$C$4&amp;"'!C:C"),$A597,INDIRECT("'"&amp;'Template Setup'!$C$4&amp;"'!A:A")),0))</f>
        <v/>
      </c>
      <c r="H597" s="12" t="str">
        <f ca="1">IF($A597="","",IFERROR(SUMIF(INDIRECT("'"&amp;'Template Setup'!$C$5&amp;"'!C:C"),$A597,INDIRECT("'"&amp;'Template Setup'!$C$5&amp;"'!A:A")),0))</f>
        <v/>
      </c>
      <c r="I597" s="12" t="str">
        <f ca="1">IF($A597="","",IFERROR(SUMIF(INDIRECT("'"&amp;'Template Setup'!$C$6&amp;"'!C:C"),$A597,INDIRECT("'"&amp;'Template Setup'!$C$6&amp;"'!A:A")),0))</f>
        <v/>
      </c>
      <c r="J597" s="12" t="str">
        <f ca="1">IF($A597="","",IFERROR(SUMIF(INDIRECT("'"&amp;'Template Setup'!$C$7&amp;"'!C:C"),$A597,INDIRECT("'"&amp;'Template Setup'!$C$7&amp;"'!A:A")),0))</f>
        <v/>
      </c>
      <c r="K597" s="12" t="str">
        <f ca="1">IF($A597="","",IFERROR(SUMIF(INDIRECT("'"&amp;'Template Setup'!$C$8&amp;"'!C:C"),$A597,INDIRECT("'"&amp;'Template Setup'!$C$8&amp;"'!A:A")),0))</f>
        <v/>
      </c>
      <c r="L597" s="11" t="str">
        <f>IF($A597="","",IFERROR(VALUE(MID(TRIM('Template Setup'!$C$4),FIND("-",TRIM('Template Setup'!$C$4))+1,10)),0))</f>
        <v/>
      </c>
      <c r="M597" s="11" t="str">
        <f>IF($A597="","",IFERROR(VALUE(MID(TRIM('Template Setup'!$C$5),FIND("-",TRIM('Template Setup'!$C$5))+1,10)),0))</f>
        <v/>
      </c>
      <c r="N597" s="11" t="str">
        <f>IF($A597="","",IFERROR(VALUE(MID(TRIM('Template Setup'!$C$6),FIND("-",TRIM('Template Setup'!$C$6))+1,10)),0))</f>
        <v/>
      </c>
      <c r="O597" s="11" t="str">
        <f>IF($A597="","",IFERROR(VALUE(MID(TRIM('Template Setup'!$C$7),FIND("-",TRIM('Template Setup'!$C$7))+1,10)),0))</f>
        <v/>
      </c>
      <c r="P597" s="11" t="str">
        <f>IF($A597="","",IFERROR(VALUE(MID(TRIM('Template Setup'!$C$8),FIND("-",TRIM('Template Setup'!$C$8))+1,10)),0))</f>
        <v/>
      </c>
      <c r="Q597" s="9" t="str">
        <f>IF($A597="","",$A597&amp;"-"&amp;'Template Setup'!$C$16)</f>
        <v/>
      </c>
      <c r="R597" s="24" t="str">
        <f t="shared" si="37"/>
        <v/>
      </c>
      <c r="S597" s="24"/>
      <c r="T597" s="24" t="str">
        <f t="shared" si="38"/>
        <v/>
      </c>
      <c r="U597" s="6" t="str">
        <f t="shared" si="40"/>
        <v/>
      </c>
    </row>
    <row r="598" spans="1:21">
      <c r="A598" s="11"/>
      <c r="B598" s="11"/>
      <c r="C598" s="11"/>
      <c r="D598" s="11" t="str">
        <f>IF($A598="","",_xlfn.TEXTJOIN(", ",TRUE,IF($G598&gt;0,'Template Setup'!$C$4,""),IF($H598&gt;0,'Template Setup'!$C$5,""),IF($I598&gt;0,'Template Setup'!$C$6,""),IF($J598&gt;0,'Template Setup'!$C$7,""),IF($K598&gt;0,'Template Setup'!$C$8,"")))</f>
        <v/>
      </c>
      <c r="E598" s="6" t="str" cm="1">
        <f t="array" ref="E598">IF($A598="","",_xlfn.LET(_xlpm.sheets,CHOOSE({1,2,3,4,5},'Template Setup'!$C$4,'Template Setup'!$C$5,'Template Setup'!$C$6,'Template Setup'!$C$7,'Template Setup'!$C$8),_xlpm.nums,CHOOSE({1,2,3,4,5},$L598,$M598,$N598,$O598,$P598),_xlpm.qtys,CHOOSE({1,2,3,4,5},$G598,$H598,$I598,$J598,$K598),_xlpm.validNums,_xlfn._xlws.FILTER(_xlpm.nums,_xlpm.qtys&gt;0),_xlpm.validSheets,_xlfn._xlws.FILTER(_xlpm.sheets,_xlpm.qtys&gt;0),_xlpm.mx,IFERROR(MAX(_xlpm.validNums),0),IF(_xlpm.mx=0,"",INDEX(_xlpm.validSheets,MATCH(_xlpm.mx,_xlpm.validNums,0))&amp;" (+"&amp;$R598&amp;")")))</f>
        <v/>
      </c>
      <c r="F598" s="11" t="str">
        <f t="shared" si="39"/>
        <v/>
      </c>
      <c r="G598" s="12" t="str">
        <f ca="1">IF($A598="","",IFERROR(SUMIF(INDIRECT("'"&amp;'Template Setup'!$C$4&amp;"'!C:C"),$A598,INDIRECT("'"&amp;'Template Setup'!$C$4&amp;"'!A:A")),0))</f>
        <v/>
      </c>
      <c r="H598" s="12" t="str">
        <f ca="1">IF($A598="","",IFERROR(SUMIF(INDIRECT("'"&amp;'Template Setup'!$C$5&amp;"'!C:C"),$A598,INDIRECT("'"&amp;'Template Setup'!$C$5&amp;"'!A:A")),0))</f>
        <v/>
      </c>
      <c r="I598" s="12" t="str">
        <f ca="1">IF($A598="","",IFERROR(SUMIF(INDIRECT("'"&amp;'Template Setup'!$C$6&amp;"'!C:C"),$A598,INDIRECT("'"&amp;'Template Setup'!$C$6&amp;"'!A:A")),0))</f>
        <v/>
      </c>
      <c r="J598" s="12" t="str">
        <f ca="1">IF($A598="","",IFERROR(SUMIF(INDIRECT("'"&amp;'Template Setup'!$C$7&amp;"'!C:C"),$A598,INDIRECT("'"&amp;'Template Setup'!$C$7&amp;"'!A:A")),0))</f>
        <v/>
      </c>
      <c r="K598" s="12" t="str">
        <f ca="1">IF($A598="","",IFERROR(SUMIF(INDIRECT("'"&amp;'Template Setup'!$C$8&amp;"'!C:C"),$A598,INDIRECT("'"&amp;'Template Setup'!$C$8&amp;"'!A:A")),0))</f>
        <v/>
      </c>
      <c r="L598" s="11" t="str">
        <f>IF($A598="","",IFERROR(VALUE(MID(TRIM('Template Setup'!$C$4),FIND("-",TRIM('Template Setup'!$C$4))+1,10)),0))</f>
        <v/>
      </c>
      <c r="M598" s="11" t="str">
        <f>IF($A598="","",IFERROR(VALUE(MID(TRIM('Template Setup'!$C$5),FIND("-",TRIM('Template Setup'!$C$5))+1,10)),0))</f>
        <v/>
      </c>
      <c r="N598" s="11" t="str">
        <f>IF($A598="","",IFERROR(VALUE(MID(TRIM('Template Setup'!$C$6),FIND("-",TRIM('Template Setup'!$C$6))+1,10)),0))</f>
        <v/>
      </c>
      <c r="O598" s="11" t="str">
        <f>IF($A598="","",IFERROR(VALUE(MID(TRIM('Template Setup'!$C$7),FIND("-",TRIM('Template Setup'!$C$7))+1,10)),0))</f>
        <v/>
      </c>
      <c r="P598" s="11" t="str">
        <f>IF($A598="","",IFERROR(VALUE(MID(TRIM('Template Setup'!$C$8),FIND("-",TRIM('Template Setup'!$C$8))+1,10)),0))</f>
        <v/>
      </c>
      <c r="Q598" s="9" t="str">
        <f>IF($A598="","",$A598&amp;"-"&amp;'Template Setup'!$C$16)</f>
        <v/>
      </c>
      <c r="R598" s="24" t="str">
        <f t="shared" si="37"/>
        <v/>
      </c>
      <c r="S598" s="24"/>
      <c r="T598" s="24" t="str">
        <f t="shared" si="38"/>
        <v/>
      </c>
      <c r="U598" s="6" t="str">
        <f t="shared" si="40"/>
        <v/>
      </c>
    </row>
    <row r="599" spans="1:21">
      <c r="A599" s="11"/>
      <c r="B599" s="11"/>
      <c r="C599" s="11"/>
      <c r="D599" s="11" t="str">
        <f>IF($A599="","",_xlfn.TEXTJOIN(", ",TRUE,IF($G599&gt;0,'Template Setup'!$C$4,""),IF($H599&gt;0,'Template Setup'!$C$5,""),IF($I599&gt;0,'Template Setup'!$C$6,""),IF($J599&gt;0,'Template Setup'!$C$7,""),IF($K599&gt;0,'Template Setup'!$C$8,"")))</f>
        <v/>
      </c>
      <c r="E599" s="6" t="str" cm="1">
        <f t="array" ref="E599">IF($A599="","",_xlfn.LET(_xlpm.sheets,CHOOSE({1,2,3,4,5},'Template Setup'!$C$4,'Template Setup'!$C$5,'Template Setup'!$C$6,'Template Setup'!$C$7,'Template Setup'!$C$8),_xlpm.nums,CHOOSE({1,2,3,4,5},$L599,$M599,$N599,$O599,$P599),_xlpm.qtys,CHOOSE({1,2,3,4,5},$G599,$H599,$I599,$J599,$K599),_xlpm.validNums,_xlfn._xlws.FILTER(_xlpm.nums,_xlpm.qtys&gt;0),_xlpm.validSheets,_xlfn._xlws.FILTER(_xlpm.sheets,_xlpm.qtys&gt;0),_xlpm.mx,IFERROR(MAX(_xlpm.validNums),0),IF(_xlpm.mx=0,"",INDEX(_xlpm.validSheets,MATCH(_xlpm.mx,_xlpm.validNums,0))&amp;" (+"&amp;$R599&amp;")")))</f>
        <v/>
      </c>
      <c r="F599" s="11" t="str">
        <f t="shared" si="39"/>
        <v/>
      </c>
      <c r="G599" s="12" t="str">
        <f ca="1">IF($A599="","",IFERROR(SUMIF(INDIRECT("'"&amp;'Template Setup'!$C$4&amp;"'!C:C"),$A599,INDIRECT("'"&amp;'Template Setup'!$C$4&amp;"'!A:A")),0))</f>
        <v/>
      </c>
      <c r="H599" s="12" t="str">
        <f ca="1">IF($A599="","",IFERROR(SUMIF(INDIRECT("'"&amp;'Template Setup'!$C$5&amp;"'!C:C"),$A599,INDIRECT("'"&amp;'Template Setup'!$C$5&amp;"'!A:A")),0))</f>
        <v/>
      </c>
      <c r="I599" s="12" t="str">
        <f ca="1">IF($A599="","",IFERROR(SUMIF(INDIRECT("'"&amp;'Template Setup'!$C$6&amp;"'!C:C"),$A599,INDIRECT("'"&amp;'Template Setup'!$C$6&amp;"'!A:A")),0))</f>
        <v/>
      </c>
      <c r="J599" s="12" t="str">
        <f ca="1">IF($A599="","",IFERROR(SUMIF(INDIRECT("'"&amp;'Template Setup'!$C$7&amp;"'!C:C"),$A599,INDIRECT("'"&amp;'Template Setup'!$C$7&amp;"'!A:A")),0))</f>
        <v/>
      </c>
      <c r="K599" s="12" t="str">
        <f ca="1">IF($A599="","",IFERROR(SUMIF(INDIRECT("'"&amp;'Template Setup'!$C$8&amp;"'!C:C"),$A599,INDIRECT("'"&amp;'Template Setup'!$C$8&amp;"'!A:A")),0))</f>
        <v/>
      </c>
      <c r="L599" s="11" t="str">
        <f>IF($A599="","",IFERROR(VALUE(MID(TRIM('Template Setup'!$C$4),FIND("-",TRIM('Template Setup'!$C$4))+1,10)),0))</f>
        <v/>
      </c>
      <c r="M599" s="11" t="str">
        <f>IF($A599="","",IFERROR(VALUE(MID(TRIM('Template Setup'!$C$5),FIND("-",TRIM('Template Setup'!$C$5))+1,10)),0))</f>
        <v/>
      </c>
      <c r="N599" s="11" t="str">
        <f>IF($A599="","",IFERROR(VALUE(MID(TRIM('Template Setup'!$C$6),FIND("-",TRIM('Template Setup'!$C$6))+1,10)),0))</f>
        <v/>
      </c>
      <c r="O599" s="11" t="str">
        <f>IF($A599="","",IFERROR(VALUE(MID(TRIM('Template Setup'!$C$7),FIND("-",TRIM('Template Setup'!$C$7))+1,10)),0))</f>
        <v/>
      </c>
      <c r="P599" s="11" t="str">
        <f>IF($A599="","",IFERROR(VALUE(MID(TRIM('Template Setup'!$C$8),FIND("-",TRIM('Template Setup'!$C$8))+1,10)),0))</f>
        <v/>
      </c>
      <c r="Q599" s="9" t="str">
        <f>IF($A599="","",$A599&amp;"-"&amp;'Template Setup'!$C$16)</f>
        <v/>
      </c>
      <c r="R599" s="24" t="str">
        <f t="shared" si="37"/>
        <v/>
      </c>
      <c r="S599" s="24"/>
      <c r="T599" s="24" t="str">
        <f t="shared" si="38"/>
        <v/>
      </c>
      <c r="U599" s="6" t="str">
        <f t="shared" si="40"/>
        <v/>
      </c>
    </row>
    <row r="600" spans="1:21">
      <c r="A600" s="11"/>
      <c r="B600" s="11"/>
      <c r="C600" s="11"/>
      <c r="D600" s="11" t="str">
        <f>IF($A600="","",_xlfn.TEXTJOIN(", ",TRUE,IF($G600&gt;0,'Template Setup'!$C$4,""),IF($H600&gt;0,'Template Setup'!$C$5,""),IF($I600&gt;0,'Template Setup'!$C$6,""),IF($J600&gt;0,'Template Setup'!$C$7,""),IF($K600&gt;0,'Template Setup'!$C$8,"")))</f>
        <v/>
      </c>
      <c r="E600" s="6" t="str" cm="1">
        <f t="array" ref="E600">IF($A600="","",_xlfn.LET(_xlpm.sheets,CHOOSE({1,2,3,4,5},'Template Setup'!$C$4,'Template Setup'!$C$5,'Template Setup'!$C$6,'Template Setup'!$C$7,'Template Setup'!$C$8),_xlpm.nums,CHOOSE({1,2,3,4,5},$L600,$M600,$N600,$O600,$P600),_xlpm.qtys,CHOOSE({1,2,3,4,5},$G600,$H600,$I600,$J600,$K600),_xlpm.validNums,_xlfn._xlws.FILTER(_xlpm.nums,_xlpm.qtys&gt;0),_xlpm.validSheets,_xlfn._xlws.FILTER(_xlpm.sheets,_xlpm.qtys&gt;0),_xlpm.mx,IFERROR(MAX(_xlpm.validNums),0),IF(_xlpm.mx=0,"",INDEX(_xlpm.validSheets,MATCH(_xlpm.mx,_xlpm.validNums,0))&amp;" (+"&amp;$R600&amp;")")))</f>
        <v/>
      </c>
      <c r="F600" s="11" t="str">
        <f t="shared" si="39"/>
        <v/>
      </c>
      <c r="G600" s="12" t="str">
        <f ca="1">IF($A600="","",IFERROR(SUMIF(INDIRECT("'"&amp;'Template Setup'!$C$4&amp;"'!C:C"),$A600,INDIRECT("'"&amp;'Template Setup'!$C$4&amp;"'!A:A")),0))</f>
        <v/>
      </c>
      <c r="H600" s="12" t="str">
        <f ca="1">IF($A600="","",IFERROR(SUMIF(INDIRECT("'"&amp;'Template Setup'!$C$5&amp;"'!C:C"),$A600,INDIRECT("'"&amp;'Template Setup'!$C$5&amp;"'!A:A")),0))</f>
        <v/>
      </c>
      <c r="I600" s="12" t="str">
        <f ca="1">IF($A600="","",IFERROR(SUMIF(INDIRECT("'"&amp;'Template Setup'!$C$6&amp;"'!C:C"),$A600,INDIRECT("'"&amp;'Template Setup'!$C$6&amp;"'!A:A")),0))</f>
        <v/>
      </c>
      <c r="J600" s="12" t="str">
        <f ca="1">IF($A600="","",IFERROR(SUMIF(INDIRECT("'"&amp;'Template Setup'!$C$7&amp;"'!C:C"),$A600,INDIRECT("'"&amp;'Template Setup'!$C$7&amp;"'!A:A")),0))</f>
        <v/>
      </c>
      <c r="K600" s="12" t="str">
        <f ca="1">IF($A600="","",IFERROR(SUMIF(INDIRECT("'"&amp;'Template Setup'!$C$8&amp;"'!C:C"),$A600,INDIRECT("'"&amp;'Template Setup'!$C$8&amp;"'!A:A")),0))</f>
        <v/>
      </c>
      <c r="L600" s="11" t="str">
        <f>IF($A600="","",IFERROR(VALUE(MID(TRIM('Template Setup'!$C$4),FIND("-",TRIM('Template Setup'!$C$4))+1,10)),0))</f>
        <v/>
      </c>
      <c r="M600" s="11" t="str">
        <f>IF($A600="","",IFERROR(VALUE(MID(TRIM('Template Setup'!$C$5),FIND("-",TRIM('Template Setup'!$C$5))+1,10)),0))</f>
        <v/>
      </c>
      <c r="N600" s="11" t="str">
        <f>IF($A600="","",IFERROR(VALUE(MID(TRIM('Template Setup'!$C$6),FIND("-",TRIM('Template Setup'!$C$6))+1,10)),0))</f>
        <v/>
      </c>
      <c r="O600" s="11" t="str">
        <f>IF($A600="","",IFERROR(VALUE(MID(TRIM('Template Setup'!$C$7),FIND("-",TRIM('Template Setup'!$C$7))+1,10)),0))</f>
        <v/>
      </c>
      <c r="P600" s="11" t="str">
        <f>IF($A600="","",IFERROR(VALUE(MID(TRIM('Template Setup'!$C$8),FIND("-",TRIM('Template Setup'!$C$8))+1,10)),0))</f>
        <v/>
      </c>
      <c r="Q600" s="9" t="str">
        <f>IF($A600="","",$A600&amp;"-"&amp;'Template Setup'!$C$16)</f>
        <v/>
      </c>
      <c r="R600" s="24" t="str">
        <f t="shared" si="37"/>
        <v/>
      </c>
      <c r="S600" s="24"/>
      <c r="T600" s="24" t="str">
        <f t="shared" si="38"/>
        <v/>
      </c>
      <c r="U600" s="6" t="str">
        <f t="shared" si="40"/>
        <v/>
      </c>
    </row>
    <row r="601" spans="1:21">
      <c r="A601" s="11"/>
      <c r="B601" s="11"/>
      <c r="C601" s="11"/>
      <c r="D601" s="11" t="str">
        <f>IF($A601="","",_xlfn.TEXTJOIN(", ",TRUE,IF($G601&gt;0,'Template Setup'!$C$4,""),IF($H601&gt;0,'Template Setup'!$C$5,""),IF($I601&gt;0,'Template Setup'!$C$6,""),IF($J601&gt;0,'Template Setup'!$C$7,""),IF($K601&gt;0,'Template Setup'!$C$8,"")))</f>
        <v/>
      </c>
      <c r="E601" s="6" t="str" cm="1">
        <f t="array" ref="E601">IF($A601="","",_xlfn.LET(_xlpm.sheets,CHOOSE({1,2,3,4,5},'Template Setup'!$C$4,'Template Setup'!$C$5,'Template Setup'!$C$6,'Template Setup'!$C$7,'Template Setup'!$C$8),_xlpm.nums,CHOOSE({1,2,3,4,5},$L601,$M601,$N601,$O601,$P601),_xlpm.qtys,CHOOSE({1,2,3,4,5},$G601,$H601,$I601,$J601,$K601),_xlpm.validNums,_xlfn._xlws.FILTER(_xlpm.nums,_xlpm.qtys&gt;0),_xlpm.validSheets,_xlfn._xlws.FILTER(_xlpm.sheets,_xlpm.qtys&gt;0),_xlpm.mx,IFERROR(MAX(_xlpm.validNums),0),IF(_xlpm.mx=0,"",INDEX(_xlpm.validSheets,MATCH(_xlpm.mx,_xlpm.validNums,0))&amp;" (+"&amp;$R601&amp;")")))</f>
        <v/>
      </c>
      <c r="F601" s="11" t="str">
        <f t="shared" si="39"/>
        <v/>
      </c>
      <c r="G601" s="12" t="str">
        <f ca="1">IF($A601="","",IFERROR(SUMIF(INDIRECT("'"&amp;'Template Setup'!$C$4&amp;"'!C:C"),$A601,INDIRECT("'"&amp;'Template Setup'!$C$4&amp;"'!A:A")),0))</f>
        <v/>
      </c>
      <c r="H601" s="12" t="str">
        <f ca="1">IF($A601="","",IFERROR(SUMIF(INDIRECT("'"&amp;'Template Setup'!$C$5&amp;"'!C:C"),$A601,INDIRECT("'"&amp;'Template Setup'!$C$5&amp;"'!A:A")),0))</f>
        <v/>
      </c>
      <c r="I601" s="12" t="str">
        <f ca="1">IF($A601="","",IFERROR(SUMIF(INDIRECT("'"&amp;'Template Setup'!$C$6&amp;"'!C:C"),$A601,INDIRECT("'"&amp;'Template Setup'!$C$6&amp;"'!A:A")),0))</f>
        <v/>
      </c>
      <c r="J601" s="12" t="str">
        <f ca="1">IF($A601="","",IFERROR(SUMIF(INDIRECT("'"&amp;'Template Setup'!$C$7&amp;"'!C:C"),$A601,INDIRECT("'"&amp;'Template Setup'!$C$7&amp;"'!A:A")),0))</f>
        <v/>
      </c>
      <c r="K601" s="12" t="str">
        <f ca="1">IF($A601="","",IFERROR(SUMIF(INDIRECT("'"&amp;'Template Setup'!$C$8&amp;"'!C:C"),$A601,INDIRECT("'"&amp;'Template Setup'!$C$8&amp;"'!A:A")),0))</f>
        <v/>
      </c>
      <c r="L601" s="11" t="str">
        <f>IF($A601="","",IFERROR(VALUE(MID(TRIM('Template Setup'!$C$4),FIND("-",TRIM('Template Setup'!$C$4))+1,10)),0))</f>
        <v/>
      </c>
      <c r="M601" s="11" t="str">
        <f>IF($A601="","",IFERROR(VALUE(MID(TRIM('Template Setup'!$C$5),FIND("-",TRIM('Template Setup'!$C$5))+1,10)),0))</f>
        <v/>
      </c>
      <c r="N601" s="11" t="str">
        <f>IF($A601="","",IFERROR(VALUE(MID(TRIM('Template Setup'!$C$6),FIND("-",TRIM('Template Setup'!$C$6))+1,10)),0))</f>
        <v/>
      </c>
      <c r="O601" s="11" t="str">
        <f>IF($A601="","",IFERROR(VALUE(MID(TRIM('Template Setup'!$C$7),FIND("-",TRIM('Template Setup'!$C$7))+1,10)),0))</f>
        <v/>
      </c>
      <c r="P601" s="11" t="str">
        <f>IF($A601="","",IFERROR(VALUE(MID(TRIM('Template Setup'!$C$8),FIND("-",TRIM('Template Setup'!$C$8))+1,10)),0))</f>
        <v/>
      </c>
      <c r="Q601" s="9" t="str">
        <f>IF($A601="","",$A601&amp;"-"&amp;'Template Setup'!$C$16)</f>
        <v/>
      </c>
      <c r="R601" s="24" t="str">
        <f t="shared" si="37"/>
        <v/>
      </c>
      <c r="S601" s="24"/>
      <c r="T601" s="24" t="str">
        <f t="shared" si="38"/>
        <v/>
      </c>
      <c r="U601" s="6" t="str">
        <f t="shared" si="40"/>
        <v/>
      </c>
    </row>
    <row r="602" spans="1:21">
      <c r="A602" s="11"/>
      <c r="B602" s="11"/>
      <c r="C602" s="11"/>
      <c r="D602" s="11" t="str">
        <f>IF($A602="","",_xlfn.TEXTJOIN(", ",TRUE,IF($G602&gt;0,'Template Setup'!$C$4,""),IF($H602&gt;0,'Template Setup'!$C$5,""),IF($I602&gt;0,'Template Setup'!$C$6,""),IF($J602&gt;0,'Template Setup'!$C$7,""),IF($K602&gt;0,'Template Setup'!$C$8,"")))</f>
        <v/>
      </c>
      <c r="E602" s="6" t="str" cm="1">
        <f t="array" ref="E602">IF($A602="","",_xlfn.LET(_xlpm.sheets,CHOOSE({1,2,3,4,5},'Template Setup'!$C$4,'Template Setup'!$C$5,'Template Setup'!$C$6,'Template Setup'!$C$7,'Template Setup'!$C$8),_xlpm.nums,CHOOSE({1,2,3,4,5},$L602,$M602,$N602,$O602,$P602),_xlpm.qtys,CHOOSE({1,2,3,4,5},$G602,$H602,$I602,$J602,$K602),_xlpm.validNums,_xlfn._xlws.FILTER(_xlpm.nums,_xlpm.qtys&gt;0),_xlpm.validSheets,_xlfn._xlws.FILTER(_xlpm.sheets,_xlpm.qtys&gt;0),_xlpm.mx,IFERROR(MAX(_xlpm.validNums),0),IF(_xlpm.mx=0,"",INDEX(_xlpm.validSheets,MATCH(_xlpm.mx,_xlpm.validNums,0))&amp;" (+"&amp;$R602&amp;")")))</f>
        <v/>
      </c>
      <c r="F602" s="11" t="str">
        <f t="shared" si="39"/>
        <v/>
      </c>
      <c r="G602" s="12" t="str">
        <f ca="1">IF($A602="","",IFERROR(SUMIF(INDIRECT("'"&amp;'Template Setup'!$C$4&amp;"'!C:C"),$A602,INDIRECT("'"&amp;'Template Setup'!$C$4&amp;"'!A:A")),0))</f>
        <v/>
      </c>
      <c r="H602" s="12" t="str">
        <f ca="1">IF($A602="","",IFERROR(SUMIF(INDIRECT("'"&amp;'Template Setup'!$C$5&amp;"'!C:C"),$A602,INDIRECT("'"&amp;'Template Setup'!$C$5&amp;"'!A:A")),0))</f>
        <v/>
      </c>
      <c r="I602" s="12" t="str">
        <f ca="1">IF($A602="","",IFERROR(SUMIF(INDIRECT("'"&amp;'Template Setup'!$C$6&amp;"'!C:C"),$A602,INDIRECT("'"&amp;'Template Setup'!$C$6&amp;"'!A:A")),0))</f>
        <v/>
      </c>
      <c r="J602" s="12" t="str">
        <f ca="1">IF($A602="","",IFERROR(SUMIF(INDIRECT("'"&amp;'Template Setup'!$C$7&amp;"'!C:C"),$A602,INDIRECT("'"&amp;'Template Setup'!$C$7&amp;"'!A:A")),0))</f>
        <v/>
      </c>
      <c r="K602" s="12" t="str">
        <f ca="1">IF($A602="","",IFERROR(SUMIF(INDIRECT("'"&amp;'Template Setup'!$C$8&amp;"'!C:C"),$A602,INDIRECT("'"&amp;'Template Setup'!$C$8&amp;"'!A:A")),0))</f>
        <v/>
      </c>
      <c r="L602" s="11" t="str">
        <f>IF($A602="","",IFERROR(VALUE(MID(TRIM('Template Setup'!$C$4),FIND("-",TRIM('Template Setup'!$C$4))+1,10)),0))</f>
        <v/>
      </c>
      <c r="M602" s="11" t="str">
        <f>IF($A602="","",IFERROR(VALUE(MID(TRIM('Template Setup'!$C$5),FIND("-",TRIM('Template Setup'!$C$5))+1,10)),0))</f>
        <v/>
      </c>
      <c r="N602" s="11" t="str">
        <f>IF($A602="","",IFERROR(VALUE(MID(TRIM('Template Setup'!$C$6),FIND("-",TRIM('Template Setup'!$C$6))+1,10)),0))</f>
        <v/>
      </c>
      <c r="O602" s="11" t="str">
        <f>IF($A602="","",IFERROR(VALUE(MID(TRIM('Template Setup'!$C$7),FIND("-",TRIM('Template Setup'!$C$7))+1,10)),0))</f>
        <v/>
      </c>
      <c r="P602" s="11" t="str">
        <f>IF($A602="","",IFERROR(VALUE(MID(TRIM('Template Setup'!$C$8),FIND("-",TRIM('Template Setup'!$C$8))+1,10)),0))</f>
        <v/>
      </c>
      <c r="Q602" s="9" t="str">
        <f>IF($A602="","",$A602&amp;"-"&amp;'Template Setup'!$C$16)</f>
        <v/>
      </c>
      <c r="R602" s="24" t="str">
        <f t="shared" si="37"/>
        <v/>
      </c>
      <c r="S602" s="24"/>
      <c r="T602" s="24" t="str">
        <f t="shared" si="38"/>
        <v/>
      </c>
      <c r="U602" s="6" t="str">
        <f t="shared" si="40"/>
        <v/>
      </c>
    </row>
    <row r="603" spans="1:21">
      <c r="A603" s="11"/>
      <c r="B603" s="11"/>
      <c r="C603" s="11"/>
      <c r="D603" s="11" t="str">
        <f>IF($A603="","",_xlfn.TEXTJOIN(", ",TRUE,IF($G603&gt;0,'Template Setup'!$C$4,""),IF($H603&gt;0,'Template Setup'!$C$5,""),IF($I603&gt;0,'Template Setup'!$C$6,""),IF($J603&gt;0,'Template Setup'!$C$7,""),IF($K603&gt;0,'Template Setup'!$C$8,"")))</f>
        <v/>
      </c>
      <c r="E603" s="6" t="str" cm="1">
        <f t="array" ref="E603">IF($A603="","",_xlfn.LET(_xlpm.sheets,CHOOSE({1,2,3,4,5},'Template Setup'!$C$4,'Template Setup'!$C$5,'Template Setup'!$C$6,'Template Setup'!$C$7,'Template Setup'!$C$8),_xlpm.nums,CHOOSE({1,2,3,4,5},$L603,$M603,$N603,$O603,$P603),_xlpm.qtys,CHOOSE({1,2,3,4,5},$G603,$H603,$I603,$J603,$K603),_xlpm.validNums,_xlfn._xlws.FILTER(_xlpm.nums,_xlpm.qtys&gt;0),_xlpm.validSheets,_xlfn._xlws.FILTER(_xlpm.sheets,_xlpm.qtys&gt;0),_xlpm.mx,IFERROR(MAX(_xlpm.validNums),0),IF(_xlpm.mx=0,"",INDEX(_xlpm.validSheets,MATCH(_xlpm.mx,_xlpm.validNums,0))&amp;" (+"&amp;$R603&amp;")")))</f>
        <v/>
      </c>
      <c r="F603" s="11" t="str">
        <f t="shared" si="39"/>
        <v/>
      </c>
      <c r="G603" s="12" t="str">
        <f ca="1">IF($A603="","",IFERROR(SUMIF(INDIRECT("'"&amp;'Template Setup'!$C$4&amp;"'!C:C"),$A603,INDIRECT("'"&amp;'Template Setup'!$C$4&amp;"'!A:A")),0))</f>
        <v/>
      </c>
      <c r="H603" s="12" t="str">
        <f ca="1">IF($A603="","",IFERROR(SUMIF(INDIRECT("'"&amp;'Template Setup'!$C$5&amp;"'!C:C"),$A603,INDIRECT("'"&amp;'Template Setup'!$C$5&amp;"'!A:A")),0))</f>
        <v/>
      </c>
      <c r="I603" s="12" t="str">
        <f ca="1">IF($A603="","",IFERROR(SUMIF(INDIRECT("'"&amp;'Template Setup'!$C$6&amp;"'!C:C"),$A603,INDIRECT("'"&amp;'Template Setup'!$C$6&amp;"'!A:A")),0))</f>
        <v/>
      </c>
      <c r="J603" s="12" t="str">
        <f ca="1">IF($A603="","",IFERROR(SUMIF(INDIRECT("'"&amp;'Template Setup'!$C$7&amp;"'!C:C"),$A603,INDIRECT("'"&amp;'Template Setup'!$C$7&amp;"'!A:A")),0))</f>
        <v/>
      </c>
      <c r="K603" s="12" t="str">
        <f ca="1">IF($A603="","",IFERROR(SUMIF(INDIRECT("'"&amp;'Template Setup'!$C$8&amp;"'!C:C"),$A603,INDIRECT("'"&amp;'Template Setup'!$C$8&amp;"'!A:A")),0))</f>
        <v/>
      </c>
      <c r="L603" s="11" t="str">
        <f>IF($A603="","",IFERROR(VALUE(MID(TRIM('Template Setup'!$C$4),FIND("-",TRIM('Template Setup'!$C$4))+1,10)),0))</f>
        <v/>
      </c>
      <c r="M603" s="11" t="str">
        <f>IF($A603="","",IFERROR(VALUE(MID(TRIM('Template Setup'!$C$5),FIND("-",TRIM('Template Setup'!$C$5))+1,10)),0))</f>
        <v/>
      </c>
      <c r="N603" s="11" t="str">
        <f>IF($A603="","",IFERROR(VALUE(MID(TRIM('Template Setup'!$C$6),FIND("-",TRIM('Template Setup'!$C$6))+1,10)),0))</f>
        <v/>
      </c>
      <c r="O603" s="11" t="str">
        <f>IF($A603="","",IFERROR(VALUE(MID(TRIM('Template Setup'!$C$7),FIND("-",TRIM('Template Setup'!$C$7))+1,10)),0))</f>
        <v/>
      </c>
      <c r="P603" s="11" t="str">
        <f>IF($A603="","",IFERROR(VALUE(MID(TRIM('Template Setup'!$C$8),FIND("-",TRIM('Template Setup'!$C$8))+1,10)),0))</f>
        <v/>
      </c>
      <c r="Q603" s="9" t="str">
        <f>IF($A603="","",$A603&amp;"-"&amp;'Template Setup'!$C$16)</f>
        <v/>
      </c>
      <c r="R603" s="24" t="str">
        <f t="shared" si="37"/>
        <v/>
      </c>
      <c r="S603" s="24"/>
      <c r="T603" s="24" t="str">
        <f t="shared" si="38"/>
        <v/>
      </c>
      <c r="U603" s="6" t="str">
        <f t="shared" si="40"/>
        <v/>
      </c>
    </row>
    <row r="604" spans="1:21">
      <c r="A604" s="11"/>
      <c r="B604" s="11"/>
      <c r="C604" s="11"/>
      <c r="D604" s="11" t="str">
        <f>IF($A604="","",_xlfn.TEXTJOIN(", ",TRUE,IF($G604&gt;0,'Template Setup'!$C$4,""),IF($H604&gt;0,'Template Setup'!$C$5,""),IF($I604&gt;0,'Template Setup'!$C$6,""),IF($J604&gt;0,'Template Setup'!$C$7,""),IF($K604&gt;0,'Template Setup'!$C$8,"")))</f>
        <v/>
      </c>
      <c r="E604" s="6" t="str" cm="1">
        <f t="array" ref="E604">IF($A604="","",_xlfn.LET(_xlpm.sheets,CHOOSE({1,2,3,4,5},'Template Setup'!$C$4,'Template Setup'!$C$5,'Template Setup'!$C$6,'Template Setup'!$C$7,'Template Setup'!$C$8),_xlpm.nums,CHOOSE({1,2,3,4,5},$L604,$M604,$N604,$O604,$P604),_xlpm.qtys,CHOOSE({1,2,3,4,5},$G604,$H604,$I604,$J604,$K604),_xlpm.validNums,_xlfn._xlws.FILTER(_xlpm.nums,_xlpm.qtys&gt;0),_xlpm.validSheets,_xlfn._xlws.FILTER(_xlpm.sheets,_xlpm.qtys&gt;0),_xlpm.mx,IFERROR(MAX(_xlpm.validNums),0),IF(_xlpm.mx=0,"",INDEX(_xlpm.validSheets,MATCH(_xlpm.mx,_xlpm.validNums,0))&amp;" (+"&amp;$R604&amp;")")))</f>
        <v/>
      </c>
      <c r="F604" s="11" t="str">
        <f t="shared" si="39"/>
        <v/>
      </c>
      <c r="G604" s="12" t="str">
        <f ca="1">IF($A604="","",IFERROR(SUMIF(INDIRECT("'"&amp;'Template Setup'!$C$4&amp;"'!C:C"),$A604,INDIRECT("'"&amp;'Template Setup'!$C$4&amp;"'!A:A")),0))</f>
        <v/>
      </c>
      <c r="H604" s="12" t="str">
        <f ca="1">IF($A604="","",IFERROR(SUMIF(INDIRECT("'"&amp;'Template Setup'!$C$5&amp;"'!C:C"),$A604,INDIRECT("'"&amp;'Template Setup'!$C$5&amp;"'!A:A")),0))</f>
        <v/>
      </c>
      <c r="I604" s="12" t="str">
        <f ca="1">IF($A604="","",IFERROR(SUMIF(INDIRECT("'"&amp;'Template Setup'!$C$6&amp;"'!C:C"),$A604,INDIRECT("'"&amp;'Template Setup'!$C$6&amp;"'!A:A")),0))</f>
        <v/>
      </c>
      <c r="J604" s="12" t="str">
        <f ca="1">IF($A604="","",IFERROR(SUMIF(INDIRECT("'"&amp;'Template Setup'!$C$7&amp;"'!C:C"),$A604,INDIRECT("'"&amp;'Template Setup'!$C$7&amp;"'!A:A")),0))</f>
        <v/>
      </c>
      <c r="K604" s="12" t="str">
        <f ca="1">IF($A604="","",IFERROR(SUMIF(INDIRECT("'"&amp;'Template Setup'!$C$8&amp;"'!C:C"),$A604,INDIRECT("'"&amp;'Template Setup'!$C$8&amp;"'!A:A")),0))</f>
        <v/>
      </c>
      <c r="L604" s="11" t="str">
        <f>IF($A604="","",IFERROR(VALUE(MID(TRIM('Template Setup'!$C$4),FIND("-",TRIM('Template Setup'!$C$4))+1,10)),0))</f>
        <v/>
      </c>
      <c r="M604" s="11" t="str">
        <f>IF($A604="","",IFERROR(VALUE(MID(TRIM('Template Setup'!$C$5),FIND("-",TRIM('Template Setup'!$C$5))+1,10)),0))</f>
        <v/>
      </c>
      <c r="N604" s="11" t="str">
        <f>IF($A604="","",IFERROR(VALUE(MID(TRIM('Template Setup'!$C$6),FIND("-",TRIM('Template Setup'!$C$6))+1,10)),0))</f>
        <v/>
      </c>
      <c r="O604" s="11" t="str">
        <f>IF($A604="","",IFERROR(VALUE(MID(TRIM('Template Setup'!$C$7),FIND("-",TRIM('Template Setup'!$C$7))+1,10)),0))</f>
        <v/>
      </c>
      <c r="P604" s="11" t="str">
        <f>IF($A604="","",IFERROR(VALUE(MID(TRIM('Template Setup'!$C$8),FIND("-",TRIM('Template Setup'!$C$8))+1,10)),0))</f>
        <v/>
      </c>
      <c r="Q604" s="9" t="str">
        <f>IF($A604="","",$A604&amp;"-"&amp;'Template Setup'!$C$16)</f>
        <v/>
      </c>
      <c r="R604" s="24" t="str">
        <f t="shared" si="37"/>
        <v/>
      </c>
      <c r="S604" s="24"/>
      <c r="T604" s="24" t="str">
        <f t="shared" si="38"/>
        <v/>
      </c>
      <c r="U604" s="6" t="str">
        <f t="shared" si="40"/>
        <v/>
      </c>
    </row>
    <row r="605" spans="1:21">
      <c r="A605" s="11"/>
      <c r="B605" s="11"/>
      <c r="C605" s="11"/>
      <c r="D605" s="11" t="str">
        <f>IF($A605="","",_xlfn.TEXTJOIN(", ",TRUE,IF($G605&gt;0,'Template Setup'!$C$4,""),IF($H605&gt;0,'Template Setup'!$C$5,""),IF($I605&gt;0,'Template Setup'!$C$6,""),IF($J605&gt;0,'Template Setup'!$C$7,""),IF($K605&gt;0,'Template Setup'!$C$8,"")))</f>
        <v/>
      </c>
      <c r="E605" s="6" t="str" cm="1">
        <f t="array" ref="E605">IF($A605="","",_xlfn.LET(_xlpm.sheets,CHOOSE({1,2,3,4,5},'Template Setup'!$C$4,'Template Setup'!$C$5,'Template Setup'!$C$6,'Template Setup'!$C$7,'Template Setup'!$C$8),_xlpm.nums,CHOOSE({1,2,3,4,5},$L605,$M605,$N605,$O605,$P605),_xlpm.qtys,CHOOSE({1,2,3,4,5},$G605,$H605,$I605,$J605,$K605),_xlpm.validNums,_xlfn._xlws.FILTER(_xlpm.nums,_xlpm.qtys&gt;0),_xlpm.validSheets,_xlfn._xlws.FILTER(_xlpm.sheets,_xlpm.qtys&gt;0),_xlpm.mx,IFERROR(MAX(_xlpm.validNums),0),IF(_xlpm.mx=0,"",INDEX(_xlpm.validSheets,MATCH(_xlpm.mx,_xlpm.validNums,0))&amp;" (+"&amp;$R605&amp;")")))</f>
        <v/>
      </c>
      <c r="F605" s="11" t="str">
        <f t="shared" si="39"/>
        <v/>
      </c>
      <c r="G605" s="12" t="str">
        <f ca="1">IF($A605="","",IFERROR(SUMIF(INDIRECT("'"&amp;'Template Setup'!$C$4&amp;"'!C:C"),$A605,INDIRECT("'"&amp;'Template Setup'!$C$4&amp;"'!A:A")),0))</f>
        <v/>
      </c>
      <c r="H605" s="12" t="str">
        <f ca="1">IF($A605="","",IFERROR(SUMIF(INDIRECT("'"&amp;'Template Setup'!$C$5&amp;"'!C:C"),$A605,INDIRECT("'"&amp;'Template Setup'!$C$5&amp;"'!A:A")),0))</f>
        <v/>
      </c>
      <c r="I605" s="12" t="str">
        <f ca="1">IF($A605="","",IFERROR(SUMIF(INDIRECT("'"&amp;'Template Setup'!$C$6&amp;"'!C:C"),$A605,INDIRECT("'"&amp;'Template Setup'!$C$6&amp;"'!A:A")),0))</f>
        <v/>
      </c>
      <c r="J605" s="12" t="str">
        <f ca="1">IF($A605="","",IFERROR(SUMIF(INDIRECT("'"&amp;'Template Setup'!$C$7&amp;"'!C:C"),$A605,INDIRECT("'"&amp;'Template Setup'!$C$7&amp;"'!A:A")),0))</f>
        <v/>
      </c>
      <c r="K605" s="12" t="str">
        <f ca="1">IF($A605="","",IFERROR(SUMIF(INDIRECT("'"&amp;'Template Setup'!$C$8&amp;"'!C:C"),$A605,INDIRECT("'"&amp;'Template Setup'!$C$8&amp;"'!A:A")),0))</f>
        <v/>
      </c>
      <c r="L605" s="11" t="str">
        <f>IF($A605="","",IFERROR(VALUE(MID(TRIM('Template Setup'!$C$4),FIND("-",TRIM('Template Setup'!$C$4))+1,10)),0))</f>
        <v/>
      </c>
      <c r="M605" s="11" t="str">
        <f>IF($A605="","",IFERROR(VALUE(MID(TRIM('Template Setup'!$C$5),FIND("-",TRIM('Template Setup'!$C$5))+1,10)),0))</f>
        <v/>
      </c>
      <c r="N605" s="11" t="str">
        <f>IF($A605="","",IFERROR(VALUE(MID(TRIM('Template Setup'!$C$6),FIND("-",TRIM('Template Setup'!$C$6))+1,10)),0))</f>
        <v/>
      </c>
      <c r="O605" s="11" t="str">
        <f>IF($A605="","",IFERROR(VALUE(MID(TRIM('Template Setup'!$C$7),FIND("-",TRIM('Template Setup'!$C$7))+1,10)),0))</f>
        <v/>
      </c>
      <c r="P605" s="11" t="str">
        <f>IF($A605="","",IFERROR(VALUE(MID(TRIM('Template Setup'!$C$8),FIND("-",TRIM('Template Setup'!$C$8))+1,10)),0))</f>
        <v/>
      </c>
      <c r="Q605" s="9" t="str">
        <f>IF($A605="","",$A605&amp;"-"&amp;'Template Setup'!$C$16)</f>
        <v/>
      </c>
      <c r="R605" s="24" t="str">
        <f t="shared" si="37"/>
        <v/>
      </c>
      <c r="S605" s="24"/>
      <c r="T605" s="24" t="str">
        <f t="shared" si="38"/>
        <v/>
      </c>
      <c r="U605" s="6" t="str">
        <f t="shared" si="40"/>
        <v/>
      </c>
    </row>
    <row r="606" spans="1:21">
      <c r="A606" s="11"/>
      <c r="B606" s="11"/>
      <c r="C606" s="11"/>
      <c r="D606" s="11" t="str">
        <f>IF($A606="","",_xlfn.TEXTJOIN(", ",TRUE,IF($G606&gt;0,'Template Setup'!$C$4,""),IF($H606&gt;0,'Template Setup'!$C$5,""),IF($I606&gt;0,'Template Setup'!$C$6,""),IF($J606&gt;0,'Template Setup'!$C$7,""),IF($K606&gt;0,'Template Setup'!$C$8,"")))</f>
        <v/>
      </c>
      <c r="E606" s="6" t="str" cm="1">
        <f t="array" ref="E606">IF($A606="","",_xlfn.LET(_xlpm.sheets,CHOOSE({1,2,3,4,5},'Template Setup'!$C$4,'Template Setup'!$C$5,'Template Setup'!$C$6,'Template Setup'!$C$7,'Template Setup'!$C$8),_xlpm.nums,CHOOSE({1,2,3,4,5},$L606,$M606,$N606,$O606,$P606),_xlpm.qtys,CHOOSE({1,2,3,4,5},$G606,$H606,$I606,$J606,$K606),_xlpm.validNums,_xlfn._xlws.FILTER(_xlpm.nums,_xlpm.qtys&gt;0),_xlpm.validSheets,_xlfn._xlws.FILTER(_xlpm.sheets,_xlpm.qtys&gt;0),_xlpm.mx,IFERROR(MAX(_xlpm.validNums),0),IF(_xlpm.mx=0,"",INDEX(_xlpm.validSheets,MATCH(_xlpm.mx,_xlpm.validNums,0))&amp;" (+"&amp;$R606&amp;")")))</f>
        <v/>
      </c>
      <c r="F606" s="11" t="str">
        <f t="shared" si="39"/>
        <v/>
      </c>
      <c r="G606" s="12" t="str">
        <f ca="1">IF($A606="","",IFERROR(SUMIF(INDIRECT("'"&amp;'Template Setup'!$C$4&amp;"'!C:C"),$A606,INDIRECT("'"&amp;'Template Setup'!$C$4&amp;"'!A:A")),0))</f>
        <v/>
      </c>
      <c r="H606" s="12" t="str">
        <f ca="1">IF($A606="","",IFERROR(SUMIF(INDIRECT("'"&amp;'Template Setup'!$C$5&amp;"'!C:C"),$A606,INDIRECT("'"&amp;'Template Setup'!$C$5&amp;"'!A:A")),0))</f>
        <v/>
      </c>
      <c r="I606" s="12" t="str">
        <f ca="1">IF($A606="","",IFERROR(SUMIF(INDIRECT("'"&amp;'Template Setup'!$C$6&amp;"'!C:C"),$A606,INDIRECT("'"&amp;'Template Setup'!$C$6&amp;"'!A:A")),0))</f>
        <v/>
      </c>
      <c r="J606" s="12" t="str">
        <f ca="1">IF($A606="","",IFERROR(SUMIF(INDIRECT("'"&amp;'Template Setup'!$C$7&amp;"'!C:C"),$A606,INDIRECT("'"&amp;'Template Setup'!$C$7&amp;"'!A:A")),0))</f>
        <v/>
      </c>
      <c r="K606" s="12" t="str">
        <f ca="1">IF($A606="","",IFERROR(SUMIF(INDIRECT("'"&amp;'Template Setup'!$C$8&amp;"'!C:C"),$A606,INDIRECT("'"&amp;'Template Setup'!$C$8&amp;"'!A:A")),0))</f>
        <v/>
      </c>
      <c r="L606" s="11" t="str">
        <f>IF($A606="","",IFERROR(VALUE(MID(TRIM('Template Setup'!$C$4),FIND("-",TRIM('Template Setup'!$C$4))+1,10)),0))</f>
        <v/>
      </c>
      <c r="M606" s="11" t="str">
        <f>IF($A606="","",IFERROR(VALUE(MID(TRIM('Template Setup'!$C$5),FIND("-",TRIM('Template Setup'!$C$5))+1,10)),0))</f>
        <v/>
      </c>
      <c r="N606" s="11" t="str">
        <f>IF($A606="","",IFERROR(VALUE(MID(TRIM('Template Setup'!$C$6),FIND("-",TRIM('Template Setup'!$C$6))+1,10)),0))</f>
        <v/>
      </c>
      <c r="O606" s="11" t="str">
        <f>IF($A606="","",IFERROR(VALUE(MID(TRIM('Template Setup'!$C$7),FIND("-",TRIM('Template Setup'!$C$7))+1,10)),0))</f>
        <v/>
      </c>
      <c r="P606" s="11" t="str">
        <f>IF($A606="","",IFERROR(VALUE(MID(TRIM('Template Setup'!$C$8),FIND("-",TRIM('Template Setup'!$C$8))+1,10)),0))</f>
        <v/>
      </c>
      <c r="Q606" s="9" t="str">
        <f>IF($A606="","",$A606&amp;"-"&amp;'Template Setup'!$C$16)</f>
        <v/>
      </c>
      <c r="R606" s="24" t="str">
        <f t="shared" si="37"/>
        <v/>
      </c>
      <c r="S606" s="24"/>
      <c r="T606" s="24" t="str">
        <f t="shared" si="38"/>
        <v/>
      </c>
      <c r="U606" s="6" t="str">
        <f t="shared" si="40"/>
        <v/>
      </c>
    </row>
    <row r="607" spans="1:21">
      <c r="A607" s="11"/>
      <c r="B607" s="11"/>
      <c r="C607" s="11"/>
      <c r="D607" s="11" t="str">
        <f>IF($A607="","",_xlfn.TEXTJOIN(", ",TRUE,IF($G607&gt;0,'Template Setup'!$C$4,""),IF($H607&gt;0,'Template Setup'!$C$5,""),IF($I607&gt;0,'Template Setup'!$C$6,""),IF($J607&gt;0,'Template Setup'!$C$7,""),IF($K607&gt;0,'Template Setup'!$C$8,"")))</f>
        <v/>
      </c>
      <c r="E607" s="6" t="str" cm="1">
        <f t="array" ref="E607">IF($A607="","",_xlfn.LET(_xlpm.sheets,CHOOSE({1,2,3,4,5},'Template Setup'!$C$4,'Template Setup'!$C$5,'Template Setup'!$C$6,'Template Setup'!$C$7,'Template Setup'!$C$8),_xlpm.nums,CHOOSE({1,2,3,4,5},$L607,$M607,$N607,$O607,$P607),_xlpm.qtys,CHOOSE({1,2,3,4,5},$G607,$H607,$I607,$J607,$K607),_xlpm.validNums,_xlfn._xlws.FILTER(_xlpm.nums,_xlpm.qtys&gt;0),_xlpm.validSheets,_xlfn._xlws.FILTER(_xlpm.sheets,_xlpm.qtys&gt;0),_xlpm.mx,IFERROR(MAX(_xlpm.validNums),0),IF(_xlpm.mx=0,"",INDEX(_xlpm.validSheets,MATCH(_xlpm.mx,_xlpm.validNums,0))&amp;" (+"&amp;$R607&amp;")")))</f>
        <v/>
      </c>
      <c r="F607" s="11" t="str">
        <f t="shared" si="39"/>
        <v/>
      </c>
      <c r="G607" s="12" t="str">
        <f ca="1">IF($A607="","",IFERROR(SUMIF(INDIRECT("'"&amp;'Template Setup'!$C$4&amp;"'!C:C"),$A607,INDIRECT("'"&amp;'Template Setup'!$C$4&amp;"'!A:A")),0))</f>
        <v/>
      </c>
      <c r="H607" s="12" t="str">
        <f ca="1">IF($A607="","",IFERROR(SUMIF(INDIRECT("'"&amp;'Template Setup'!$C$5&amp;"'!C:C"),$A607,INDIRECT("'"&amp;'Template Setup'!$C$5&amp;"'!A:A")),0))</f>
        <v/>
      </c>
      <c r="I607" s="12" t="str">
        <f ca="1">IF($A607="","",IFERROR(SUMIF(INDIRECT("'"&amp;'Template Setup'!$C$6&amp;"'!C:C"),$A607,INDIRECT("'"&amp;'Template Setup'!$C$6&amp;"'!A:A")),0))</f>
        <v/>
      </c>
      <c r="J607" s="12" t="str">
        <f ca="1">IF($A607="","",IFERROR(SUMIF(INDIRECT("'"&amp;'Template Setup'!$C$7&amp;"'!C:C"),$A607,INDIRECT("'"&amp;'Template Setup'!$C$7&amp;"'!A:A")),0))</f>
        <v/>
      </c>
      <c r="K607" s="12" t="str">
        <f ca="1">IF($A607="","",IFERROR(SUMIF(INDIRECT("'"&amp;'Template Setup'!$C$8&amp;"'!C:C"),$A607,INDIRECT("'"&amp;'Template Setup'!$C$8&amp;"'!A:A")),0))</f>
        <v/>
      </c>
      <c r="L607" s="11" t="str">
        <f>IF($A607="","",IFERROR(VALUE(MID(TRIM('Template Setup'!$C$4),FIND("-",TRIM('Template Setup'!$C$4))+1,10)),0))</f>
        <v/>
      </c>
      <c r="M607" s="11" t="str">
        <f>IF($A607="","",IFERROR(VALUE(MID(TRIM('Template Setup'!$C$5),FIND("-",TRIM('Template Setup'!$C$5))+1,10)),0))</f>
        <v/>
      </c>
      <c r="N607" s="11" t="str">
        <f>IF($A607="","",IFERROR(VALUE(MID(TRIM('Template Setup'!$C$6),FIND("-",TRIM('Template Setup'!$C$6))+1,10)),0))</f>
        <v/>
      </c>
      <c r="O607" s="11" t="str">
        <f>IF($A607="","",IFERROR(VALUE(MID(TRIM('Template Setup'!$C$7),FIND("-",TRIM('Template Setup'!$C$7))+1,10)),0))</f>
        <v/>
      </c>
      <c r="P607" s="11" t="str">
        <f>IF($A607="","",IFERROR(VALUE(MID(TRIM('Template Setup'!$C$8),FIND("-",TRIM('Template Setup'!$C$8))+1,10)),0))</f>
        <v/>
      </c>
      <c r="Q607" s="9" t="str">
        <f>IF($A607="","",$A607&amp;"-"&amp;'Template Setup'!$C$16)</f>
        <v/>
      </c>
      <c r="R607" s="24" t="str">
        <f t="shared" si="37"/>
        <v/>
      </c>
      <c r="S607" s="24"/>
      <c r="T607" s="24" t="str">
        <f t="shared" si="38"/>
        <v/>
      </c>
      <c r="U607" s="6" t="str">
        <f t="shared" si="40"/>
        <v/>
      </c>
    </row>
    <row r="608" spans="1:21">
      <c r="A608" s="11"/>
      <c r="B608" s="11"/>
      <c r="C608" s="11"/>
      <c r="D608" s="11" t="str">
        <f>IF($A608="","",_xlfn.TEXTJOIN(", ",TRUE,IF($G608&gt;0,'Template Setup'!$C$4,""),IF($H608&gt;0,'Template Setup'!$C$5,""),IF($I608&gt;0,'Template Setup'!$C$6,""),IF($J608&gt;0,'Template Setup'!$C$7,""),IF($K608&gt;0,'Template Setup'!$C$8,"")))</f>
        <v/>
      </c>
      <c r="E608" s="6" t="str" cm="1">
        <f t="array" ref="E608">IF($A608="","",_xlfn.LET(_xlpm.sheets,CHOOSE({1,2,3,4,5},'Template Setup'!$C$4,'Template Setup'!$C$5,'Template Setup'!$C$6,'Template Setup'!$C$7,'Template Setup'!$C$8),_xlpm.nums,CHOOSE({1,2,3,4,5},$L608,$M608,$N608,$O608,$P608),_xlpm.qtys,CHOOSE({1,2,3,4,5},$G608,$H608,$I608,$J608,$K608),_xlpm.validNums,_xlfn._xlws.FILTER(_xlpm.nums,_xlpm.qtys&gt;0),_xlpm.validSheets,_xlfn._xlws.FILTER(_xlpm.sheets,_xlpm.qtys&gt;0),_xlpm.mx,IFERROR(MAX(_xlpm.validNums),0),IF(_xlpm.mx=0,"",INDEX(_xlpm.validSheets,MATCH(_xlpm.mx,_xlpm.validNums,0))&amp;" (+"&amp;$R608&amp;")")))</f>
        <v/>
      </c>
      <c r="F608" s="11" t="str">
        <f t="shared" si="39"/>
        <v/>
      </c>
      <c r="G608" s="12" t="str">
        <f ca="1">IF($A608="","",IFERROR(SUMIF(INDIRECT("'"&amp;'Template Setup'!$C$4&amp;"'!C:C"),$A608,INDIRECT("'"&amp;'Template Setup'!$C$4&amp;"'!A:A")),0))</f>
        <v/>
      </c>
      <c r="H608" s="12" t="str">
        <f ca="1">IF($A608="","",IFERROR(SUMIF(INDIRECT("'"&amp;'Template Setup'!$C$5&amp;"'!C:C"),$A608,INDIRECT("'"&amp;'Template Setup'!$C$5&amp;"'!A:A")),0))</f>
        <v/>
      </c>
      <c r="I608" s="12" t="str">
        <f ca="1">IF($A608="","",IFERROR(SUMIF(INDIRECT("'"&amp;'Template Setup'!$C$6&amp;"'!C:C"),$A608,INDIRECT("'"&amp;'Template Setup'!$C$6&amp;"'!A:A")),0))</f>
        <v/>
      </c>
      <c r="J608" s="12" t="str">
        <f ca="1">IF($A608="","",IFERROR(SUMIF(INDIRECT("'"&amp;'Template Setup'!$C$7&amp;"'!C:C"),$A608,INDIRECT("'"&amp;'Template Setup'!$C$7&amp;"'!A:A")),0))</f>
        <v/>
      </c>
      <c r="K608" s="12" t="str">
        <f ca="1">IF($A608="","",IFERROR(SUMIF(INDIRECT("'"&amp;'Template Setup'!$C$8&amp;"'!C:C"),$A608,INDIRECT("'"&amp;'Template Setup'!$C$8&amp;"'!A:A")),0))</f>
        <v/>
      </c>
      <c r="L608" s="11" t="str">
        <f>IF($A608="","",IFERROR(VALUE(MID(TRIM('Template Setup'!$C$4),FIND("-",TRIM('Template Setup'!$C$4))+1,10)),0))</f>
        <v/>
      </c>
      <c r="M608" s="11" t="str">
        <f>IF($A608="","",IFERROR(VALUE(MID(TRIM('Template Setup'!$C$5),FIND("-",TRIM('Template Setup'!$C$5))+1,10)),0))</f>
        <v/>
      </c>
      <c r="N608" s="11" t="str">
        <f>IF($A608="","",IFERROR(VALUE(MID(TRIM('Template Setup'!$C$6),FIND("-",TRIM('Template Setup'!$C$6))+1,10)),0))</f>
        <v/>
      </c>
      <c r="O608" s="11" t="str">
        <f>IF($A608="","",IFERROR(VALUE(MID(TRIM('Template Setup'!$C$7),FIND("-",TRIM('Template Setup'!$C$7))+1,10)),0))</f>
        <v/>
      </c>
      <c r="P608" s="11" t="str">
        <f>IF($A608="","",IFERROR(VALUE(MID(TRIM('Template Setup'!$C$8),FIND("-",TRIM('Template Setup'!$C$8))+1,10)),0))</f>
        <v/>
      </c>
      <c r="Q608" s="9" t="str">
        <f>IF($A608="","",$A608&amp;"-"&amp;'Template Setup'!$C$16)</f>
        <v/>
      </c>
      <c r="R608" s="24" t="str">
        <f t="shared" si="37"/>
        <v/>
      </c>
      <c r="S608" s="24"/>
      <c r="T608" s="24" t="str">
        <f t="shared" si="38"/>
        <v/>
      </c>
      <c r="U608" s="6" t="str">
        <f t="shared" si="40"/>
        <v/>
      </c>
    </row>
    <row r="609" spans="1:21">
      <c r="A609" s="11"/>
      <c r="B609" s="11"/>
      <c r="C609" s="11"/>
      <c r="D609" s="11" t="str">
        <f>IF($A609="","",_xlfn.TEXTJOIN(", ",TRUE,IF($G609&gt;0,'Template Setup'!$C$4,""),IF($H609&gt;0,'Template Setup'!$C$5,""),IF($I609&gt;0,'Template Setup'!$C$6,""),IF($J609&gt;0,'Template Setup'!$C$7,""),IF($K609&gt;0,'Template Setup'!$C$8,"")))</f>
        <v/>
      </c>
      <c r="E609" s="6" t="str" cm="1">
        <f t="array" ref="E609">IF($A609="","",_xlfn.LET(_xlpm.sheets,CHOOSE({1,2,3,4,5},'Template Setup'!$C$4,'Template Setup'!$C$5,'Template Setup'!$C$6,'Template Setup'!$C$7,'Template Setup'!$C$8),_xlpm.nums,CHOOSE({1,2,3,4,5},$L609,$M609,$N609,$O609,$P609),_xlpm.qtys,CHOOSE({1,2,3,4,5},$G609,$H609,$I609,$J609,$K609),_xlpm.validNums,_xlfn._xlws.FILTER(_xlpm.nums,_xlpm.qtys&gt;0),_xlpm.validSheets,_xlfn._xlws.FILTER(_xlpm.sheets,_xlpm.qtys&gt;0),_xlpm.mx,IFERROR(MAX(_xlpm.validNums),0),IF(_xlpm.mx=0,"",INDEX(_xlpm.validSheets,MATCH(_xlpm.mx,_xlpm.validNums,0))&amp;" (+"&amp;$R609&amp;")")))</f>
        <v/>
      </c>
      <c r="F609" s="11" t="str">
        <f t="shared" si="39"/>
        <v/>
      </c>
      <c r="G609" s="12" t="str">
        <f ca="1">IF($A609="","",IFERROR(SUMIF(INDIRECT("'"&amp;'Template Setup'!$C$4&amp;"'!C:C"),$A609,INDIRECT("'"&amp;'Template Setup'!$C$4&amp;"'!A:A")),0))</f>
        <v/>
      </c>
      <c r="H609" s="12" t="str">
        <f ca="1">IF($A609="","",IFERROR(SUMIF(INDIRECT("'"&amp;'Template Setup'!$C$5&amp;"'!C:C"),$A609,INDIRECT("'"&amp;'Template Setup'!$C$5&amp;"'!A:A")),0))</f>
        <v/>
      </c>
      <c r="I609" s="12" t="str">
        <f ca="1">IF($A609="","",IFERROR(SUMIF(INDIRECT("'"&amp;'Template Setup'!$C$6&amp;"'!C:C"),$A609,INDIRECT("'"&amp;'Template Setup'!$C$6&amp;"'!A:A")),0))</f>
        <v/>
      </c>
      <c r="J609" s="12" t="str">
        <f ca="1">IF($A609="","",IFERROR(SUMIF(INDIRECT("'"&amp;'Template Setup'!$C$7&amp;"'!C:C"),$A609,INDIRECT("'"&amp;'Template Setup'!$C$7&amp;"'!A:A")),0))</f>
        <v/>
      </c>
      <c r="K609" s="12" t="str">
        <f ca="1">IF($A609="","",IFERROR(SUMIF(INDIRECT("'"&amp;'Template Setup'!$C$8&amp;"'!C:C"),$A609,INDIRECT("'"&amp;'Template Setup'!$C$8&amp;"'!A:A")),0))</f>
        <v/>
      </c>
      <c r="L609" s="11" t="str">
        <f>IF($A609="","",IFERROR(VALUE(MID(TRIM('Template Setup'!$C$4),FIND("-",TRIM('Template Setup'!$C$4))+1,10)),0))</f>
        <v/>
      </c>
      <c r="M609" s="11" t="str">
        <f>IF($A609="","",IFERROR(VALUE(MID(TRIM('Template Setup'!$C$5),FIND("-",TRIM('Template Setup'!$C$5))+1,10)),0))</f>
        <v/>
      </c>
      <c r="N609" s="11" t="str">
        <f>IF($A609="","",IFERROR(VALUE(MID(TRIM('Template Setup'!$C$6),FIND("-",TRIM('Template Setup'!$C$6))+1,10)),0))</f>
        <v/>
      </c>
      <c r="O609" s="11" t="str">
        <f>IF($A609="","",IFERROR(VALUE(MID(TRIM('Template Setup'!$C$7),FIND("-",TRIM('Template Setup'!$C$7))+1,10)),0))</f>
        <v/>
      </c>
      <c r="P609" s="11" t="str">
        <f>IF($A609="","",IFERROR(VALUE(MID(TRIM('Template Setup'!$C$8),FIND("-",TRIM('Template Setup'!$C$8))+1,10)),0))</f>
        <v/>
      </c>
      <c r="Q609" s="9" t="str">
        <f>IF($A609="","",$A609&amp;"-"&amp;'Template Setup'!$C$16)</f>
        <v/>
      </c>
      <c r="R609" s="24" t="str">
        <f t="shared" si="37"/>
        <v/>
      </c>
      <c r="S609" s="24"/>
      <c r="T609" s="24" t="str">
        <f t="shared" si="38"/>
        <v/>
      </c>
      <c r="U609" s="6" t="str">
        <f t="shared" si="40"/>
        <v/>
      </c>
    </row>
    <row r="610" spans="1:21">
      <c r="A610" s="11"/>
      <c r="B610" s="11"/>
      <c r="C610" s="11"/>
      <c r="D610" s="11" t="str">
        <f>IF($A610="","",_xlfn.TEXTJOIN(", ",TRUE,IF($G610&gt;0,'Template Setup'!$C$4,""),IF($H610&gt;0,'Template Setup'!$C$5,""),IF($I610&gt;0,'Template Setup'!$C$6,""),IF($J610&gt;0,'Template Setup'!$C$7,""),IF($K610&gt;0,'Template Setup'!$C$8,"")))</f>
        <v/>
      </c>
      <c r="E610" s="6" t="str" cm="1">
        <f t="array" ref="E610">IF($A610="","",_xlfn.LET(_xlpm.sheets,CHOOSE({1,2,3,4,5},'Template Setup'!$C$4,'Template Setup'!$C$5,'Template Setup'!$C$6,'Template Setup'!$C$7,'Template Setup'!$C$8),_xlpm.nums,CHOOSE({1,2,3,4,5},$L610,$M610,$N610,$O610,$P610),_xlpm.qtys,CHOOSE({1,2,3,4,5},$G610,$H610,$I610,$J610,$K610),_xlpm.validNums,_xlfn._xlws.FILTER(_xlpm.nums,_xlpm.qtys&gt;0),_xlpm.validSheets,_xlfn._xlws.FILTER(_xlpm.sheets,_xlpm.qtys&gt;0),_xlpm.mx,IFERROR(MAX(_xlpm.validNums),0),IF(_xlpm.mx=0,"",INDEX(_xlpm.validSheets,MATCH(_xlpm.mx,_xlpm.validNums,0))&amp;" (+"&amp;$R610&amp;")")))</f>
        <v/>
      </c>
      <c r="F610" s="11" t="str">
        <f t="shared" si="39"/>
        <v/>
      </c>
      <c r="G610" s="12" t="str">
        <f ca="1">IF($A610="","",IFERROR(SUMIF(INDIRECT("'"&amp;'Template Setup'!$C$4&amp;"'!C:C"),$A610,INDIRECT("'"&amp;'Template Setup'!$C$4&amp;"'!A:A")),0))</f>
        <v/>
      </c>
      <c r="H610" s="12" t="str">
        <f ca="1">IF($A610="","",IFERROR(SUMIF(INDIRECT("'"&amp;'Template Setup'!$C$5&amp;"'!C:C"),$A610,INDIRECT("'"&amp;'Template Setup'!$C$5&amp;"'!A:A")),0))</f>
        <v/>
      </c>
      <c r="I610" s="12" t="str">
        <f ca="1">IF($A610="","",IFERROR(SUMIF(INDIRECT("'"&amp;'Template Setup'!$C$6&amp;"'!C:C"),$A610,INDIRECT("'"&amp;'Template Setup'!$C$6&amp;"'!A:A")),0))</f>
        <v/>
      </c>
      <c r="J610" s="12" t="str">
        <f ca="1">IF($A610="","",IFERROR(SUMIF(INDIRECT("'"&amp;'Template Setup'!$C$7&amp;"'!C:C"),$A610,INDIRECT("'"&amp;'Template Setup'!$C$7&amp;"'!A:A")),0))</f>
        <v/>
      </c>
      <c r="K610" s="12" t="str">
        <f ca="1">IF($A610="","",IFERROR(SUMIF(INDIRECT("'"&amp;'Template Setup'!$C$8&amp;"'!C:C"),$A610,INDIRECT("'"&amp;'Template Setup'!$C$8&amp;"'!A:A")),0))</f>
        <v/>
      </c>
      <c r="L610" s="11" t="str">
        <f>IF($A610="","",IFERROR(VALUE(MID(TRIM('Template Setup'!$C$4),FIND("-",TRIM('Template Setup'!$C$4))+1,10)),0))</f>
        <v/>
      </c>
      <c r="M610" s="11" t="str">
        <f>IF($A610="","",IFERROR(VALUE(MID(TRIM('Template Setup'!$C$5),FIND("-",TRIM('Template Setup'!$C$5))+1,10)),0))</f>
        <v/>
      </c>
      <c r="N610" s="11" t="str">
        <f>IF($A610="","",IFERROR(VALUE(MID(TRIM('Template Setup'!$C$6),FIND("-",TRIM('Template Setup'!$C$6))+1,10)),0))</f>
        <v/>
      </c>
      <c r="O610" s="11" t="str">
        <f>IF($A610="","",IFERROR(VALUE(MID(TRIM('Template Setup'!$C$7),FIND("-",TRIM('Template Setup'!$C$7))+1,10)),0))</f>
        <v/>
      </c>
      <c r="P610" s="11" t="str">
        <f>IF($A610="","",IFERROR(VALUE(MID(TRIM('Template Setup'!$C$8),FIND("-",TRIM('Template Setup'!$C$8))+1,10)),0))</f>
        <v/>
      </c>
      <c r="Q610" s="9" t="str">
        <f>IF($A610="","",$A610&amp;"-"&amp;'Template Setup'!$C$16)</f>
        <v/>
      </c>
      <c r="R610" s="24" t="str">
        <f t="shared" si="37"/>
        <v/>
      </c>
      <c r="S610" s="24"/>
      <c r="T610" s="24" t="str">
        <f t="shared" si="38"/>
        <v/>
      </c>
      <c r="U610" s="6" t="str">
        <f t="shared" si="40"/>
        <v/>
      </c>
    </row>
    <row r="611" spans="1:21">
      <c r="A611" s="11"/>
      <c r="B611" s="11"/>
      <c r="C611" s="11"/>
      <c r="D611" s="11" t="str">
        <f>IF($A611="","",_xlfn.TEXTJOIN(", ",TRUE,IF($G611&gt;0,'Template Setup'!$C$4,""),IF($H611&gt;0,'Template Setup'!$C$5,""),IF($I611&gt;0,'Template Setup'!$C$6,""),IF($J611&gt;0,'Template Setup'!$C$7,""),IF($K611&gt;0,'Template Setup'!$C$8,"")))</f>
        <v/>
      </c>
      <c r="E611" s="6" t="str" cm="1">
        <f t="array" ref="E611">IF($A611="","",_xlfn.LET(_xlpm.sheets,CHOOSE({1,2,3,4,5},'Template Setup'!$C$4,'Template Setup'!$C$5,'Template Setup'!$C$6,'Template Setup'!$C$7,'Template Setup'!$C$8),_xlpm.nums,CHOOSE({1,2,3,4,5},$L611,$M611,$N611,$O611,$P611),_xlpm.qtys,CHOOSE({1,2,3,4,5},$G611,$H611,$I611,$J611,$K611),_xlpm.validNums,_xlfn._xlws.FILTER(_xlpm.nums,_xlpm.qtys&gt;0),_xlpm.validSheets,_xlfn._xlws.FILTER(_xlpm.sheets,_xlpm.qtys&gt;0),_xlpm.mx,IFERROR(MAX(_xlpm.validNums),0),IF(_xlpm.mx=0,"",INDEX(_xlpm.validSheets,MATCH(_xlpm.mx,_xlpm.validNums,0))&amp;" (+"&amp;$R611&amp;")")))</f>
        <v/>
      </c>
      <c r="F611" s="11" t="str">
        <f t="shared" si="39"/>
        <v/>
      </c>
      <c r="G611" s="12" t="str">
        <f ca="1">IF($A611="","",IFERROR(SUMIF(INDIRECT("'"&amp;'Template Setup'!$C$4&amp;"'!C:C"),$A611,INDIRECT("'"&amp;'Template Setup'!$C$4&amp;"'!A:A")),0))</f>
        <v/>
      </c>
      <c r="H611" s="12" t="str">
        <f ca="1">IF($A611="","",IFERROR(SUMIF(INDIRECT("'"&amp;'Template Setup'!$C$5&amp;"'!C:C"),$A611,INDIRECT("'"&amp;'Template Setup'!$C$5&amp;"'!A:A")),0))</f>
        <v/>
      </c>
      <c r="I611" s="12" t="str">
        <f ca="1">IF($A611="","",IFERROR(SUMIF(INDIRECT("'"&amp;'Template Setup'!$C$6&amp;"'!C:C"),$A611,INDIRECT("'"&amp;'Template Setup'!$C$6&amp;"'!A:A")),0))</f>
        <v/>
      </c>
      <c r="J611" s="12" t="str">
        <f ca="1">IF($A611="","",IFERROR(SUMIF(INDIRECT("'"&amp;'Template Setup'!$C$7&amp;"'!C:C"),$A611,INDIRECT("'"&amp;'Template Setup'!$C$7&amp;"'!A:A")),0))</f>
        <v/>
      </c>
      <c r="K611" s="12" t="str">
        <f ca="1">IF($A611="","",IFERROR(SUMIF(INDIRECT("'"&amp;'Template Setup'!$C$8&amp;"'!C:C"),$A611,INDIRECT("'"&amp;'Template Setup'!$C$8&amp;"'!A:A")),0))</f>
        <v/>
      </c>
      <c r="L611" s="11" t="str">
        <f>IF($A611="","",IFERROR(VALUE(MID(TRIM('Template Setup'!$C$4),FIND("-",TRIM('Template Setup'!$C$4))+1,10)),0))</f>
        <v/>
      </c>
      <c r="M611" s="11" t="str">
        <f>IF($A611="","",IFERROR(VALUE(MID(TRIM('Template Setup'!$C$5),FIND("-",TRIM('Template Setup'!$C$5))+1,10)),0))</f>
        <v/>
      </c>
      <c r="N611" s="11" t="str">
        <f>IF($A611="","",IFERROR(VALUE(MID(TRIM('Template Setup'!$C$6),FIND("-",TRIM('Template Setup'!$C$6))+1,10)),0))</f>
        <v/>
      </c>
      <c r="O611" s="11" t="str">
        <f>IF($A611="","",IFERROR(VALUE(MID(TRIM('Template Setup'!$C$7),FIND("-",TRIM('Template Setup'!$C$7))+1,10)),0))</f>
        <v/>
      </c>
      <c r="P611" s="11" t="str">
        <f>IF($A611="","",IFERROR(VALUE(MID(TRIM('Template Setup'!$C$8),FIND("-",TRIM('Template Setup'!$C$8))+1,10)),0))</f>
        <v/>
      </c>
      <c r="Q611" s="9" t="str">
        <f>IF($A611="","",$A611&amp;"-"&amp;'Template Setup'!$C$16)</f>
        <v/>
      </c>
      <c r="R611" s="24" t="str">
        <f t="shared" si="37"/>
        <v/>
      </c>
      <c r="S611" s="24"/>
      <c r="T611" s="24" t="str">
        <f t="shared" si="38"/>
        <v/>
      </c>
      <c r="U611" s="6" t="str">
        <f t="shared" si="40"/>
        <v/>
      </c>
    </row>
    <row r="612" spans="1:21">
      <c r="A612" s="11"/>
      <c r="B612" s="11"/>
      <c r="C612" s="11"/>
      <c r="D612" s="11" t="str">
        <f>IF($A612="","",_xlfn.TEXTJOIN(", ",TRUE,IF($G612&gt;0,'Template Setup'!$C$4,""),IF($H612&gt;0,'Template Setup'!$C$5,""),IF($I612&gt;0,'Template Setup'!$C$6,""),IF($J612&gt;0,'Template Setup'!$C$7,""),IF($K612&gt;0,'Template Setup'!$C$8,"")))</f>
        <v/>
      </c>
      <c r="E612" s="6" t="str" cm="1">
        <f t="array" ref="E612">IF($A612="","",_xlfn.LET(_xlpm.sheets,CHOOSE({1,2,3,4,5},'Template Setup'!$C$4,'Template Setup'!$C$5,'Template Setup'!$C$6,'Template Setup'!$C$7,'Template Setup'!$C$8),_xlpm.nums,CHOOSE({1,2,3,4,5},$L612,$M612,$N612,$O612,$P612),_xlpm.qtys,CHOOSE({1,2,3,4,5},$G612,$H612,$I612,$J612,$K612),_xlpm.validNums,_xlfn._xlws.FILTER(_xlpm.nums,_xlpm.qtys&gt;0),_xlpm.validSheets,_xlfn._xlws.FILTER(_xlpm.sheets,_xlpm.qtys&gt;0),_xlpm.mx,IFERROR(MAX(_xlpm.validNums),0),IF(_xlpm.mx=0,"",INDEX(_xlpm.validSheets,MATCH(_xlpm.mx,_xlpm.validNums,0))&amp;" (+"&amp;$R612&amp;")")))</f>
        <v/>
      </c>
      <c r="F612" s="11" t="str">
        <f t="shared" si="39"/>
        <v/>
      </c>
      <c r="G612" s="12" t="str">
        <f ca="1">IF($A612="","",IFERROR(SUMIF(INDIRECT("'"&amp;'Template Setup'!$C$4&amp;"'!C:C"),$A612,INDIRECT("'"&amp;'Template Setup'!$C$4&amp;"'!A:A")),0))</f>
        <v/>
      </c>
      <c r="H612" s="12" t="str">
        <f ca="1">IF($A612="","",IFERROR(SUMIF(INDIRECT("'"&amp;'Template Setup'!$C$5&amp;"'!C:C"),$A612,INDIRECT("'"&amp;'Template Setup'!$C$5&amp;"'!A:A")),0))</f>
        <v/>
      </c>
      <c r="I612" s="12" t="str">
        <f ca="1">IF($A612="","",IFERROR(SUMIF(INDIRECT("'"&amp;'Template Setup'!$C$6&amp;"'!C:C"),$A612,INDIRECT("'"&amp;'Template Setup'!$C$6&amp;"'!A:A")),0))</f>
        <v/>
      </c>
      <c r="J612" s="12" t="str">
        <f ca="1">IF($A612="","",IFERROR(SUMIF(INDIRECT("'"&amp;'Template Setup'!$C$7&amp;"'!C:C"),$A612,INDIRECT("'"&amp;'Template Setup'!$C$7&amp;"'!A:A")),0))</f>
        <v/>
      </c>
      <c r="K612" s="12" t="str">
        <f ca="1">IF($A612="","",IFERROR(SUMIF(INDIRECT("'"&amp;'Template Setup'!$C$8&amp;"'!C:C"),$A612,INDIRECT("'"&amp;'Template Setup'!$C$8&amp;"'!A:A")),0))</f>
        <v/>
      </c>
      <c r="L612" s="11" t="str">
        <f>IF($A612="","",IFERROR(VALUE(MID(TRIM('Template Setup'!$C$4),FIND("-",TRIM('Template Setup'!$C$4))+1,10)),0))</f>
        <v/>
      </c>
      <c r="M612" s="11" t="str">
        <f>IF($A612="","",IFERROR(VALUE(MID(TRIM('Template Setup'!$C$5),FIND("-",TRIM('Template Setup'!$C$5))+1,10)),0))</f>
        <v/>
      </c>
      <c r="N612" s="11" t="str">
        <f>IF($A612="","",IFERROR(VALUE(MID(TRIM('Template Setup'!$C$6),FIND("-",TRIM('Template Setup'!$C$6))+1,10)),0))</f>
        <v/>
      </c>
      <c r="O612" s="11" t="str">
        <f>IF($A612="","",IFERROR(VALUE(MID(TRIM('Template Setup'!$C$7),FIND("-",TRIM('Template Setup'!$C$7))+1,10)),0))</f>
        <v/>
      </c>
      <c r="P612" s="11" t="str">
        <f>IF($A612="","",IFERROR(VALUE(MID(TRIM('Template Setup'!$C$8),FIND("-",TRIM('Template Setup'!$C$8))+1,10)),0))</f>
        <v/>
      </c>
      <c r="Q612" s="9" t="str">
        <f>IF($A612="","",$A612&amp;"-"&amp;'Template Setup'!$C$16)</f>
        <v/>
      </c>
      <c r="R612" s="24" t="str">
        <f t="shared" si="37"/>
        <v/>
      </c>
      <c r="S612" s="24"/>
      <c r="T612" s="24" t="str">
        <f t="shared" si="38"/>
        <v/>
      </c>
      <c r="U612" s="6" t="str">
        <f t="shared" si="40"/>
        <v/>
      </c>
    </row>
    <row r="613" spans="1:21">
      <c r="A613" s="11"/>
      <c r="B613" s="11"/>
      <c r="C613" s="11"/>
      <c r="D613" s="11" t="str">
        <f>IF($A613="","",_xlfn.TEXTJOIN(", ",TRUE,IF($G613&gt;0,'Template Setup'!$C$4,""),IF($H613&gt;0,'Template Setup'!$C$5,""),IF($I613&gt;0,'Template Setup'!$C$6,""),IF($J613&gt;0,'Template Setup'!$C$7,""),IF($K613&gt;0,'Template Setup'!$C$8,"")))</f>
        <v/>
      </c>
      <c r="E613" s="6" t="str" cm="1">
        <f t="array" ref="E613">IF($A613="","",_xlfn.LET(_xlpm.sheets,CHOOSE({1,2,3,4,5},'Template Setup'!$C$4,'Template Setup'!$C$5,'Template Setup'!$C$6,'Template Setup'!$C$7,'Template Setup'!$C$8),_xlpm.nums,CHOOSE({1,2,3,4,5},$L613,$M613,$N613,$O613,$P613),_xlpm.qtys,CHOOSE({1,2,3,4,5},$G613,$H613,$I613,$J613,$K613),_xlpm.validNums,_xlfn._xlws.FILTER(_xlpm.nums,_xlpm.qtys&gt;0),_xlpm.validSheets,_xlfn._xlws.FILTER(_xlpm.sheets,_xlpm.qtys&gt;0),_xlpm.mx,IFERROR(MAX(_xlpm.validNums),0),IF(_xlpm.mx=0,"",INDEX(_xlpm.validSheets,MATCH(_xlpm.mx,_xlpm.validNums,0))&amp;" (+"&amp;$R613&amp;")")))</f>
        <v/>
      </c>
      <c r="F613" s="11" t="str">
        <f t="shared" si="39"/>
        <v/>
      </c>
      <c r="G613" s="12" t="str">
        <f ca="1">IF($A613="","",IFERROR(SUMIF(INDIRECT("'"&amp;'Template Setup'!$C$4&amp;"'!C:C"),$A613,INDIRECT("'"&amp;'Template Setup'!$C$4&amp;"'!A:A")),0))</f>
        <v/>
      </c>
      <c r="H613" s="12" t="str">
        <f ca="1">IF($A613="","",IFERROR(SUMIF(INDIRECT("'"&amp;'Template Setup'!$C$5&amp;"'!C:C"),$A613,INDIRECT("'"&amp;'Template Setup'!$C$5&amp;"'!A:A")),0))</f>
        <v/>
      </c>
      <c r="I613" s="12" t="str">
        <f ca="1">IF($A613="","",IFERROR(SUMIF(INDIRECT("'"&amp;'Template Setup'!$C$6&amp;"'!C:C"),$A613,INDIRECT("'"&amp;'Template Setup'!$C$6&amp;"'!A:A")),0))</f>
        <v/>
      </c>
      <c r="J613" s="12" t="str">
        <f ca="1">IF($A613="","",IFERROR(SUMIF(INDIRECT("'"&amp;'Template Setup'!$C$7&amp;"'!C:C"),$A613,INDIRECT("'"&amp;'Template Setup'!$C$7&amp;"'!A:A")),0))</f>
        <v/>
      </c>
      <c r="K613" s="12" t="str">
        <f ca="1">IF($A613="","",IFERROR(SUMIF(INDIRECT("'"&amp;'Template Setup'!$C$8&amp;"'!C:C"),$A613,INDIRECT("'"&amp;'Template Setup'!$C$8&amp;"'!A:A")),0))</f>
        <v/>
      </c>
      <c r="L613" s="11" t="str">
        <f>IF($A613="","",IFERROR(VALUE(MID(TRIM('Template Setup'!$C$4),FIND("-",TRIM('Template Setup'!$C$4))+1,10)),0))</f>
        <v/>
      </c>
      <c r="M613" s="11" t="str">
        <f>IF($A613="","",IFERROR(VALUE(MID(TRIM('Template Setup'!$C$5),FIND("-",TRIM('Template Setup'!$C$5))+1,10)),0))</f>
        <v/>
      </c>
      <c r="N613" s="11" t="str">
        <f>IF($A613="","",IFERROR(VALUE(MID(TRIM('Template Setup'!$C$6),FIND("-",TRIM('Template Setup'!$C$6))+1,10)),0))</f>
        <v/>
      </c>
      <c r="O613" s="11" t="str">
        <f>IF($A613="","",IFERROR(VALUE(MID(TRIM('Template Setup'!$C$7),FIND("-",TRIM('Template Setup'!$C$7))+1,10)),0))</f>
        <v/>
      </c>
      <c r="P613" s="11" t="str">
        <f>IF($A613="","",IFERROR(VALUE(MID(TRIM('Template Setup'!$C$8),FIND("-",TRIM('Template Setup'!$C$8))+1,10)),0))</f>
        <v/>
      </c>
      <c r="Q613" s="9" t="str">
        <f>IF($A613="","",$A613&amp;"-"&amp;'Template Setup'!$C$16)</f>
        <v/>
      </c>
      <c r="R613" s="24" t="str">
        <f t="shared" si="37"/>
        <v/>
      </c>
      <c r="S613" s="24"/>
      <c r="T613" s="24" t="str">
        <f t="shared" si="38"/>
        <v/>
      </c>
      <c r="U613" s="6" t="str">
        <f t="shared" si="40"/>
        <v/>
      </c>
    </row>
    <row r="614" spans="1:21">
      <c r="A614" s="11"/>
      <c r="B614" s="11"/>
      <c r="C614" s="11"/>
      <c r="D614" s="11" t="str">
        <f>IF($A614="","",_xlfn.TEXTJOIN(", ",TRUE,IF($G614&gt;0,'Template Setup'!$C$4,""),IF($H614&gt;0,'Template Setup'!$C$5,""),IF($I614&gt;0,'Template Setup'!$C$6,""),IF($J614&gt;0,'Template Setup'!$C$7,""),IF($K614&gt;0,'Template Setup'!$C$8,"")))</f>
        <v/>
      </c>
      <c r="E614" s="6" t="str" cm="1">
        <f t="array" ref="E614">IF($A614="","",_xlfn.LET(_xlpm.sheets,CHOOSE({1,2,3,4,5},'Template Setup'!$C$4,'Template Setup'!$C$5,'Template Setup'!$C$6,'Template Setup'!$C$7,'Template Setup'!$C$8),_xlpm.nums,CHOOSE({1,2,3,4,5},$L614,$M614,$N614,$O614,$P614),_xlpm.qtys,CHOOSE({1,2,3,4,5},$G614,$H614,$I614,$J614,$K614),_xlpm.validNums,_xlfn._xlws.FILTER(_xlpm.nums,_xlpm.qtys&gt;0),_xlpm.validSheets,_xlfn._xlws.FILTER(_xlpm.sheets,_xlpm.qtys&gt;0),_xlpm.mx,IFERROR(MAX(_xlpm.validNums),0),IF(_xlpm.mx=0,"",INDEX(_xlpm.validSheets,MATCH(_xlpm.mx,_xlpm.validNums,0))&amp;" (+"&amp;$R614&amp;")")))</f>
        <v/>
      </c>
      <c r="F614" s="11" t="str">
        <f t="shared" si="39"/>
        <v/>
      </c>
      <c r="G614" s="12" t="str">
        <f ca="1">IF($A614="","",IFERROR(SUMIF(INDIRECT("'"&amp;'Template Setup'!$C$4&amp;"'!C:C"),$A614,INDIRECT("'"&amp;'Template Setup'!$C$4&amp;"'!A:A")),0))</f>
        <v/>
      </c>
      <c r="H614" s="12" t="str">
        <f ca="1">IF($A614="","",IFERROR(SUMIF(INDIRECT("'"&amp;'Template Setup'!$C$5&amp;"'!C:C"),$A614,INDIRECT("'"&amp;'Template Setup'!$C$5&amp;"'!A:A")),0))</f>
        <v/>
      </c>
      <c r="I614" s="12" t="str">
        <f ca="1">IF($A614="","",IFERROR(SUMIF(INDIRECT("'"&amp;'Template Setup'!$C$6&amp;"'!C:C"),$A614,INDIRECT("'"&amp;'Template Setup'!$C$6&amp;"'!A:A")),0))</f>
        <v/>
      </c>
      <c r="J614" s="12" t="str">
        <f ca="1">IF($A614="","",IFERROR(SUMIF(INDIRECT("'"&amp;'Template Setup'!$C$7&amp;"'!C:C"),$A614,INDIRECT("'"&amp;'Template Setup'!$C$7&amp;"'!A:A")),0))</f>
        <v/>
      </c>
      <c r="K614" s="12" t="str">
        <f ca="1">IF($A614="","",IFERROR(SUMIF(INDIRECT("'"&amp;'Template Setup'!$C$8&amp;"'!C:C"),$A614,INDIRECT("'"&amp;'Template Setup'!$C$8&amp;"'!A:A")),0))</f>
        <v/>
      </c>
      <c r="L614" s="11" t="str">
        <f>IF($A614="","",IFERROR(VALUE(MID(TRIM('Template Setup'!$C$4),FIND("-",TRIM('Template Setup'!$C$4))+1,10)),0))</f>
        <v/>
      </c>
      <c r="M614" s="11" t="str">
        <f>IF($A614="","",IFERROR(VALUE(MID(TRIM('Template Setup'!$C$5),FIND("-",TRIM('Template Setup'!$C$5))+1,10)),0))</f>
        <v/>
      </c>
      <c r="N614" s="11" t="str">
        <f>IF($A614="","",IFERROR(VALUE(MID(TRIM('Template Setup'!$C$6),FIND("-",TRIM('Template Setup'!$C$6))+1,10)),0))</f>
        <v/>
      </c>
      <c r="O614" s="11" t="str">
        <f>IF($A614="","",IFERROR(VALUE(MID(TRIM('Template Setup'!$C$7),FIND("-",TRIM('Template Setup'!$C$7))+1,10)),0))</f>
        <v/>
      </c>
      <c r="P614" s="11" t="str">
        <f>IF($A614="","",IFERROR(VALUE(MID(TRIM('Template Setup'!$C$8),FIND("-",TRIM('Template Setup'!$C$8))+1,10)),0))</f>
        <v/>
      </c>
      <c r="Q614" s="9" t="str">
        <f>IF($A614="","",$A614&amp;"-"&amp;'Template Setup'!$C$16)</f>
        <v/>
      </c>
      <c r="R614" s="24" t="str">
        <f t="shared" si="37"/>
        <v/>
      </c>
      <c r="S614" s="24"/>
      <c r="T614" s="24" t="str">
        <f t="shared" si="38"/>
        <v/>
      </c>
      <c r="U614" s="6" t="str">
        <f t="shared" si="40"/>
        <v/>
      </c>
    </row>
    <row r="615" spans="1:21">
      <c r="A615" s="11"/>
      <c r="B615" s="11"/>
      <c r="C615" s="11"/>
      <c r="D615" s="11" t="str">
        <f>IF($A615="","",_xlfn.TEXTJOIN(", ",TRUE,IF($G615&gt;0,'Template Setup'!$C$4,""),IF($H615&gt;0,'Template Setup'!$C$5,""),IF($I615&gt;0,'Template Setup'!$C$6,""),IF($J615&gt;0,'Template Setup'!$C$7,""),IF($K615&gt;0,'Template Setup'!$C$8,"")))</f>
        <v/>
      </c>
      <c r="E615" s="6" t="str" cm="1">
        <f t="array" ref="E615">IF($A615="","",_xlfn.LET(_xlpm.sheets,CHOOSE({1,2,3,4,5},'Template Setup'!$C$4,'Template Setup'!$C$5,'Template Setup'!$C$6,'Template Setup'!$C$7,'Template Setup'!$C$8),_xlpm.nums,CHOOSE({1,2,3,4,5},$L615,$M615,$N615,$O615,$P615),_xlpm.qtys,CHOOSE({1,2,3,4,5},$G615,$H615,$I615,$J615,$K615),_xlpm.validNums,_xlfn._xlws.FILTER(_xlpm.nums,_xlpm.qtys&gt;0),_xlpm.validSheets,_xlfn._xlws.FILTER(_xlpm.sheets,_xlpm.qtys&gt;0),_xlpm.mx,IFERROR(MAX(_xlpm.validNums),0),IF(_xlpm.mx=0,"",INDEX(_xlpm.validSheets,MATCH(_xlpm.mx,_xlpm.validNums,0))&amp;" (+"&amp;$R615&amp;")")))</f>
        <v/>
      </c>
      <c r="F615" s="11" t="str">
        <f t="shared" si="39"/>
        <v/>
      </c>
      <c r="G615" s="12" t="str">
        <f ca="1">IF($A615="","",IFERROR(SUMIF(INDIRECT("'"&amp;'Template Setup'!$C$4&amp;"'!C:C"),$A615,INDIRECT("'"&amp;'Template Setup'!$C$4&amp;"'!A:A")),0))</f>
        <v/>
      </c>
      <c r="H615" s="12" t="str">
        <f ca="1">IF($A615="","",IFERROR(SUMIF(INDIRECT("'"&amp;'Template Setup'!$C$5&amp;"'!C:C"),$A615,INDIRECT("'"&amp;'Template Setup'!$C$5&amp;"'!A:A")),0))</f>
        <v/>
      </c>
      <c r="I615" s="12" t="str">
        <f ca="1">IF($A615="","",IFERROR(SUMIF(INDIRECT("'"&amp;'Template Setup'!$C$6&amp;"'!C:C"),$A615,INDIRECT("'"&amp;'Template Setup'!$C$6&amp;"'!A:A")),0))</f>
        <v/>
      </c>
      <c r="J615" s="12" t="str">
        <f ca="1">IF($A615="","",IFERROR(SUMIF(INDIRECT("'"&amp;'Template Setup'!$C$7&amp;"'!C:C"),$A615,INDIRECT("'"&amp;'Template Setup'!$C$7&amp;"'!A:A")),0))</f>
        <v/>
      </c>
      <c r="K615" s="12" t="str">
        <f ca="1">IF($A615="","",IFERROR(SUMIF(INDIRECT("'"&amp;'Template Setup'!$C$8&amp;"'!C:C"),$A615,INDIRECT("'"&amp;'Template Setup'!$C$8&amp;"'!A:A")),0))</f>
        <v/>
      </c>
      <c r="L615" s="11" t="str">
        <f>IF($A615="","",IFERROR(VALUE(MID(TRIM('Template Setup'!$C$4),FIND("-",TRIM('Template Setup'!$C$4))+1,10)),0))</f>
        <v/>
      </c>
      <c r="M615" s="11" t="str">
        <f>IF($A615="","",IFERROR(VALUE(MID(TRIM('Template Setup'!$C$5),FIND("-",TRIM('Template Setup'!$C$5))+1,10)),0))</f>
        <v/>
      </c>
      <c r="N615" s="11" t="str">
        <f>IF($A615="","",IFERROR(VALUE(MID(TRIM('Template Setup'!$C$6),FIND("-",TRIM('Template Setup'!$C$6))+1,10)),0))</f>
        <v/>
      </c>
      <c r="O615" s="11" t="str">
        <f>IF($A615="","",IFERROR(VALUE(MID(TRIM('Template Setup'!$C$7),FIND("-",TRIM('Template Setup'!$C$7))+1,10)),0))</f>
        <v/>
      </c>
      <c r="P615" s="11" t="str">
        <f>IF($A615="","",IFERROR(VALUE(MID(TRIM('Template Setup'!$C$8),FIND("-",TRIM('Template Setup'!$C$8))+1,10)),0))</f>
        <v/>
      </c>
      <c r="Q615" s="9" t="str">
        <f>IF($A615="","",$A615&amp;"-"&amp;'Template Setup'!$C$16)</f>
        <v/>
      </c>
      <c r="R615" s="24" t="str">
        <f t="shared" si="37"/>
        <v/>
      </c>
      <c r="S615" s="24"/>
      <c r="T615" s="24" t="str">
        <f t="shared" si="38"/>
        <v/>
      </c>
      <c r="U615" s="6" t="str">
        <f t="shared" si="40"/>
        <v/>
      </c>
    </row>
    <row r="616" spans="1:21">
      <c r="A616" s="11"/>
      <c r="B616" s="11"/>
      <c r="C616" s="11"/>
      <c r="D616" s="11" t="str">
        <f>IF($A616="","",_xlfn.TEXTJOIN(", ",TRUE,IF($G616&gt;0,'Template Setup'!$C$4,""),IF($H616&gt;0,'Template Setup'!$C$5,""),IF($I616&gt;0,'Template Setup'!$C$6,""),IF($J616&gt;0,'Template Setup'!$C$7,""),IF($K616&gt;0,'Template Setup'!$C$8,"")))</f>
        <v/>
      </c>
      <c r="E616" s="6" t="str" cm="1">
        <f t="array" ref="E616">IF($A616="","",_xlfn.LET(_xlpm.sheets,CHOOSE({1,2,3,4,5},'Template Setup'!$C$4,'Template Setup'!$C$5,'Template Setup'!$C$6,'Template Setup'!$C$7,'Template Setup'!$C$8),_xlpm.nums,CHOOSE({1,2,3,4,5},$L616,$M616,$N616,$O616,$P616),_xlpm.qtys,CHOOSE({1,2,3,4,5},$G616,$H616,$I616,$J616,$K616),_xlpm.validNums,_xlfn._xlws.FILTER(_xlpm.nums,_xlpm.qtys&gt;0),_xlpm.validSheets,_xlfn._xlws.FILTER(_xlpm.sheets,_xlpm.qtys&gt;0),_xlpm.mx,IFERROR(MAX(_xlpm.validNums),0),IF(_xlpm.mx=0,"",INDEX(_xlpm.validSheets,MATCH(_xlpm.mx,_xlpm.validNums,0))&amp;" (+"&amp;$R616&amp;")")))</f>
        <v/>
      </c>
      <c r="F616" s="11" t="str">
        <f t="shared" si="39"/>
        <v/>
      </c>
      <c r="G616" s="12" t="str">
        <f ca="1">IF($A616="","",IFERROR(SUMIF(INDIRECT("'"&amp;'Template Setup'!$C$4&amp;"'!C:C"),$A616,INDIRECT("'"&amp;'Template Setup'!$C$4&amp;"'!A:A")),0))</f>
        <v/>
      </c>
      <c r="H616" s="12" t="str">
        <f ca="1">IF($A616="","",IFERROR(SUMIF(INDIRECT("'"&amp;'Template Setup'!$C$5&amp;"'!C:C"),$A616,INDIRECT("'"&amp;'Template Setup'!$C$5&amp;"'!A:A")),0))</f>
        <v/>
      </c>
      <c r="I616" s="12" t="str">
        <f ca="1">IF($A616="","",IFERROR(SUMIF(INDIRECT("'"&amp;'Template Setup'!$C$6&amp;"'!C:C"),$A616,INDIRECT("'"&amp;'Template Setup'!$C$6&amp;"'!A:A")),0))</f>
        <v/>
      </c>
      <c r="J616" s="12" t="str">
        <f ca="1">IF($A616="","",IFERROR(SUMIF(INDIRECT("'"&amp;'Template Setup'!$C$7&amp;"'!C:C"),$A616,INDIRECT("'"&amp;'Template Setup'!$C$7&amp;"'!A:A")),0))</f>
        <v/>
      </c>
      <c r="K616" s="12" t="str">
        <f ca="1">IF($A616="","",IFERROR(SUMIF(INDIRECT("'"&amp;'Template Setup'!$C$8&amp;"'!C:C"),$A616,INDIRECT("'"&amp;'Template Setup'!$C$8&amp;"'!A:A")),0))</f>
        <v/>
      </c>
      <c r="L616" s="11" t="str">
        <f>IF($A616="","",IFERROR(VALUE(MID(TRIM('Template Setup'!$C$4),FIND("-",TRIM('Template Setup'!$C$4))+1,10)),0))</f>
        <v/>
      </c>
      <c r="M616" s="11" t="str">
        <f>IF($A616="","",IFERROR(VALUE(MID(TRIM('Template Setup'!$C$5),FIND("-",TRIM('Template Setup'!$C$5))+1,10)),0))</f>
        <v/>
      </c>
      <c r="N616" s="11" t="str">
        <f>IF($A616="","",IFERROR(VALUE(MID(TRIM('Template Setup'!$C$6),FIND("-",TRIM('Template Setup'!$C$6))+1,10)),0))</f>
        <v/>
      </c>
      <c r="O616" s="11" t="str">
        <f>IF($A616="","",IFERROR(VALUE(MID(TRIM('Template Setup'!$C$7),FIND("-",TRIM('Template Setup'!$C$7))+1,10)),0))</f>
        <v/>
      </c>
      <c r="P616" s="11" t="str">
        <f>IF($A616="","",IFERROR(VALUE(MID(TRIM('Template Setup'!$C$8),FIND("-",TRIM('Template Setup'!$C$8))+1,10)),0))</f>
        <v/>
      </c>
      <c r="Q616" s="9" t="str">
        <f>IF($A616="","",$A616&amp;"-"&amp;'Template Setup'!$C$16)</f>
        <v/>
      </c>
      <c r="R616" s="24" t="str">
        <f t="shared" si="37"/>
        <v/>
      </c>
      <c r="S616" s="24"/>
      <c r="T616" s="24" t="str">
        <f t="shared" si="38"/>
        <v/>
      </c>
      <c r="U616" s="6" t="str">
        <f t="shared" si="40"/>
        <v/>
      </c>
    </row>
    <row r="617" spans="1:21">
      <c r="A617" s="11"/>
      <c r="B617" s="11"/>
      <c r="C617" s="11"/>
      <c r="D617" s="11" t="str">
        <f>IF($A617="","",_xlfn.TEXTJOIN(", ",TRUE,IF($G617&gt;0,'Template Setup'!$C$4,""),IF($H617&gt;0,'Template Setup'!$C$5,""),IF($I617&gt;0,'Template Setup'!$C$6,""),IF($J617&gt;0,'Template Setup'!$C$7,""),IF($K617&gt;0,'Template Setup'!$C$8,"")))</f>
        <v/>
      </c>
      <c r="E617" s="6" t="str" cm="1">
        <f t="array" ref="E617">IF($A617="","",_xlfn.LET(_xlpm.sheets,CHOOSE({1,2,3,4,5},'Template Setup'!$C$4,'Template Setup'!$C$5,'Template Setup'!$C$6,'Template Setup'!$C$7,'Template Setup'!$C$8),_xlpm.nums,CHOOSE({1,2,3,4,5},$L617,$M617,$N617,$O617,$P617),_xlpm.qtys,CHOOSE({1,2,3,4,5},$G617,$H617,$I617,$J617,$K617),_xlpm.validNums,_xlfn._xlws.FILTER(_xlpm.nums,_xlpm.qtys&gt;0),_xlpm.validSheets,_xlfn._xlws.FILTER(_xlpm.sheets,_xlpm.qtys&gt;0),_xlpm.mx,IFERROR(MAX(_xlpm.validNums),0),IF(_xlpm.mx=0,"",INDEX(_xlpm.validSheets,MATCH(_xlpm.mx,_xlpm.validNums,0))&amp;" (+"&amp;$R617&amp;")")))</f>
        <v/>
      </c>
      <c r="F617" s="11" t="str">
        <f t="shared" si="39"/>
        <v/>
      </c>
      <c r="G617" s="12" t="str">
        <f ca="1">IF($A617="","",IFERROR(SUMIF(INDIRECT("'"&amp;'Template Setup'!$C$4&amp;"'!C:C"),$A617,INDIRECT("'"&amp;'Template Setup'!$C$4&amp;"'!A:A")),0))</f>
        <v/>
      </c>
      <c r="H617" s="12" t="str">
        <f ca="1">IF($A617="","",IFERROR(SUMIF(INDIRECT("'"&amp;'Template Setup'!$C$5&amp;"'!C:C"),$A617,INDIRECT("'"&amp;'Template Setup'!$C$5&amp;"'!A:A")),0))</f>
        <v/>
      </c>
      <c r="I617" s="12" t="str">
        <f ca="1">IF($A617="","",IFERROR(SUMIF(INDIRECT("'"&amp;'Template Setup'!$C$6&amp;"'!C:C"),$A617,INDIRECT("'"&amp;'Template Setup'!$C$6&amp;"'!A:A")),0))</f>
        <v/>
      </c>
      <c r="J617" s="12" t="str">
        <f ca="1">IF($A617="","",IFERROR(SUMIF(INDIRECT("'"&amp;'Template Setup'!$C$7&amp;"'!C:C"),$A617,INDIRECT("'"&amp;'Template Setup'!$C$7&amp;"'!A:A")),0))</f>
        <v/>
      </c>
      <c r="K617" s="12" t="str">
        <f ca="1">IF($A617="","",IFERROR(SUMIF(INDIRECT("'"&amp;'Template Setup'!$C$8&amp;"'!C:C"),$A617,INDIRECT("'"&amp;'Template Setup'!$C$8&amp;"'!A:A")),0))</f>
        <v/>
      </c>
      <c r="L617" s="11" t="str">
        <f>IF($A617="","",IFERROR(VALUE(MID(TRIM('Template Setup'!$C$4),FIND("-",TRIM('Template Setup'!$C$4))+1,10)),0))</f>
        <v/>
      </c>
      <c r="M617" s="11" t="str">
        <f>IF($A617="","",IFERROR(VALUE(MID(TRIM('Template Setup'!$C$5),FIND("-",TRIM('Template Setup'!$C$5))+1,10)),0))</f>
        <v/>
      </c>
      <c r="N617" s="11" t="str">
        <f>IF($A617="","",IFERROR(VALUE(MID(TRIM('Template Setup'!$C$6),FIND("-",TRIM('Template Setup'!$C$6))+1,10)),0))</f>
        <v/>
      </c>
      <c r="O617" s="11" t="str">
        <f>IF($A617="","",IFERROR(VALUE(MID(TRIM('Template Setup'!$C$7),FIND("-",TRIM('Template Setup'!$C$7))+1,10)),0))</f>
        <v/>
      </c>
      <c r="P617" s="11" t="str">
        <f>IF($A617="","",IFERROR(VALUE(MID(TRIM('Template Setup'!$C$8),FIND("-",TRIM('Template Setup'!$C$8))+1,10)),0))</f>
        <v/>
      </c>
      <c r="Q617" s="9" t="str">
        <f>IF($A617="","",$A617&amp;"-"&amp;'Template Setup'!$C$16)</f>
        <v/>
      </c>
      <c r="R617" s="24" t="str">
        <f t="shared" si="37"/>
        <v/>
      </c>
      <c r="S617" s="24"/>
      <c r="T617" s="24" t="str">
        <f t="shared" si="38"/>
        <v/>
      </c>
      <c r="U617" s="6" t="str">
        <f t="shared" si="40"/>
        <v/>
      </c>
    </row>
    <row r="618" spans="1:21">
      <c r="A618" s="11"/>
      <c r="B618" s="11"/>
      <c r="C618" s="11"/>
      <c r="D618" s="11" t="str">
        <f>IF($A618="","",_xlfn.TEXTJOIN(", ",TRUE,IF($G618&gt;0,'Template Setup'!$C$4,""),IF($H618&gt;0,'Template Setup'!$C$5,""),IF($I618&gt;0,'Template Setup'!$C$6,""),IF($J618&gt;0,'Template Setup'!$C$7,""),IF($K618&gt;0,'Template Setup'!$C$8,"")))</f>
        <v/>
      </c>
      <c r="E618" s="6" t="str" cm="1">
        <f t="array" ref="E618">IF($A618="","",_xlfn.LET(_xlpm.sheets,CHOOSE({1,2,3,4,5},'Template Setup'!$C$4,'Template Setup'!$C$5,'Template Setup'!$C$6,'Template Setup'!$C$7,'Template Setup'!$C$8),_xlpm.nums,CHOOSE({1,2,3,4,5},$L618,$M618,$N618,$O618,$P618),_xlpm.qtys,CHOOSE({1,2,3,4,5},$G618,$H618,$I618,$J618,$K618),_xlpm.validNums,_xlfn._xlws.FILTER(_xlpm.nums,_xlpm.qtys&gt;0),_xlpm.validSheets,_xlfn._xlws.FILTER(_xlpm.sheets,_xlpm.qtys&gt;0),_xlpm.mx,IFERROR(MAX(_xlpm.validNums),0),IF(_xlpm.mx=0,"",INDEX(_xlpm.validSheets,MATCH(_xlpm.mx,_xlpm.validNums,0))&amp;" (+"&amp;$R618&amp;")")))</f>
        <v/>
      </c>
      <c r="F618" s="11" t="str">
        <f t="shared" si="39"/>
        <v/>
      </c>
      <c r="G618" s="12" t="str">
        <f ca="1">IF($A618="","",IFERROR(SUMIF(INDIRECT("'"&amp;'Template Setup'!$C$4&amp;"'!C:C"),$A618,INDIRECT("'"&amp;'Template Setup'!$C$4&amp;"'!A:A")),0))</f>
        <v/>
      </c>
      <c r="H618" s="12" t="str">
        <f ca="1">IF($A618="","",IFERROR(SUMIF(INDIRECT("'"&amp;'Template Setup'!$C$5&amp;"'!C:C"),$A618,INDIRECT("'"&amp;'Template Setup'!$C$5&amp;"'!A:A")),0))</f>
        <v/>
      </c>
      <c r="I618" s="12" t="str">
        <f ca="1">IF($A618="","",IFERROR(SUMIF(INDIRECT("'"&amp;'Template Setup'!$C$6&amp;"'!C:C"),$A618,INDIRECT("'"&amp;'Template Setup'!$C$6&amp;"'!A:A")),0))</f>
        <v/>
      </c>
      <c r="J618" s="12" t="str">
        <f ca="1">IF($A618="","",IFERROR(SUMIF(INDIRECT("'"&amp;'Template Setup'!$C$7&amp;"'!C:C"),$A618,INDIRECT("'"&amp;'Template Setup'!$C$7&amp;"'!A:A")),0))</f>
        <v/>
      </c>
      <c r="K618" s="12" t="str">
        <f ca="1">IF($A618="","",IFERROR(SUMIF(INDIRECT("'"&amp;'Template Setup'!$C$8&amp;"'!C:C"),$A618,INDIRECT("'"&amp;'Template Setup'!$C$8&amp;"'!A:A")),0))</f>
        <v/>
      </c>
      <c r="L618" s="11" t="str">
        <f>IF($A618="","",IFERROR(VALUE(MID(TRIM('Template Setup'!$C$4),FIND("-",TRIM('Template Setup'!$C$4))+1,10)),0))</f>
        <v/>
      </c>
      <c r="M618" s="11" t="str">
        <f>IF($A618="","",IFERROR(VALUE(MID(TRIM('Template Setup'!$C$5),FIND("-",TRIM('Template Setup'!$C$5))+1,10)),0))</f>
        <v/>
      </c>
      <c r="N618" s="11" t="str">
        <f>IF($A618="","",IFERROR(VALUE(MID(TRIM('Template Setup'!$C$6),FIND("-",TRIM('Template Setup'!$C$6))+1,10)),0))</f>
        <v/>
      </c>
      <c r="O618" s="11" t="str">
        <f>IF($A618="","",IFERROR(VALUE(MID(TRIM('Template Setup'!$C$7),FIND("-",TRIM('Template Setup'!$C$7))+1,10)),0))</f>
        <v/>
      </c>
      <c r="P618" s="11" t="str">
        <f>IF($A618="","",IFERROR(VALUE(MID(TRIM('Template Setup'!$C$8),FIND("-",TRIM('Template Setup'!$C$8))+1,10)),0))</f>
        <v/>
      </c>
      <c r="Q618" s="9" t="str">
        <f>IF($A618="","",$A618&amp;"-"&amp;'Template Setup'!$C$16)</f>
        <v/>
      </c>
      <c r="R618" s="24" t="str">
        <f t="shared" si="37"/>
        <v/>
      </c>
      <c r="S618" s="24"/>
      <c r="T618" s="24" t="str">
        <f t="shared" si="38"/>
        <v/>
      </c>
      <c r="U618" s="6" t="str">
        <f t="shared" si="40"/>
        <v/>
      </c>
    </row>
    <row r="619" spans="1:21">
      <c r="A619" s="11"/>
      <c r="B619" s="11"/>
      <c r="C619" s="11"/>
      <c r="D619" s="11" t="str">
        <f>IF($A619="","",_xlfn.TEXTJOIN(", ",TRUE,IF($G619&gt;0,'Template Setup'!$C$4,""),IF($H619&gt;0,'Template Setup'!$C$5,""),IF($I619&gt;0,'Template Setup'!$C$6,""),IF($J619&gt;0,'Template Setup'!$C$7,""),IF($K619&gt;0,'Template Setup'!$C$8,"")))</f>
        <v/>
      </c>
      <c r="E619" s="6" t="str" cm="1">
        <f t="array" ref="E619">IF($A619="","",_xlfn.LET(_xlpm.sheets,CHOOSE({1,2,3,4,5},'Template Setup'!$C$4,'Template Setup'!$C$5,'Template Setup'!$C$6,'Template Setup'!$C$7,'Template Setup'!$C$8),_xlpm.nums,CHOOSE({1,2,3,4,5},$L619,$M619,$N619,$O619,$P619),_xlpm.qtys,CHOOSE({1,2,3,4,5},$G619,$H619,$I619,$J619,$K619),_xlpm.validNums,_xlfn._xlws.FILTER(_xlpm.nums,_xlpm.qtys&gt;0),_xlpm.validSheets,_xlfn._xlws.FILTER(_xlpm.sheets,_xlpm.qtys&gt;0),_xlpm.mx,IFERROR(MAX(_xlpm.validNums),0),IF(_xlpm.mx=0,"",INDEX(_xlpm.validSheets,MATCH(_xlpm.mx,_xlpm.validNums,0))&amp;" (+"&amp;$R619&amp;")")))</f>
        <v/>
      </c>
      <c r="F619" s="11" t="str">
        <f t="shared" si="39"/>
        <v/>
      </c>
      <c r="G619" s="12" t="str">
        <f ca="1">IF($A619="","",IFERROR(SUMIF(INDIRECT("'"&amp;'Template Setup'!$C$4&amp;"'!C:C"),$A619,INDIRECT("'"&amp;'Template Setup'!$C$4&amp;"'!A:A")),0))</f>
        <v/>
      </c>
      <c r="H619" s="12" t="str">
        <f ca="1">IF($A619="","",IFERROR(SUMIF(INDIRECT("'"&amp;'Template Setup'!$C$5&amp;"'!C:C"),$A619,INDIRECT("'"&amp;'Template Setup'!$C$5&amp;"'!A:A")),0))</f>
        <v/>
      </c>
      <c r="I619" s="12" t="str">
        <f ca="1">IF($A619="","",IFERROR(SUMIF(INDIRECT("'"&amp;'Template Setup'!$C$6&amp;"'!C:C"),$A619,INDIRECT("'"&amp;'Template Setup'!$C$6&amp;"'!A:A")),0))</f>
        <v/>
      </c>
      <c r="J619" s="12" t="str">
        <f ca="1">IF($A619="","",IFERROR(SUMIF(INDIRECT("'"&amp;'Template Setup'!$C$7&amp;"'!C:C"),$A619,INDIRECT("'"&amp;'Template Setup'!$C$7&amp;"'!A:A")),0))</f>
        <v/>
      </c>
      <c r="K619" s="12" t="str">
        <f ca="1">IF($A619="","",IFERROR(SUMIF(INDIRECT("'"&amp;'Template Setup'!$C$8&amp;"'!C:C"),$A619,INDIRECT("'"&amp;'Template Setup'!$C$8&amp;"'!A:A")),0))</f>
        <v/>
      </c>
      <c r="L619" s="11" t="str">
        <f>IF($A619="","",IFERROR(VALUE(MID(TRIM('Template Setup'!$C$4),FIND("-",TRIM('Template Setup'!$C$4))+1,10)),0))</f>
        <v/>
      </c>
      <c r="M619" s="11" t="str">
        <f>IF($A619="","",IFERROR(VALUE(MID(TRIM('Template Setup'!$C$5),FIND("-",TRIM('Template Setup'!$C$5))+1,10)),0))</f>
        <v/>
      </c>
      <c r="N619" s="11" t="str">
        <f>IF($A619="","",IFERROR(VALUE(MID(TRIM('Template Setup'!$C$6),FIND("-",TRIM('Template Setup'!$C$6))+1,10)),0))</f>
        <v/>
      </c>
      <c r="O619" s="11" t="str">
        <f>IF($A619="","",IFERROR(VALUE(MID(TRIM('Template Setup'!$C$7),FIND("-",TRIM('Template Setup'!$C$7))+1,10)),0))</f>
        <v/>
      </c>
      <c r="P619" s="11" t="str">
        <f>IF($A619="","",IFERROR(VALUE(MID(TRIM('Template Setup'!$C$8),FIND("-",TRIM('Template Setup'!$C$8))+1,10)),0))</f>
        <v/>
      </c>
      <c r="Q619" s="9" t="str">
        <f>IF($A619="","",$A619&amp;"-"&amp;'Template Setup'!$C$16)</f>
        <v/>
      </c>
      <c r="R619" s="24" t="str">
        <f t="shared" si="37"/>
        <v/>
      </c>
      <c r="S619" s="24"/>
      <c r="T619" s="24" t="str">
        <f t="shared" si="38"/>
        <v/>
      </c>
      <c r="U619" s="6" t="str">
        <f t="shared" si="40"/>
        <v/>
      </c>
    </row>
    <row r="620" spans="1:21">
      <c r="A620" s="11"/>
      <c r="B620" s="11"/>
      <c r="C620" s="11"/>
      <c r="D620" s="11" t="str">
        <f>IF($A620="","",_xlfn.TEXTJOIN(", ",TRUE,IF($G620&gt;0,'Template Setup'!$C$4,""),IF($H620&gt;0,'Template Setup'!$C$5,""),IF($I620&gt;0,'Template Setup'!$C$6,""),IF($J620&gt;0,'Template Setup'!$C$7,""),IF($K620&gt;0,'Template Setup'!$C$8,"")))</f>
        <v/>
      </c>
      <c r="E620" s="6" t="str" cm="1">
        <f t="array" ref="E620">IF($A620="","",_xlfn.LET(_xlpm.sheets,CHOOSE({1,2,3,4,5},'Template Setup'!$C$4,'Template Setup'!$C$5,'Template Setup'!$C$6,'Template Setup'!$C$7,'Template Setup'!$C$8),_xlpm.nums,CHOOSE({1,2,3,4,5},$L620,$M620,$N620,$O620,$P620),_xlpm.qtys,CHOOSE({1,2,3,4,5},$G620,$H620,$I620,$J620,$K620),_xlpm.validNums,_xlfn._xlws.FILTER(_xlpm.nums,_xlpm.qtys&gt;0),_xlpm.validSheets,_xlfn._xlws.FILTER(_xlpm.sheets,_xlpm.qtys&gt;0),_xlpm.mx,IFERROR(MAX(_xlpm.validNums),0),IF(_xlpm.mx=0,"",INDEX(_xlpm.validSheets,MATCH(_xlpm.mx,_xlpm.validNums,0))&amp;" (+"&amp;$R620&amp;")")))</f>
        <v/>
      </c>
      <c r="F620" s="11" t="str">
        <f t="shared" si="39"/>
        <v/>
      </c>
      <c r="G620" s="12" t="str">
        <f ca="1">IF($A620="","",IFERROR(SUMIF(INDIRECT("'"&amp;'Template Setup'!$C$4&amp;"'!C:C"),$A620,INDIRECT("'"&amp;'Template Setup'!$C$4&amp;"'!A:A")),0))</f>
        <v/>
      </c>
      <c r="H620" s="12" t="str">
        <f ca="1">IF($A620="","",IFERROR(SUMIF(INDIRECT("'"&amp;'Template Setup'!$C$5&amp;"'!C:C"),$A620,INDIRECT("'"&amp;'Template Setup'!$C$5&amp;"'!A:A")),0))</f>
        <v/>
      </c>
      <c r="I620" s="12" t="str">
        <f ca="1">IF($A620="","",IFERROR(SUMIF(INDIRECT("'"&amp;'Template Setup'!$C$6&amp;"'!C:C"),$A620,INDIRECT("'"&amp;'Template Setup'!$C$6&amp;"'!A:A")),0))</f>
        <v/>
      </c>
      <c r="J620" s="12" t="str">
        <f ca="1">IF($A620="","",IFERROR(SUMIF(INDIRECT("'"&amp;'Template Setup'!$C$7&amp;"'!C:C"),$A620,INDIRECT("'"&amp;'Template Setup'!$C$7&amp;"'!A:A")),0))</f>
        <v/>
      </c>
      <c r="K620" s="12" t="str">
        <f ca="1">IF($A620="","",IFERROR(SUMIF(INDIRECT("'"&amp;'Template Setup'!$C$8&amp;"'!C:C"),$A620,INDIRECT("'"&amp;'Template Setup'!$C$8&amp;"'!A:A")),0))</f>
        <v/>
      </c>
      <c r="L620" s="11" t="str">
        <f>IF($A620="","",IFERROR(VALUE(MID(TRIM('Template Setup'!$C$4),FIND("-",TRIM('Template Setup'!$C$4))+1,10)),0))</f>
        <v/>
      </c>
      <c r="M620" s="11" t="str">
        <f>IF($A620="","",IFERROR(VALUE(MID(TRIM('Template Setup'!$C$5),FIND("-",TRIM('Template Setup'!$C$5))+1,10)),0))</f>
        <v/>
      </c>
      <c r="N620" s="11" t="str">
        <f>IF($A620="","",IFERROR(VALUE(MID(TRIM('Template Setup'!$C$6),FIND("-",TRIM('Template Setup'!$C$6))+1,10)),0))</f>
        <v/>
      </c>
      <c r="O620" s="11" t="str">
        <f>IF($A620="","",IFERROR(VALUE(MID(TRIM('Template Setup'!$C$7),FIND("-",TRIM('Template Setup'!$C$7))+1,10)),0))</f>
        <v/>
      </c>
      <c r="P620" s="11" t="str">
        <f>IF($A620="","",IFERROR(VALUE(MID(TRIM('Template Setup'!$C$8),FIND("-",TRIM('Template Setup'!$C$8))+1,10)),0))</f>
        <v/>
      </c>
      <c r="Q620" s="9" t="str">
        <f>IF($A620="","",$A620&amp;"-"&amp;'Template Setup'!$C$16)</f>
        <v/>
      </c>
      <c r="R620" s="24" t="str">
        <f t="shared" si="37"/>
        <v/>
      </c>
      <c r="S620" s="24"/>
      <c r="T620" s="24" t="str">
        <f t="shared" si="38"/>
        <v/>
      </c>
      <c r="U620" s="6" t="str">
        <f t="shared" si="40"/>
        <v/>
      </c>
    </row>
    <row r="621" spans="1:21">
      <c r="A621" s="11"/>
      <c r="B621" s="11"/>
      <c r="C621" s="11"/>
      <c r="D621" s="11" t="str">
        <f>IF($A621="","",_xlfn.TEXTJOIN(", ",TRUE,IF($G621&gt;0,'Template Setup'!$C$4,""),IF($H621&gt;0,'Template Setup'!$C$5,""),IF($I621&gt;0,'Template Setup'!$C$6,""),IF($J621&gt;0,'Template Setup'!$C$7,""),IF($K621&gt;0,'Template Setup'!$C$8,"")))</f>
        <v/>
      </c>
      <c r="E621" s="6" t="str" cm="1">
        <f t="array" ref="E621">IF($A621="","",_xlfn.LET(_xlpm.sheets,CHOOSE({1,2,3,4,5},'Template Setup'!$C$4,'Template Setup'!$C$5,'Template Setup'!$C$6,'Template Setup'!$C$7,'Template Setup'!$C$8),_xlpm.nums,CHOOSE({1,2,3,4,5},$L621,$M621,$N621,$O621,$P621),_xlpm.qtys,CHOOSE({1,2,3,4,5},$G621,$H621,$I621,$J621,$K621),_xlpm.validNums,_xlfn._xlws.FILTER(_xlpm.nums,_xlpm.qtys&gt;0),_xlpm.validSheets,_xlfn._xlws.FILTER(_xlpm.sheets,_xlpm.qtys&gt;0),_xlpm.mx,IFERROR(MAX(_xlpm.validNums),0),IF(_xlpm.mx=0,"",INDEX(_xlpm.validSheets,MATCH(_xlpm.mx,_xlpm.validNums,0))&amp;" (+"&amp;$R621&amp;")")))</f>
        <v/>
      </c>
      <c r="F621" s="11" t="str">
        <f t="shared" si="39"/>
        <v/>
      </c>
      <c r="G621" s="12" t="str">
        <f ca="1">IF($A621="","",IFERROR(SUMIF(INDIRECT("'"&amp;'Template Setup'!$C$4&amp;"'!C:C"),$A621,INDIRECT("'"&amp;'Template Setup'!$C$4&amp;"'!A:A")),0))</f>
        <v/>
      </c>
      <c r="H621" s="12" t="str">
        <f ca="1">IF($A621="","",IFERROR(SUMIF(INDIRECT("'"&amp;'Template Setup'!$C$5&amp;"'!C:C"),$A621,INDIRECT("'"&amp;'Template Setup'!$C$5&amp;"'!A:A")),0))</f>
        <v/>
      </c>
      <c r="I621" s="12" t="str">
        <f ca="1">IF($A621="","",IFERROR(SUMIF(INDIRECT("'"&amp;'Template Setup'!$C$6&amp;"'!C:C"),$A621,INDIRECT("'"&amp;'Template Setup'!$C$6&amp;"'!A:A")),0))</f>
        <v/>
      </c>
      <c r="J621" s="12" t="str">
        <f ca="1">IF($A621="","",IFERROR(SUMIF(INDIRECT("'"&amp;'Template Setup'!$C$7&amp;"'!C:C"),$A621,INDIRECT("'"&amp;'Template Setup'!$C$7&amp;"'!A:A")),0))</f>
        <v/>
      </c>
      <c r="K621" s="12" t="str">
        <f ca="1">IF($A621="","",IFERROR(SUMIF(INDIRECT("'"&amp;'Template Setup'!$C$8&amp;"'!C:C"),$A621,INDIRECT("'"&amp;'Template Setup'!$C$8&amp;"'!A:A")),0))</f>
        <v/>
      </c>
      <c r="L621" s="11" t="str">
        <f>IF($A621="","",IFERROR(VALUE(MID(TRIM('Template Setup'!$C$4),FIND("-",TRIM('Template Setup'!$C$4))+1,10)),0))</f>
        <v/>
      </c>
      <c r="M621" s="11" t="str">
        <f>IF($A621="","",IFERROR(VALUE(MID(TRIM('Template Setup'!$C$5),FIND("-",TRIM('Template Setup'!$C$5))+1,10)),0))</f>
        <v/>
      </c>
      <c r="N621" s="11" t="str">
        <f>IF($A621="","",IFERROR(VALUE(MID(TRIM('Template Setup'!$C$6),FIND("-",TRIM('Template Setup'!$C$6))+1,10)),0))</f>
        <v/>
      </c>
      <c r="O621" s="11" t="str">
        <f>IF($A621="","",IFERROR(VALUE(MID(TRIM('Template Setup'!$C$7),FIND("-",TRIM('Template Setup'!$C$7))+1,10)),0))</f>
        <v/>
      </c>
      <c r="P621" s="11" t="str">
        <f>IF($A621="","",IFERROR(VALUE(MID(TRIM('Template Setup'!$C$8),FIND("-",TRIM('Template Setup'!$C$8))+1,10)),0))</f>
        <v/>
      </c>
      <c r="Q621" s="9" t="str">
        <f>IF($A621="","",$A621&amp;"-"&amp;'Template Setup'!$C$16)</f>
        <v/>
      </c>
      <c r="R621" s="24" t="str">
        <f t="shared" si="37"/>
        <v/>
      </c>
      <c r="S621" s="24"/>
      <c r="T621" s="24" t="str">
        <f t="shared" si="38"/>
        <v/>
      </c>
      <c r="U621" s="6" t="str">
        <f t="shared" si="40"/>
        <v/>
      </c>
    </row>
    <row r="622" spans="1:21">
      <c r="A622" s="11"/>
      <c r="B622" s="11"/>
      <c r="C622" s="11"/>
      <c r="D622" s="11" t="str">
        <f>IF($A622="","",_xlfn.TEXTJOIN(", ",TRUE,IF($G622&gt;0,'Template Setup'!$C$4,""),IF($H622&gt;0,'Template Setup'!$C$5,""),IF($I622&gt;0,'Template Setup'!$C$6,""),IF($J622&gt;0,'Template Setup'!$C$7,""),IF($K622&gt;0,'Template Setup'!$C$8,"")))</f>
        <v/>
      </c>
      <c r="E622" s="6" t="str" cm="1">
        <f t="array" ref="E622">IF($A622="","",_xlfn.LET(_xlpm.sheets,CHOOSE({1,2,3,4,5},'Template Setup'!$C$4,'Template Setup'!$C$5,'Template Setup'!$C$6,'Template Setup'!$C$7,'Template Setup'!$C$8),_xlpm.nums,CHOOSE({1,2,3,4,5},$L622,$M622,$N622,$O622,$P622),_xlpm.qtys,CHOOSE({1,2,3,4,5},$G622,$H622,$I622,$J622,$K622),_xlpm.validNums,_xlfn._xlws.FILTER(_xlpm.nums,_xlpm.qtys&gt;0),_xlpm.validSheets,_xlfn._xlws.FILTER(_xlpm.sheets,_xlpm.qtys&gt;0),_xlpm.mx,IFERROR(MAX(_xlpm.validNums),0),IF(_xlpm.mx=0,"",INDEX(_xlpm.validSheets,MATCH(_xlpm.mx,_xlpm.validNums,0))&amp;" (+"&amp;$R622&amp;")")))</f>
        <v/>
      </c>
      <c r="F622" s="11" t="str">
        <f t="shared" si="39"/>
        <v/>
      </c>
      <c r="G622" s="12" t="str">
        <f ca="1">IF($A622="","",IFERROR(SUMIF(INDIRECT("'"&amp;'Template Setup'!$C$4&amp;"'!C:C"),$A622,INDIRECT("'"&amp;'Template Setup'!$C$4&amp;"'!A:A")),0))</f>
        <v/>
      </c>
      <c r="H622" s="12" t="str">
        <f ca="1">IF($A622="","",IFERROR(SUMIF(INDIRECT("'"&amp;'Template Setup'!$C$5&amp;"'!C:C"),$A622,INDIRECT("'"&amp;'Template Setup'!$C$5&amp;"'!A:A")),0))</f>
        <v/>
      </c>
      <c r="I622" s="12" t="str">
        <f ca="1">IF($A622="","",IFERROR(SUMIF(INDIRECT("'"&amp;'Template Setup'!$C$6&amp;"'!C:C"),$A622,INDIRECT("'"&amp;'Template Setup'!$C$6&amp;"'!A:A")),0))</f>
        <v/>
      </c>
      <c r="J622" s="12" t="str">
        <f ca="1">IF($A622="","",IFERROR(SUMIF(INDIRECT("'"&amp;'Template Setup'!$C$7&amp;"'!C:C"),$A622,INDIRECT("'"&amp;'Template Setup'!$C$7&amp;"'!A:A")),0))</f>
        <v/>
      </c>
      <c r="K622" s="12" t="str">
        <f ca="1">IF($A622="","",IFERROR(SUMIF(INDIRECT("'"&amp;'Template Setup'!$C$8&amp;"'!C:C"),$A622,INDIRECT("'"&amp;'Template Setup'!$C$8&amp;"'!A:A")),0))</f>
        <v/>
      </c>
      <c r="L622" s="11" t="str">
        <f>IF($A622="","",IFERROR(VALUE(MID(TRIM('Template Setup'!$C$4),FIND("-",TRIM('Template Setup'!$C$4))+1,10)),0))</f>
        <v/>
      </c>
      <c r="M622" s="11" t="str">
        <f>IF($A622="","",IFERROR(VALUE(MID(TRIM('Template Setup'!$C$5),FIND("-",TRIM('Template Setup'!$C$5))+1,10)),0))</f>
        <v/>
      </c>
      <c r="N622" s="11" t="str">
        <f>IF($A622="","",IFERROR(VALUE(MID(TRIM('Template Setup'!$C$6),FIND("-",TRIM('Template Setup'!$C$6))+1,10)),0))</f>
        <v/>
      </c>
      <c r="O622" s="11" t="str">
        <f>IF($A622="","",IFERROR(VALUE(MID(TRIM('Template Setup'!$C$7),FIND("-",TRIM('Template Setup'!$C$7))+1,10)),0))</f>
        <v/>
      </c>
      <c r="P622" s="11" t="str">
        <f>IF($A622="","",IFERROR(VALUE(MID(TRIM('Template Setup'!$C$8),FIND("-",TRIM('Template Setup'!$C$8))+1,10)),0))</f>
        <v/>
      </c>
      <c r="Q622" s="9" t="str">
        <f>IF($A622="","",$A622&amp;"-"&amp;'Template Setup'!$C$16)</f>
        <v/>
      </c>
      <c r="R622" s="24" t="str">
        <f t="shared" si="37"/>
        <v/>
      </c>
      <c r="S622" s="24"/>
      <c r="T622" s="24" t="str">
        <f t="shared" si="38"/>
        <v/>
      </c>
      <c r="U622" s="6" t="str">
        <f t="shared" si="40"/>
        <v/>
      </c>
    </row>
    <row r="623" spans="1:21">
      <c r="A623" s="11"/>
      <c r="B623" s="11"/>
      <c r="C623" s="11"/>
      <c r="D623" s="11" t="str">
        <f>IF($A623="","",_xlfn.TEXTJOIN(", ",TRUE,IF($G623&gt;0,'Template Setup'!$C$4,""),IF($H623&gt;0,'Template Setup'!$C$5,""),IF($I623&gt;0,'Template Setup'!$C$6,""),IF($J623&gt;0,'Template Setup'!$C$7,""),IF($K623&gt;0,'Template Setup'!$C$8,"")))</f>
        <v/>
      </c>
      <c r="E623" s="6" t="str" cm="1">
        <f t="array" ref="E623">IF($A623="","",_xlfn.LET(_xlpm.sheets,CHOOSE({1,2,3,4,5},'Template Setup'!$C$4,'Template Setup'!$C$5,'Template Setup'!$C$6,'Template Setup'!$C$7,'Template Setup'!$C$8),_xlpm.nums,CHOOSE({1,2,3,4,5},$L623,$M623,$N623,$O623,$P623),_xlpm.qtys,CHOOSE({1,2,3,4,5},$G623,$H623,$I623,$J623,$K623),_xlpm.validNums,_xlfn._xlws.FILTER(_xlpm.nums,_xlpm.qtys&gt;0),_xlpm.validSheets,_xlfn._xlws.FILTER(_xlpm.sheets,_xlpm.qtys&gt;0),_xlpm.mx,IFERROR(MAX(_xlpm.validNums),0),IF(_xlpm.mx=0,"",INDEX(_xlpm.validSheets,MATCH(_xlpm.mx,_xlpm.validNums,0))&amp;" (+"&amp;$R623&amp;")")))</f>
        <v/>
      </c>
      <c r="F623" s="11" t="str">
        <f t="shared" si="39"/>
        <v/>
      </c>
      <c r="G623" s="12" t="str">
        <f ca="1">IF($A623="","",IFERROR(SUMIF(INDIRECT("'"&amp;'Template Setup'!$C$4&amp;"'!C:C"),$A623,INDIRECT("'"&amp;'Template Setup'!$C$4&amp;"'!A:A")),0))</f>
        <v/>
      </c>
      <c r="H623" s="12" t="str">
        <f ca="1">IF($A623="","",IFERROR(SUMIF(INDIRECT("'"&amp;'Template Setup'!$C$5&amp;"'!C:C"),$A623,INDIRECT("'"&amp;'Template Setup'!$C$5&amp;"'!A:A")),0))</f>
        <v/>
      </c>
      <c r="I623" s="12" t="str">
        <f ca="1">IF($A623="","",IFERROR(SUMIF(INDIRECT("'"&amp;'Template Setup'!$C$6&amp;"'!C:C"),$A623,INDIRECT("'"&amp;'Template Setup'!$C$6&amp;"'!A:A")),0))</f>
        <v/>
      </c>
      <c r="J623" s="12" t="str">
        <f ca="1">IF($A623="","",IFERROR(SUMIF(INDIRECT("'"&amp;'Template Setup'!$C$7&amp;"'!C:C"),$A623,INDIRECT("'"&amp;'Template Setup'!$C$7&amp;"'!A:A")),0))</f>
        <v/>
      </c>
      <c r="K623" s="12" t="str">
        <f ca="1">IF($A623="","",IFERROR(SUMIF(INDIRECT("'"&amp;'Template Setup'!$C$8&amp;"'!C:C"),$A623,INDIRECT("'"&amp;'Template Setup'!$C$8&amp;"'!A:A")),0))</f>
        <v/>
      </c>
      <c r="L623" s="11" t="str">
        <f>IF($A623="","",IFERROR(VALUE(MID(TRIM('Template Setup'!$C$4),FIND("-",TRIM('Template Setup'!$C$4))+1,10)),0))</f>
        <v/>
      </c>
      <c r="M623" s="11" t="str">
        <f>IF($A623="","",IFERROR(VALUE(MID(TRIM('Template Setup'!$C$5),FIND("-",TRIM('Template Setup'!$C$5))+1,10)),0))</f>
        <v/>
      </c>
      <c r="N623" s="11" t="str">
        <f>IF($A623="","",IFERROR(VALUE(MID(TRIM('Template Setup'!$C$6),FIND("-",TRIM('Template Setup'!$C$6))+1,10)),0))</f>
        <v/>
      </c>
      <c r="O623" s="11" t="str">
        <f>IF($A623="","",IFERROR(VALUE(MID(TRIM('Template Setup'!$C$7),FIND("-",TRIM('Template Setup'!$C$7))+1,10)),0))</f>
        <v/>
      </c>
      <c r="P623" s="11" t="str">
        <f>IF($A623="","",IFERROR(VALUE(MID(TRIM('Template Setup'!$C$8),FIND("-",TRIM('Template Setup'!$C$8))+1,10)),0))</f>
        <v/>
      </c>
      <c r="Q623" s="9" t="str">
        <f>IF($A623="","",$A623&amp;"-"&amp;'Template Setup'!$C$16)</f>
        <v/>
      </c>
      <c r="R623" s="24" t="str">
        <f t="shared" si="37"/>
        <v/>
      </c>
      <c r="S623" s="24"/>
      <c r="T623" s="24" t="str">
        <f t="shared" si="38"/>
        <v/>
      </c>
      <c r="U623" s="6" t="str">
        <f t="shared" si="40"/>
        <v/>
      </c>
    </row>
    <row r="624" spans="1:21">
      <c r="A624" s="11"/>
      <c r="B624" s="11"/>
      <c r="C624" s="11"/>
      <c r="D624" s="11" t="str">
        <f>IF($A624="","",_xlfn.TEXTJOIN(", ",TRUE,IF($G624&gt;0,'Template Setup'!$C$4,""),IF($H624&gt;0,'Template Setup'!$C$5,""),IF($I624&gt;0,'Template Setup'!$C$6,""),IF($J624&gt;0,'Template Setup'!$C$7,""),IF($K624&gt;0,'Template Setup'!$C$8,"")))</f>
        <v/>
      </c>
      <c r="E624" s="6" t="str" cm="1">
        <f t="array" ref="E624">IF($A624="","",_xlfn.LET(_xlpm.sheets,CHOOSE({1,2,3,4,5},'Template Setup'!$C$4,'Template Setup'!$C$5,'Template Setup'!$C$6,'Template Setup'!$C$7,'Template Setup'!$C$8),_xlpm.nums,CHOOSE({1,2,3,4,5},$L624,$M624,$N624,$O624,$P624),_xlpm.qtys,CHOOSE({1,2,3,4,5},$G624,$H624,$I624,$J624,$K624),_xlpm.validNums,_xlfn._xlws.FILTER(_xlpm.nums,_xlpm.qtys&gt;0),_xlpm.validSheets,_xlfn._xlws.FILTER(_xlpm.sheets,_xlpm.qtys&gt;0),_xlpm.mx,IFERROR(MAX(_xlpm.validNums),0),IF(_xlpm.mx=0,"",INDEX(_xlpm.validSheets,MATCH(_xlpm.mx,_xlpm.validNums,0))&amp;" (+"&amp;$R624&amp;")")))</f>
        <v/>
      </c>
      <c r="F624" s="11" t="str">
        <f t="shared" si="39"/>
        <v/>
      </c>
      <c r="G624" s="12" t="str">
        <f ca="1">IF($A624="","",IFERROR(SUMIF(INDIRECT("'"&amp;'Template Setup'!$C$4&amp;"'!C:C"),$A624,INDIRECT("'"&amp;'Template Setup'!$C$4&amp;"'!A:A")),0))</f>
        <v/>
      </c>
      <c r="H624" s="12" t="str">
        <f ca="1">IF($A624="","",IFERROR(SUMIF(INDIRECT("'"&amp;'Template Setup'!$C$5&amp;"'!C:C"),$A624,INDIRECT("'"&amp;'Template Setup'!$C$5&amp;"'!A:A")),0))</f>
        <v/>
      </c>
      <c r="I624" s="12" t="str">
        <f ca="1">IF($A624="","",IFERROR(SUMIF(INDIRECT("'"&amp;'Template Setup'!$C$6&amp;"'!C:C"),$A624,INDIRECT("'"&amp;'Template Setup'!$C$6&amp;"'!A:A")),0))</f>
        <v/>
      </c>
      <c r="J624" s="12" t="str">
        <f ca="1">IF($A624="","",IFERROR(SUMIF(INDIRECT("'"&amp;'Template Setup'!$C$7&amp;"'!C:C"),$A624,INDIRECT("'"&amp;'Template Setup'!$C$7&amp;"'!A:A")),0))</f>
        <v/>
      </c>
      <c r="K624" s="12" t="str">
        <f ca="1">IF($A624="","",IFERROR(SUMIF(INDIRECT("'"&amp;'Template Setup'!$C$8&amp;"'!C:C"),$A624,INDIRECT("'"&amp;'Template Setup'!$C$8&amp;"'!A:A")),0))</f>
        <v/>
      </c>
      <c r="L624" s="11" t="str">
        <f>IF($A624="","",IFERROR(VALUE(MID(TRIM('Template Setup'!$C$4),FIND("-",TRIM('Template Setup'!$C$4))+1,10)),0))</f>
        <v/>
      </c>
      <c r="M624" s="11" t="str">
        <f>IF($A624="","",IFERROR(VALUE(MID(TRIM('Template Setup'!$C$5),FIND("-",TRIM('Template Setup'!$C$5))+1,10)),0))</f>
        <v/>
      </c>
      <c r="N624" s="11" t="str">
        <f>IF($A624="","",IFERROR(VALUE(MID(TRIM('Template Setup'!$C$6),FIND("-",TRIM('Template Setup'!$C$6))+1,10)),0))</f>
        <v/>
      </c>
      <c r="O624" s="11" t="str">
        <f>IF($A624="","",IFERROR(VALUE(MID(TRIM('Template Setup'!$C$7),FIND("-",TRIM('Template Setup'!$C$7))+1,10)),0))</f>
        <v/>
      </c>
      <c r="P624" s="11" t="str">
        <f>IF($A624="","",IFERROR(VALUE(MID(TRIM('Template Setup'!$C$8),FIND("-",TRIM('Template Setup'!$C$8))+1,10)),0))</f>
        <v/>
      </c>
      <c r="Q624" s="9" t="str">
        <f>IF($A624="","",$A624&amp;"-"&amp;'Template Setup'!$C$16)</f>
        <v/>
      </c>
      <c r="R624" s="24" t="str">
        <f t="shared" si="37"/>
        <v/>
      </c>
      <c r="S624" s="24"/>
      <c r="T624" s="24" t="str">
        <f t="shared" si="38"/>
        <v/>
      </c>
      <c r="U624" s="6" t="str">
        <f t="shared" si="40"/>
        <v/>
      </c>
    </row>
    <row r="625" spans="1:21">
      <c r="A625" s="11"/>
      <c r="B625" s="11"/>
      <c r="C625" s="11"/>
      <c r="D625" s="11" t="str">
        <f>IF($A625="","",_xlfn.TEXTJOIN(", ",TRUE,IF($G625&gt;0,'Template Setup'!$C$4,""),IF($H625&gt;0,'Template Setup'!$C$5,""),IF($I625&gt;0,'Template Setup'!$C$6,""),IF($J625&gt;0,'Template Setup'!$C$7,""),IF($K625&gt;0,'Template Setup'!$C$8,"")))</f>
        <v/>
      </c>
      <c r="E625" s="6" t="str" cm="1">
        <f t="array" ref="E625">IF($A625="","",_xlfn.LET(_xlpm.sheets,CHOOSE({1,2,3,4,5},'Template Setup'!$C$4,'Template Setup'!$C$5,'Template Setup'!$C$6,'Template Setup'!$C$7,'Template Setup'!$C$8),_xlpm.nums,CHOOSE({1,2,3,4,5},$L625,$M625,$N625,$O625,$P625),_xlpm.qtys,CHOOSE({1,2,3,4,5},$G625,$H625,$I625,$J625,$K625),_xlpm.validNums,_xlfn._xlws.FILTER(_xlpm.nums,_xlpm.qtys&gt;0),_xlpm.validSheets,_xlfn._xlws.FILTER(_xlpm.sheets,_xlpm.qtys&gt;0),_xlpm.mx,IFERROR(MAX(_xlpm.validNums),0),IF(_xlpm.mx=0,"",INDEX(_xlpm.validSheets,MATCH(_xlpm.mx,_xlpm.validNums,0))&amp;" (+"&amp;$R625&amp;")")))</f>
        <v/>
      </c>
      <c r="F625" s="11" t="str">
        <f t="shared" si="39"/>
        <v/>
      </c>
      <c r="G625" s="12" t="str">
        <f ca="1">IF($A625="","",IFERROR(SUMIF(INDIRECT("'"&amp;'Template Setup'!$C$4&amp;"'!C:C"),$A625,INDIRECT("'"&amp;'Template Setup'!$C$4&amp;"'!A:A")),0))</f>
        <v/>
      </c>
      <c r="H625" s="12" t="str">
        <f ca="1">IF($A625="","",IFERROR(SUMIF(INDIRECT("'"&amp;'Template Setup'!$C$5&amp;"'!C:C"),$A625,INDIRECT("'"&amp;'Template Setup'!$C$5&amp;"'!A:A")),0))</f>
        <v/>
      </c>
      <c r="I625" s="12" t="str">
        <f ca="1">IF($A625="","",IFERROR(SUMIF(INDIRECT("'"&amp;'Template Setup'!$C$6&amp;"'!C:C"),$A625,INDIRECT("'"&amp;'Template Setup'!$C$6&amp;"'!A:A")),0))</f>
        <v/>
      </c>
      <c r="J625" s="12" t="str">
        <f ca="1">IF($A625="","",IFERROR(SUMIF(INDIRECT("'"&amp;'Template Setup'!$C$7&amp;"'!C:C"),$A625,INDIRECT("'"&amp;'Template Setup'!$C$7&amp;"'!A:A")),0))</f>
        <v/>
      </c>
      <c r="K625" s="12" t="str">
        <f ca="1">IF($A625="","",IFERROR(SUMIF(INDIRECT("'"&amp;'Template Setup'!$C$8&amp;"'!C:C"),$A625,INDIRECT("'"&amp;'Template Setup'!$C$8&amp;"'!A:A")),0))</f>
        <v/>
      </c>
      <c r="L625" s="11" t="str">
        <f>IF($A625="","",IFERROR(VALUE(MID(TRIM('Template Setup'!$C$4),FIND("-",TRIM('Template Setup'!$C$4))+1,10)),0))</f>
        <v/>
      </c>
      <c r="M625" s="11" t="str">
        <f>IF($A625="","",IFERROR(VALUE(MID(TRIM('Template Setup'!$C$5),FIND("-",TRIM('Template Setup'!$C$5))+1,10)),0))</f>
        <v/>
      </c>
      <c r="N625" s="11" t="str">
        <f>IF($A625="","",IFERROR(VALUE(MID(TRIM('Template Setup'!$C$6),FIND("-",TRIM('Template Setup'!$C$6))+1,10)),0))</f>
        <v/>
      </c>
      <c r="O625" s="11" t="str">
        <f>IF($A625="","",IFERROR(VALUE(MID(TRIM('Template Setup'!$C$7),FIND("-",TRIM('Template Setup'!$C$7))+1,10)),0))</f>
        <v/>
      </c>
      <c r="P625" s="11" t="str">
        <f>IF($A625="","",IFERROR(VALUE(MID(TRIM('Template Setup'!$C$8),FIND("-",TRIM('Template Setup'!$C$8))+1,10)),0))</f>
        <v/>
      </c>
      <c r="Q625" s="9" t="str">
        <f>IF($A625="","",$A625&amp;"-"&amp;'Template Setup'!$C$16)</f>
        <v/>
      </c>
      <c r="R625" s="24" t="str">
        <f t="shared" si="37"/>
        <v/>
      </c>
      <c r="S625" s="24"/>
      <c r="T625" s="24" t="str">
        <f t="shared" si="38"/>
        <v/>
      </c>
      <c r="U625" s="6" t="str">
        <f t="shared" si="40"/>
        <v/>
      </c>
    </row>
    <row r="626" spans="1:21">
      <c r="A626" s="11"/>
      <c r="B626" s="11"/>
      <c r="C626" s="11"/>
      <c r="D626" s="11" t="str">
        <f>IF($A626="","",_xlfn.TEXTJOIN(", ",TRUE,IF($G626&gt;0,'Template Setup'!$C$4,""),IF($H626&gt;0,'Template Setup'!$C$5,""),IF($I626&gt;0,'Template Setup'!$C$6,""),IF($J626&gt;0,'Template Setup'!$C$7,""),IF($K626&gt;0,'Template Setup'!$C$8,"")))</f>
        <v/>
      </c>
      <c r="E626" s="6" t="str" cm="1">
        <f t="array" ref="E626">IF($A626="","",_xlfn.LET(_xlpm.sheets,CHOOSE({1,2,3,4,5},'Template Setup'!$C$4,'Template Setup'!$C$5,'Template Setup'!$C$6,'Template Setup'!$C$7,'Template Setup'!$C$8),_xlpm.nums,CHOOSE({1,2,3,4,5},$L626,$M626,$N626,$O626,$P626),_xlpm.qtys,CHOOSE({1,2,3,4,5},$G626,$H626,$I626,$J626,$K626),_xlpm.validNums,_xlfn._xlws.FILTER(_xlpm.nums,_xlpm.qtys&gt;0),_xlpm.validSheets,_xlfn._xlws.FILTER(_xlpm.sheets,_xlpm.qtys&gt;0),_xlpm.mx,IFERROR(MAX(_xlpm.validNums),0),IF(_xlpm.mx=0,"",INDEX(_xlpm.validSheets,MATCH(_xlpm.mx,_xlpm.validNums,0))&amp;" (+"&amp;$R626&amp;")")))</f>
        <v/>
      </c>
      <c r="F626" s="11" t="str">
        <f t="shared" si="39"/>
        <v/>
      </c>
      <c r="G626" s="12" t="str">
        <f ca="1">IF($A626="","",IFERROR(SUMIF(INDIRECT("'"&amp;'Template Setup'!$C$4&amp;"'!C:C"),$A626,INDIRECT("'"&amp;'Template Setup'!$C$4&amp;"'!A:A")),0))</f>
        <v/>
      </c>
      <c r="H626" s="12" t="str">
        <f ca="1">IF($A626="","",IFERROR(SUMIF(INDIRECT("'"&amp;'Template Setup'!$C$5&amp;"'!C:C"),$A626,INDIRECT("'"&amp;'Template Setup'!$C$5&amp;"'!A:A")),0))</f>
        <v/>
      </c>
      <c r="I626" s="12" t="str">
        <f ca="1">IF($A626="","",IFERROR(SUMIF(INDIRECT("'"&amp;'Template Setup'!$C$6&amp;"'!C:C"),$A626,INDIRECT("'"&amp;'Template Setup'!$C$6&amp;"'!A:A")),0))</f>
        <v/>
      </c>
      <c r="J626" s="12" t="str">
        <f ca="1">IF($A626="","",IFERROR(SUMIF(INDIRECT("'"&amp;'Template Setup'!$C$7&amp;"'!C:C"),$A626,INDIRECT("'"&amp;'Template Setup'!$C$7&amp;"'!A:A")),0))</f>
        <v/>
      </c>
      <c r="K626" s="12" t="str">
        <f ca="1">IF($A626="","",IFERROR(SUMIF(INDIRECT("'"&amp;'Template Setup'!$C$8&amp;"'!C:C"),$A626,INDIRECT("'"&amp;'Template Setup'!$C$8&amp;"'!A:A")),0))</f>
        <v/>
      </c>
      <c r="L626" s="11" t="str">
        <f>IF($A626="","",IFERROR(VALUE(MID(TRIM('Template Setup'!$C$4),FIND("-",TRIM('Template Setup'!$C$4))+1,10)),0))</f>
        <v/>
      </c>
      <c r="M626" s="11" t="str">
        <f>IF($A626="","",IFERROR(VALUE(MID(TRIM('Template Setup'!$C$5),FIND("-",TRIM('Template Setup'!$C$5))+1,10)),0))</f>
        <v/>
      </c>
      <c r="N626" s="11" t="str">
        <f>IF($A626="","",IFERROR(VALUE(MID(TRIM('Template Setup'!$C$6),FIND("-",TRIM('Template Setup'!$C$6))+1,10)),0))</f>
        <v/>
      </c>
      <c r="O626" s="11" t="str">
        <f>IF($A626="","",IFERROR(VALUE(MID(TRIM('Template Setup'!$C$7),FIND("-",TRIM('Template Setup'!$C$7))+1,10)),0))</f>
        <v/>
      </c>
      <c r="P626" s="11" t="str">
        <f>IF($A626="","",IFERROR(VALUE(MID(TRIM('Template Setup'!$C$8),FIND("-",TRIM('Template Setup'!$C$8))+1,10)),0))</f>
        <v/>
      </c>
      <c r="Q626" s="9" t="str">
        <f>IF($A626="","",$A626&amp;"-"&amp;'Template Setup'!$C$16)</f>
        <v/>
      </c>
      <c r="R626" s="24" t="str">
        <f t="shared" si="37"/>
        <v/>
      </c>
      <c r="S626" s="24"/>
      <c r="T626" s="24" t="str">
        <f t="shared" si="38"/>
        <v/>
      </c>
      <c r="U626" s="6" t="str">
        <f t="shared" si="40"/>
        <v/>
      </c>
    </row>
    <row r="627" spans="1:21">
      <c r="A627" s="11"/>
      <c r="B627" s="11"/>
      <c r="C627" s="11"/>
      <c r="D627" s="11" t="str">
        <f>IF($A627="","",_xlfn.TEXTJOIN(", ",TRUE,IF($G627&gt;0,'Template Setup'!$C$4,""),IF($H627&gt;0,'Template Setup'!$C$5,""),IF($I627&gt;0,'Template Setup'!$C$6,""),IF($J627&gt;0,'Template Setup'!$C$7,""),IF($K627&gt;0,'Template Setup'!$C$8,"")))</f>
        <v/>
      </c>
      <c r="E627" s="6" t="str" cm="1">
        <f t="array" ref="E627">IF($A627="","",_xlfn.LET(_xlpm.sheets,CHOOSE({1,2,3,4,5},'Template Setup'!$C$4,'Template Setup'!$C$5,'Template Setup'!$C$6,'Template Setup'!$C$7,'Template Setup'!$C$8),_xlpm.nums,CHOOSE({1,2,3,4,5},$L627,$M627,$N627,$O627,$P627),_xlpm.qtys,CHOOSE({1,2,3,4,5},$G627,$H627,$I627,$J627,$K627),_xlpm.validNums,_xlfn._xlws.FILTER(_xlpm.nums,_xlpm.qtys&gt;0),_xlpm.validSheets,_xlfn._xlws.FILTER(_xlpm.sheets,_xlpm.qtys&gt;0),_xlpm.mx,IFERROR(MAX(_xlpm.validNums),0),IF(_xlpm.mx=0,"",INDEX(_xlpm.validSheets,MATCH(_xlpm.mx,_xlpm.validNums,0))&amp;" (+"&amp;$R627&amp;")")))</f>
        <v/>
      </c>
      <c r="F627" s="11" t="str">
        <f t="shared" si="39"/>
        <v/>
      </c>
      <c r="G627" s="12" t="str">
        <f ca="1">IF($A627="","",IFERROR(SUMIF(INDIRECT("'"&amp;'Template Setup'!$C$4&amp;"'!C:C"),$A627,INDIRECT("'"&amp;'Template Setup'!$C$4&amp;"'!A:A")),0))</f>
        <v/>
      </c>
      <c r="H627" s="12" t="str">
        <f ca="1">IF($A627="","",IFERROR(SUMIF(INDIRECT("'"&amp;'Template Setup'!$C$5&amp;"'!C:C"),$A627,INDIRECT("'"&amp;'Template Setup'!$C$5&amp;"'!A:A")),0))</f>
        <v/>
      </c>
      <c r="I627" s="12" t="str">
        <f ca="1">IF($A627="","",IFERROR(SUMIF(INDIRECT("'"&amp;'Template Setup'!$C$6&amp;"'!C:C"),$A627,INDIRECT("'"&amp;'Template Setup'!$C$6&amp;"'!A:A")),0))</f>
        <v/>
      </c>
      <c r="J627" s="12" t="str">
        <f ca="1">IF($A627="","",IFERROR(SUMIF(INDIRECT("'"&amp;'Template Setup'!$C$7&amp;"'!C:C"),$A627,INDIRECT("'"&amp;'Template Setup'!$C$7&amp;"'!A:A")),0))</f>
        <v/>
      </c>
      <c r="K627" s="12" t="str">
        <f ca="1">IF($A627="","",IFERROR(SUMIF(INDIRECT("'"&amp;'Template Setup'!$C$8&amp;"'!C:C"),$A627,INDIRECT("'"&amp;'Template Setup'!$C$8&amp;"'!A:A")),0))</f>
        <v/>
      </c>
      <c r="L627" s="11" t="str">
        <f>IF($A627="","",IFERROR(VALUE(MID(TRIM('Template Setup'!$C$4),FIND("-",TRIM('Template Setup'!$C$4))+1,10)),0))</f>
        <v/>
      </c>
      <c r="M627" s="11" t="str">
        <f>IF($A627="","",IFERROR(VALUE(MID(TRIM('Template Setup'!$C$5),FIND("-",TRIM('Template Setup'!$C$5))+1,10)),0))</f>
        <v/>
      </c>
      <c r="N627" s="11" t="str">
        <f>IF($A627="","",IFERROR(VALUE(MID(TRIM('Template Setup'!$C$6),FIND("-",TRIM('Template Setup'!$C$6))+1,10)),0))</f>
        <v/>
      </c>
      <c r="O627" s="11" t="str">
        <f>IF($A627="","",IFERROR(VALUE(MID(TRIM('Template Setup'!$C$7),FIND("-",TRIM('Template Setup'!$C$7))+1,10)),0))</f>
        <v/>
      </c>
      <c r="P627" s="11" t="str">
        <f>IF($A627="","",IFERROR(VALUE(MID(TRIM('Template Setup'!$C$8),FIND("-",TRIM('Template Setup'!$C$8))+1,10)),0))</f>
        <v/>
      </c>
      <c r="Q627" s="9" t="str">
        <f>IF($A627="","",$A627&amp;"-"&amp;'Template Setup'!$C$16)</f>
        <v/>
      </c>
      <c r="R627" s="24" t="str">
        <f t="shared" si="37"/>
        <v/>
      </c>
      <c r="S627" s="24"/>
      <c r="T627" s="24" t="str">
        <f t="shared" si="38"/>
        <v/>
      </c>
      <c r="U627" s="6" t="str">
        <f t="shared" si="40"/>
        <v/>
      </c>
    </row>
    <row r="628" spans="1:21">
      <c r="A628" s="11"/>
      <c r="B628" s="11"/>
      <c r="C628" s="11"/>
      <c r="D628" s="11" t="str">
        <f>IF($A628="","",_xlfn.TEXTJOIN(", ",TRUE,IF($G628&gt;0,'Template Setup'!$C$4,""),IF($H628&gt;0,'Template Setup'!$C$5,""),IF($I628&gt;0,'Template Setup'!$C$6,""),IF($J628&gt;0,'Template Setup'!$C$7,""),IF($K628&gt;0,'Template Setup'!$C$8,"")))</f>
        <v/>
      </c>
      <c r="E628" s="6" t="str" cm="1">
        <f t="array" ref="E628">IF($A628="","",_xlfn.LET(_xlpm.sheets,CHOOSE({1,2,3,4,5},'Template Setup'!$C$4,'Template Setup'!$C$5,'Template Setup'!$C$6,'Template Setup'!$C$7,'Template Setup'!$C$8),_xlpm.nums,CHOOSE({1,2,3,4,5},$L628,$M628,$N628,$O628,$P628),_xlpm.qtys,CHOOSE({1,2,3,4,5},$G628,$H628,$I628,$J628,$K628),_xlpm.validNums,_xlfn._xlws.FILTER(_xlpm.nums,_xlpm.qtys&gt;0),_xlpm.validSheets,_xlfn._xlws.FILTER(_xlpm.sheets,_xlpm.qtys&gt;0),_xlpm.mx,IFERROR(MAX(_xlpm.validNums),0),IF(_xlpm.mx=0,"",INDEX(_xlpm.validSheets,MATCH(_xlpm.mx,_xlpm.validNums,0))&amp;" (+"&amp;$R628&amp;")")))</f>
        <v/>
      </c>
      <c r="F628" s="11" t="str">
        <f t="shared" si="39"/>
        <v/>
      </c>
      <c r="G628" s="12" t="str">
        <f ca="1">IF($A628="","",IFERROR(SUMIF(INDIRECT("'"&amp;'Template Setup'!$C$4&amp;"'!C:C"),$A628,INDIRECT("'"&amp;'Template Setup'!$C$4&amp;"'!A:A")),0))</f>
        <v/>
      </c>
      <c r="H628" s="12" t="str">
        <f ca="1">IF($A628="","",IFERROR(SUMIF(INDIRECT("'"&amp;'Template Setup'!$C$5&amp;"'!C:C"),$A628,INDIRECT("'"&amp;'Template Setup'!$C$5&amp;"'!A:A")),0))</f>
        <v/>
      </c>
      <c r="I628" s="12" t="str">
        <f ca="1">IF($A628="","",IFERROR(SUMIF(INDIRECT("'"&amp;'Template Setup'!$C$6&amp;"'!C:C"),$A628,INDIRECT("'"&amp;'Template Setup'!$C$6&amp;"'!A:A")),0))</f>
        <v/>
      </c>
      <c r="J628" s="12" t="str">
        <f ca="1">IF($A628="","",IFERROR(SUMIF(INDIRECT("'"&amp;'Template Setup'!$C$7&amp;"'!C:C"),$A628,INDIRECT("'"&amp;'Template Setup'!$C$7&amp;"'!A:A")),0))</f>
        <v/>
      </c>
      <c r="K628" s="12" t="str">
        <f ca="1">IF($A628="","",IFERROR(SUMIF(INDIRECT("'"&amp;'Template Setup'!$C$8&amp;"'!C:C"),$A628,INDIRECT("'"&amp;'Template Setup'!$C$8&amp;"'!A:A")),0))</f>
        <v/>
      </c>
      <c r="L628" s="11" t="str">
        <f>IF($A628="","",IFERROR(VALUE(MID(TRIM('Template Setup'!$C$4),FIND("-",TRIM('Template Setup'!$C$4))+1,10)),0))</f>
        <v/>
      </c>
      <c r="M628" s="11" t="str">
        <f>IF($A628="","",IFERROR(VALUE(MID(TRIM('Template Setup'!$C$5),FIND("-",TRIM('Template Setup'!$C$5))+1,10)),0))</f>
        <v/>
      </c>
      <c r="N628" s="11" t="str">
        <f>IF($A628="","",IFERROR(VALUE(MID(TRIM('Template Setup'!$C$6),FIND("-",TRIM('Template Setup'!$C$6))+1,10)),0))</f>
        <v/>
      </c>
      <c r="O628" s="11" t="str">
        <f>IF($A628="","",IFERROR(VALUE(MID(TRIM('Template Setup'!$C$7),FIND("-",TRIM('Template Setup'!$C$7))+1,10)),0))</f>
        <v/>
      </c>
      <c r="P628" s="11" t="str">
        <f>IF($A628="","",IFERROR(VALUE(MID(TRIM('Template Setup'!$C$8),FIND("-",TRIM('Template Setup'!$C$8))+1,10)),0))</f>
        <v/>
      </c>
      <c r="Q628" s="9" t="str">
        <f>IF($A628="","",$A628&amp;"-"&amp;'Template Setup'!$C$16)</f>
        <v/>
      </c>
      <c r="R628" s="24" t="str">
        <f t="shared" si="37"/>
        <v/>
      </c>
      <c r="S628" s="24"/>
      <c r="T628" s="24" t="str">
        <f t="shared" si="38"/>
        <v/>
      </c>
      <c r="U628" s="6" t="str">
        <f t="shared" si="40"/>
        <v/>
      </c>
    </row>
    <row r="629" spans="1:21">
      <c r="A629" s="11"/>
      <c r="B629" s="11"/>
      <c r="C629" s="11"/>
      <c r="D629" s="11" t="str">
        <f>IF($A629="","",_xlfn.TEXTJOIN(", ",TRUE,IF($G629&gt;0,'Template Setup'!$C$4,""),IF($H629&gt;0,'Template Setup'!$C$5,""),IF($I629&gt;0,'Template Setup'!$C$6,""),IF($J629&gt;0,'Template Setup'!$C$7,""),IF($K629&gt;0,'Template Setup'!$C$8,"")))</f>
        <v/>
      </c>
      <c r="E629" s="6" t="str" cm="1">
        <f t="array" ref="E629">IF($A629="","",_xlfn.LET(_xlpm.sheets,CHOOSE({1,2,3,4,5},'Template Setup'!$C$4,'Template Setup'!$C$5,'Template Setup'!$C$6,'Template Setup'!$C$7,'Template Setup'!$C$8),_xlpm.nums,CHOOSE({1,2,3,4,5},$L629,$M629,$N629,$O629,$P629),_xlpm.qtys,CHOOSE({1,2,3,4,5},$G629,$H629,$I629,$J629,$K629),_xlpm.validNums,_xlfn._xlws.FILTER(_xlpm.nums,_xlpm.qtys&gt;0),_xlpm.validSheets,_xlfn._xlws.FILTER(_xlpm.sheets,_xlpm.qtys&gt;0),_xlpm.mx,IFERROR(MAX(_xlpm.validNums),0),IF(_xlpm.mx=0,"",INDEX(_xlpm.validSheets,MATCH(_xlpm.mx,_xlpm.validNums,0))&amp;" (+"&amp;$R629&amp;")")))</f>
        <v/>
      </c>
      <c r="F629" s="11" t="str">
        <f t="shared" si="39"/>
        <v/>
      </c>
      <c r="G629" s="12" t="str">
        <f ca="1">IF($A629="","",IFERROR(SUMIF(INDIRECT("'"&amp;'Template Setup'!$C$4&amp;"'!C:C"),$A629,INDIRECT("'"&amp;'Template Setup'!$C$4&amp;"'!A:A")),0))</f>
        <v/>
      </c>
      <c r="H629" s="12" t="str">
        <f ca="1">IF($A629="","",IFERROR(SUMIF(INDIRECT("'"&amp;'Template Setup'!$C$5&amp;"'!C:C"),$A629,INDIRECT("'"&amp;'Template Setup'!$C$5&amp;"'!A:A")),0))</f>
        <v/>
      </c>
      <c r="I629" s="12" t="str">
        <f ca="1">IF($A629="","",IFERROR(SUMIF(INDIRECT("'"&amp;'Template Setup'!$C$6&amp;"'!C:C"),$A629,INDIRECT("'"&amp;'Template Setup'!$C$6&amp;"'!A:A")),0))</f>
        <v/>
      </c>
      <c r="J629" s="12" t="str">
        <f ca="1">IF($A629="","",IFERROR(SUMIF(INDIRECT("'"&amp;'Template Setup'!$C$7&amp;"'!C:C"),$A629,INDIRECT("'"&amp;'Template Setup'!$C$7&amp;"'!A:A")),0))</f>
        <v/>
      </c>
      <c r="K629" s="12" t="str">
        <f ca="1">IF($A629="","",IFERROR(SUMIF(INDIRECT("'"&amp;'Template Setup'!$C$8&amp;"'!C:C"),$A629,INDIRECT("'"&amp;'Template Setup'!$C$8&amp;"'!A:A")),0))</f>
        <v/>
      </c>
      <c r="L629" s="11" t="str">
        <f>IF($A629="","",IFERROR(VALUE(MID(TRIM('Template Setup'!$C$4),FIND("-",TRIM('Template Setup'!$C$4))+1,10)),0))</f>
        <v/>
      </c>
      <c r="M629" s="11" t="str">
        <f>IF($A629="","",IFERROR(VALUE(MID(TRIM('Template Setup'!$C$5),FIND("-",TRIM('Template Setup'!$C$5))+1,10)),0))</f>
        <v/>
      </c>
      <c r="N629" s="11" t="str">
        <f>IF($A629="","",IFERROR(VALUE(MID(TRIM('Template Setup'!$C$6),FIND("-",TRIM('Template Setup'!$C$6))+1,10)),0))</f>
        <v/>
      </c>
      <c r="O629" s="11" t="str">
        <f>IF($A629="","",IFERROR(VALUE(MID(TRIM('Template Setup'!$C$7),FIND("-",TRIM('Template Setup'!$C$7))+1,10)),0))</f>
        <v/>
      </c>
      <c r="P629" s="11" t="str">
        <f>IF($A629="","",IFERROR(VALUE(MID(TRIM('Template Setup'!$C$8),FIND("-",TRIM('Template Setup'!$C$8))+1,10)),0))</f>
        <v/>
      </c>
      <c r="Q629" s="9" t="str">
        <f>IF($A629="","",$A629&amp;"-"&amp;'Template Setup'!$C$16)</f>
        <v/>
      </c>
      <c r="R629" s="24" t="str">
        <f t="shared" si="37"/>
        <v/>
      </c>
      <c r="S629" s="24"/>
      <c r="T629" s="24" t="str">
        <f t="shared" si="38"/>
        <v/>
      </c>
      <c r="U629" s="6" t="str">
        <f t="shared" si="40"/>
        <v/>
      </c>
    </row>
    <row r="630" spans="1:21">
      <c r="A630" s="11"/>
      <c r="B630" s="11"/>
      <c r="C630" s="11"/>
      <c r="D630" s="11" t="str">
        <f>IF($A630="","",_xlfn.TEXTJOIN(", ",TRUE,IF($G630&gt;0,'Template Setup'!$C$4,""),IF($H630&gt;0,'Template Setup'!$C$5,""),IF($I630&gt;0,'Template Setup'!$C$6,""),IF($J630&gt;0,'Template Setup'!$C$7,""),IF($K630&gt;0,'Template Setup'!$C$8,"")))</f>
        <v/>
      </c>
      <c r="E630" s="6" t="str" cm="1">
        <f t="array" ref="E630">IF($A630="","",_xlfn.LET(_xlpm.sheets,CHOOSE({1,2,3,4,5},'Template Setup'!$C$4,'Template Setup'!$C$5,'Template Setup'!$C$6,'Template Setup'!$C$7,'Template Setup'!$C$8),_xlpm.nums,CHOOSE({1,2,3,4,5},$L630,$M630,$N630,$O630,$P630),_xlpm.qtys,CHOOSE({1,2,3,4,5},$G630,$H630,$I630,$J630,$K630),_xlpm.validNums,_xlfn._xlws.FILTER(_xlpm.nums,_xlpm.qtys&gt;0),_xlpm.validSheets,_xlfn._xlws.FILTER(_xlpm.sheets,_xlpm.qtys&gt;0),_xlpm.mx,IFERROR(MAX(_xlpm.validNums),0),IF(_xlpm.mx=0,"",INDEX(_xlpm.validSheets,MATCH(_xlpm.mx,_xlpm.validNums,0))&amp;" (+"&amp;$R630&amp;")")))</f>
        <v/>
      </c>
      <c r="F630" s="11" t="str">
        <f t="shared" si="39"/>
        <v/>
      </c>
      <c r="G630" s="12" t="str">
        <f ca="1">IF($A630="","",IFERROR(SUMIF(INDIRECT("'"&amp;'Template Setup'!$C$4&amp;"'!C:C"),$A630,INDIRECT("'"&amp;'Template Setup'!$C$4&amp;"'!A:A")),0))</f>
        <v/>
      </c>
      <c r="H630" s="12" t="str">
        <f ca="1">IF($A630="","",IFERROR(SUMIF(INDIRECT("'"&amp;'Template Setup'!$C$5&amp;"'!C:C"),$A630,INDIRECT("'"&amp;'Template Setup'!$C$5&amp;"'!A:A")),0))</f>
        <v/>
      </c>
      <c r="I630" s="12" t="str">
        <f ca="1">IF($A630="","",IFERROR(SUMIF(INDIRECT("'"&amp;'Template Setup'!$C$6&amp;"'!C:C"),$A630,INDIRECT("'"&amp;'Template Setup'!$C$6&amp;"'!A:A")),0))</f>
        <v/>
      </c>
      <c r="J630" s="12" t="str">
        <f ca="1">IF($A630="","",IFERROR(SUMIF(INDIRECT("'"&amp;'Template Setup'!$C$7&amp;"'!C:C"),$A630,INDIRECT("'"&amp;'Template Setup'!$C$7&amp;"'!A:A")),0))</f>
        <v/>
      </c>
      <c r="K630" s="12" t="str">
        <f ca="1">IF($A630="","",IFERROR(SUMIF(INDIRECT("'"&amp;'Template Setup'!$C$8&amp;"'!C:C"),$A630,INDIRECT("'"&amp;'Template Setup'!$C$8&amp;"'!A:A")),0))</f>
        <v/>
      </c>
      <c r="L630" s="11" t="str">
        <f>IF($A630="","",IFERROR(VALUE(MID(TRIM('Template Setup'!$C$4),FIND("-",TRIM('Template Setup'!$C$4))+1,10)),0))</f>
        <v/>
      </c>
      <c r="M630" s="11" t="str">
        <f>IF($A630="","",IFERROR(VALUE(MID(TRIM('Template Setup'!$C$5),FIND("-",TRIM('Template Setup'!$C$5))+1,10)),0))</f>
        <v/>
      </c>
      <c r="N630" s="11" t="str">
        <f>IF($A630="","",IFERROR(VALUE(MID(TRIM('Template Setup'!$C$6),FIND("-",TRIM('Template Setup'!$C$6))+1,10)),0))</f>
        <v/>
      </c>
      <c r="O630" s="11" t="str">
        <f>IF($A630="","",IFERROR(VALUE(MID(TRIM('Template Setup'!$C$7),FIND("-",TRIM('Template Setup'!$C$7))+1,10)),0))</f>
        <v/>
      </c>
      <c r="P630" s="11" t="str">
        <f>IF($A630="","",IFERROR(VALUE(MID(TRIM('Template Setup'!$C$8),FIND("-",TRIM('Template Setup'!$C$8))+1,10)),0))</f>
        <v/>
      </c>
      <c r="Q630" s="9" t="str">
        <f>IF($A630="","",$A630&amp;"-"&amp;'Template Setup'!$C$16)</f>
        <v/>
      </c>
      <c r="R630" s="24" t="str">
        <f t="shared" si="37"/>
        <v/>
      </c>
      <c r="S630" s="24"/>
      <c r="T630" s="24" t="str">
        <f t="shared" si="38"/>
        <v/>
      </c>
      <c r="U630" s="6" t="str">
        <f t="shared" si="40"/>
        <v/>
      </c>
    </row>
    <row r="631" spans="1:21">
      <c r="A631" s="11"/>
      <c r="B631" s="11"/>
      <c r="C631" s="11"/>
      <c r="D631" s="11" t="str">
        <f>IF($A631="","",_xlfn.TEXTJOIN(", ",TRUE,IF($G631&gt;0,'Template Setup'!$C$4,""),IF($H631&gt;0,'Template Setup'!$C$5,""),IF($I631&gt;0,'Template Setup'!$C$6,""),IF($J631&gt;0,'Template Setup'!$C$7,""),IF($K631&gt;0,'Template Setup'!$C$8,"")))</f>
        <v/>
      </c>
      <c r="E631" s="6" t="str" cm="1">
        <f t="array" ref="E631">IF($A631="","",_xlfn.LET(_xlpm.sheets,CHOOSE({1,2,3,4,5},'Template Setup'!$C$4,'Template Setup'!$C$5,'Template Setup'!$C$6,'Template Setup'!$C$7,'Template Setup'!$C$8),_xlpm.nums,CHOOSE({1,2,3,4,5},$L631,$M631,$N631,$O631,$P631),_xlpm.qtys,CHOOSE({1,2,3,4,5},$G631,$H631,$I631,$J631,$K631),_xlpm.validNums,_xlfn._xlws.FILTER(_xlpm.nums,_xlpm.qtys&gt;0),_xlpm.validSheets,_xlfn._xlws.FILTER(_xlpm.sheets,_xlpm.qtys&gt;0),_xlpm.mx,IFERROR(MAX(_xlpm.validNums),0),IF(_xlpm.mx=0,"",INDEX(_xlpm.validSheets,MATCH(_xlpm.mx,_xlpm.validNums,0))&amp;" (+"&amp;$R631&amp;")")))</f>
        <v/>
      </c>
      <c r="F631" s="11" t="str">
        <f t="shared" si="39"/>
        <v/>
      </c>
      <c r="G631" s="12" t="str">
        <f ca="1">IF($A631="","",IFERROR(SUMIF(INDIRECT("'"&amp;'Template Setup'!$C$4&amp;"'!C:C"),$A631,INDIRECT("'"&amp;'Template Setup'!$C$4&amp;"'!A:A")),0))</f>
        <v/>
      </c>
      <c r="H631" s="12" t="str">
        <f ca="1">IF($A631="","",IFERROR(SUMIF(INDIRECT("'"&amp;'Template Setup'!$C$5&amp;"'!C:C"),$A631,INDIRECT("'"&amp;'Template Setup'!$C$5&amp;"'!A:A")),0))</f>
        <v/>
      </c>
      <c r="I631" s="12" t="str">
        <f ca="1">IF($A631="","",IFERROR(SUMIF(INDIRECT("'"&amp;'Template Setup'!$C$6&amp;"'!C:C"),$A631,INDIRECT("'"&amp;'Template Setup'!$C$6&amp;"'!A:A")),0))</f>
        <v/>
      </c>
      <c r="J631" s="12" t="str">
        <f ca="1">IF($A631="","",IFERROR(SUMIF(INDIRECT("'"&amp;'Template Setup'!$C$7&amp;"'!C:C"),$A631,INDIRECT("'"&amp;'Template Setup'!$C$7&amp;"'!A:A")),0))</f>
        <v/>
      </c>
      <c r="K631" s="12" t="str">
        <f ca="1">IF($A631="","",IFERROR(SUMIF(INDIRECT("'"&amp;'Template Setup'!$C$8&amp;"'!C:C"),$A631,INDIRECT("'"&amp;'Template Setup'!$C$8&amp;"'!A:A")),0))</f>
        <v/>
      </c>
      <c r="L631" s="11" t="str">
        <f>IF($A631="","",IFERROR(VALUE(MID(TRIM('Template Setup'!$C$4),FIND("-",TRIM('Template Setup'!$C$4))+1,10)),0))</f>
        <v/>
      </c>
      <c r="M631" s="11" t="str">
        <f>IF($A631="","",IFERROR(VALUE(MID(TRIM('Template Setup'!$C$5),FIND("-",TRIM('Template Setup'!$C$5))+1,10)),0))</f>
        <v/>
      </c>
      <c r="N631" s="11" t="str">
        <f>IF($A631="","",IFERROR(VALUE(MID(TRIM('Template Setup'!$C$6),FIND("-",TRIM('Template Setup'!$C$6))+1,10)),0))</f>
        <v/>
      </c>
      <c r="O631" s="11" t="str">
        <f>IF($A631="","",IFERROR(VALUE(MID(TRIM('Template Setup'!$C$7),FIND("-",TRIM('Template Setup'!$C$7))+1,10)),0))</f>
        <v/>
      </c>
      <c r="P631" s="11" t="str">
        <f>IF($A631="","",IFERROR(VALUE(MID(TRIM('Template Setup'!$C$8),FIND("-",TRIM('Template Setup'!$C$8))+1,10)),0))</f>
        <v/>
      </c>
      <c r="Q631" s="9" t="str">
        <f>IF($A631="","",$A631&amp;"-"&amp;'Template Setup'!$C$16)</f>
        <v/>
      </c>
      <c r="R631" s="24" t="str">
        <f t="shared" si="37"/>
        <v/>
      </c>
      <c r="S631" s="24"/>
      <c r="T631" s="24" t="str">
        <f t="shared" si="38"/>
        <v/>
      </c>
      <c r="U631" s="6" t="str">
        <f t="shared" si="40"/>
        <v/>
      </c>
    </row>
    <row r="632" spans="1:21">
      <c r="A632" s="11"/>
      <c r="B632" s="11"/>
      <c r="C632" s="11"/>
      <c r="D632" s="11" t="str">
        <f>IF($A632="","",_xlfn.TEXTJOIN(", ",TRUE,IF($G632&gt;0,'Template Setup'!$C$4,""),IF($H632&gt;0,'Template Setup'!$C$5,""),IF($I632&gt;0,'Template Setup'!$C$6,""),IF($J632&gt;0,'Template Setup'!$C$7,""),IF($K632&gt;0,'Template Setup'!$C$8,"")))</f>
        <v/>
      </c>
      <c r="E632" s="6" t="str" cm="1">
        <f t="array" ref="E632">IF($A632="","",_xlfn.LET(_xlpm.sheets,CHOOSE({1,2,3,4,5},'Template Setup'!$C$4,'Template Setup'!$C$5,'Template Setup'!$C$6,'Template Setup'!$C$7,'Template Setup'!$C$8),_xlpm.nums,CHOOSE({1,2,3,4,5},$L632,$M632,$N632,$O632,$P632),_xlpm.qtys,CHOOSE({1,2,3,4,5},$G632,$H632,$I632,$J632,$K632),_xlpm.validNums,_xlfn._xlws.FILTER(_xlpm.nums,_xlpm.qtys&gt;0),_xlpm.validSheets,_xlfn._xlws.FILTER(_xlpm.sheets,_xlpm.qtys&gt;0),_xlpm.mx,IFERROR(MAX(_xlpm.validNums),0),IF(_xlpm.mx=0,"",INDEX(_xlpm.validSheets,MATCH(_xlpm.mx,_xlpm.validNums,0))&amp;" (+"&amp;$R632&amp;")")))</f>
        <v/>
      </c>
      <c r="F632" s="11" t="str">
        <f t="shared" si="39"/>
        <v/>
      </c>
      <c r="G632" s="12" t="str">
        <f ca="1">IF($A632="","",IFERROR(SUMIF(INDIRECT("'"&amp;'Template Setup'!$C$4&amp;"'!C:C"),$A632,INDIRECT("'"&amp;'Template Setup'!$C$4&amp;"'!A:A")),0))</f>
        <v/>
      </c>
      <c r="H632" s="12" t="str">
        <f ca="1">IF($A632="","",IFERROR(SUMIF(INDIRECT("'"&amp;'Template Setup'!$C$5&amp;"'!C:C"),$A632,INDIRECT("'"&amp;'Template Setup'!$C$5&amp;"'!A:A")),0))</f>
        <v/>
      </c>
      <c r="I632" s="12" t="str">
        <f ca="1">IF($A632="","",IFERROR(SUMIF(INDIRECT("'"&amp;'Template Setup'!$C$6&amp;"'!C:C"),$A632,INDIRECT("'"&amp;'Template Setup'!$C$6&amp;"'!A:A")),0))</f>
        <v/>
      </c>
      <c r="J632" s="12" t="str">
        <f ca="1">IF($A632="","",IFERROR(SUMIF(INDIRECT("'"&amp;'Template Setup'!$C$7&amp;"'!C:C"),$A632,INDIRECT("'"&amp;'Template Setup'!$C$7&amp;"'!A:A")),0))</f>
        <v/>
      </c>
      <c r="K632" s="12" t="str">
        <f ca="1">IF($A632="","",IFERROR(SUMIF(INDIRECT("'"&amp;'Template Setup'!$C$8&amp;"'!C:C"),$A632,INDIRECT("'"&amp;'Template Setup'!$C$8&amp;"'!A:A")),0))</f>
        <v/>
      </c>
      <c r="L632" s="11" t="str">
        <f>IF($A632="","",IFERROR(VALUE(MID(TRIM('Template Setup'!$C$4),FIND("-",TRIM('Template Setup'!$C$4))+1,10)),0))</f>
        <v/>
      </c>
      <c r="M632" s="11" t="str">
        <f>IF($A632="","",IFERROR(VALUE(MID(TRIM('Template Setup'!$C$5),FIND("-",TRIM('Template Setup'!$C$5))+1,10)),0))</f>
        <v/>
      </c>
      <c r="N632" s="11" t="str">
        <f>IF($A632="","",IFERROR(VALUE(MID(TRIM('Template Setup'!$C$6),FIND("-",TRIM('Template Setup'!$C$6))+1,10)),0))</f>
        <v/>
      </c>
      <c r="O632" s="11" t="str">
        <f>IF($A632="","",IFERROR(VALUE(MID(TRIM('Template Setup'!$C$7),FIND("-",TRIM('Template Setup'!$C$7))+1,10)),0))</f>
        <v/>
      </c>
      <c r="P632" s="11" t="str">
        <f>IF($A632="","",IFERROR(VALUE(MID(TRIM('Template Setup'!$C$8),FIND("-",TRIM('Template Setup'!$C$8))+1,10)),0))</f>
        <v/>
      </c>
      <c r="Q632" s="9" t="str">
        <f>IF($A632="","",$A632&amp;"-"&amp;'Template Setup'!$C$16)</f>
        <v/>
      </c>
      <c r="R632" s="24" t="str">
        <f t="shared" si="37"/>
        <v/>
      </c>
      <c r="S632" s="24"/>
      <c r="T632" s="24" t="str">
        <f t="shared" si="38"/>
        <v/>
      </c>
      <c r="U632" s="6" t="str">
        <f t="shared" si="40"/>
        <v/>
      </c>
    </row>
    <row r="633" spans="1:21">
      <c r="A633" s="11"/>
      <c r="B633" s="11"/>
      <c r="C633" s="11"/>
      <c r="D633" s="11" t="str">
        <f>IF($A633="","",_xlfn.TEXTJOIN(", ",TRUE,IF($G633&gt;0,'Template Setup'!$C$4,""),IF($H633&gt;0,'Template Setup'!$C$5,""),IF($I633&gt;0,'Template Setup'!$C$6,""),IF($J633&gt;0,'Template Setup'!$C$7,""),IF($K633&gt;0,'Template Setup'!$C$8,"")))</f>
        <v/>
      </c>
      <c r="E633" s="6" t="str" cm="1">
        <f t="array" ref="E633">IF($A633="","",_xlfn.LET(_xlpm.sheets,CHOOSE({1,2,3,4,5},'Template Setup'!$C$4,'Template Setup'!$C$5,'Template Setup'!$C$6,'Template Setup'!$C$7,'Template Setup'!$C$8),_xlpm.nums,CHOOSE({1,2,3,4,5},$L633,$M633,$N633,$O633,$P633),_xlpm.qtys,CHOOSE({1,2,3,4,5},$G633,$H633,$I633,$J633,$K633),_xlpm.validNums,_xlfn._xlws.FILTER(_xlpm.nums,_xlpm.qtys&gt;0),_xlpm.validSheets,_xlfn._xlws.FILTER(_xlpm.sheets,_xlpm.qtys&gt;0),_xlpm.mx,IFERROR(MAX(_xlpm.validNums),0),IF(_xlpm.mx=0,"",INDEX(_xlpm.validSheets,MATCH(_xlpm.mx,_xlpm.validNums,0))&amp;" (+"&amp;$R633&amp;")")))</f>
        <v/>
      </c>
      <c r="F633" s="11" t="str">
        <f t="shared" si="39"/>
        <v/>
      </c>
      <c r="G633" s="12" t="str">
        <f ca="1">IF($A633="","",IFERROR(SUMIF(INDIRECT("'"&amp;'Template Setup'!$C$4&amp;"'!C:C"),$A633,INDIRECT("'"&amp;'Template Setup'!$C$4&amp;"'!A:A")),0))</f>
        <v/>
      </c>
      <c r="H633" s="12" t="str">
        <f ca="1">IF($A633="","",IFERROR(SUMIF(INDIRECT("'"&amp;'Template Setup'!$C$5&amp;"'!C:C"),$A633,INDIRECT("'"&amp;'Template Setup'!$C$5&amp;"'!A:A")),0))</f>
        <v/>
      </c>
      <c r="I633" s="12" t="str">
        <f ca="1">IF($A633="","",IFERROR(SUMIF(INDIRECT("'"&amp;'Template Setup'!$C$6&amp;"'!C:C"),$A633,INDIRECT("'"&amp;'Template Setup'!$C$6&amp;"'!A:A")),0))</f>
        <v/>
      </c>
      <c r="J633" s="12" t="str">
        <f ca="1">IF($A633="","",IFERROR(SUMIF(INDIRECT("'"&amp;'Template Setup'!$C$7&amp;"'!C:C"),$A633,INDIRECT("'"&amp;'Template Setup'!$C$7&amp;"'!A:A")),0))</f>
        <v/>
      </c>
      <c r="K633" s="12" t="str">
        <f ca="1">IF($A633="","",IFERROR(SUMIF(INDIRECT("'"&amp;'Template Setup'!$C$8&amp;"'!C:C"),$A633,INDIRECT("'"&amp;'Template Setup'!$C$8&amp;"'!A:A")),0))</f>
        <v/>
      </c>
      <c r="L633" s="11" t="str">
        <f>IF($A633="","",IFERROR(VALUE(MID(TRIM('Template Setup'!$C$4),FIND("-",TRIM('Template Setup'!$C$4))+1,10)),0))</f>
        <v/>
      </c>
      <c r="M633" s="11" t="str">
        <f>IF($A633="","",IFERROR(VALUE(MID(TRIM('Template Setup'!$C$5),FIND("-",TRIM('Template Setup'!$C$5))+1,10)),0))</f>
        <v/>
      </c>
      <c r="N633" s="11" t="str">
        <f>IF($A633="","",IFERROR(VALUE(MID(TRIM('Template Setup'!$C$6),FIND("-",TRIM('Template Setup'!$C$6))+1,10)),0))</f>
        <v/>
      </c>
      <c r="O633" s="11" t="str">
        <f>IF($A633="","",IFERROR(VALUE(MID(TRIM('Template Setup'!$C$7),FIND("-",TRIM('Template Setup'!$C$7))+1,10)),0))</f>
        <v/>
      </c>
      <c r="P633" s="11" t="str">
        <f>IF($A633="","",IFERROR(VALUE(MID(TRIM('Template Setup'!$C$8),FIND("-",TRIM('Template Setup'!$C$8))+1,10)),0))</f>
        <v/>
      </c>
      <c r="Q633" s="9" t="str">
        <f>IF($A633="","",$A633&amp;"-"&amp;'Template Setup'!$C$16)</f>
        <v/>
      </c>
      <c r="R633" s="24" t="str">
        <f t="shared" si="37"/>
        <v/>
      </c>
      <c r="S633" s="24"/>
      <c r="T633" s="24" t="str">
        <f t="shared" si="38"/>
        <v/>
      </c>
      <c r="U633" s="6" t="str">
        <f t="shared" si="40"/>
        <v/>
      </c>
    </row>
    <row r="634" spans="1:21">
      <c r="A634" s="11"/>
      <c r="B634" s="11"/>
      <c r="C634" s="11"/>
      <c r="D634" s="11" t="str">
        <f>IF($A634="","",_xlfn.TEXTJOIN(", ",TRUE,IF($G634&gt;0,'Template Setup'!$C$4,""),IF($H634&gt;0,'Template Setup'!$C$5,""),IF($I634&gt;0,'Template Setup'!$C$6,""),IF($J634&gt;0,'Template Setup'!$C$7,""),IF($K634&gt;0,'Template Setup'!$C$8,"")))</f>
        <v/>
      </c>
      <c r="E634" s="6" t="str" cm="1">
        <f t="array" ref="E634">IF($A634="","",_xlfn.LET(_xlpm.sheets,CHOOSE({1,2,3,4,5},'Template Setup'!$C$4,'Template Setup'!$C$5,'Template Setup'!$C$6,'Template Setup'!$C$7,'Template Setup'!$C$8),_xlpm.nums,CHOOSE({1,2,3,4,5},$L634,$M634,$N634,$O634,$P634),_xlpm.qtys,CHOOSE({1,2,3,4,5},$G634,$H634,$I634,$J634,$K634),_xlpm.validNums,_xlfn._xlws.FILTER(_xlpm.nums,_xlpm.qtys&gt;0),_xlpm.validSheets,_xlfn._xlws.FILTER(_xlpm.sheets,_xlpm.qtys&gt;0),_xlpm.mx,IFERROR(MAX(_xlpm.validNums),0),IF(_xlpm.mx=0,"",INDEX(_xlpm.validSheets,MATCH(_xlpm.mx,_xlpm.validNums,0))&amp;" (+"&amp;$R634&amp;")")))</f>
        <v/>
      </c>
      <c r="F634" s="11" t="str">
        <f t="shared" si="39"/>
        <v/>
      </c>
      <c r="G634" s="12" t="str">
        <f ca="1">IF($A634="","",IFERROR(SUMIF(INDIRECT("'"&amp;'Template Setup'!$C$4&amp;"'!C:C"),$A634,INDIRECT("'"&amp;'Template Setup'!$C$4&amp;"'!A:A")),0))</f>
        <v/>
      </c>
      <c r="H634" s="12" t="str">
        <f ca="1">IF($A634="","",IFERROR(SUMIF(INDIRECT("'"&amp;'Template Setup'!$C$5&amp;"'!C:C"),$A634,INDIRECT("'"&amp;'Template Setup'!$C$5&amp;"'!A:A")),0))</f>
        <v/>
      </c>
      <c r="I634" s="12" t="str">
        <f ca="1">IF($A634="","",IFERROR(SUMIF(INDIRECT("'"&amp;'Template Setup'!$C$6&amp;"'!C:C"),$A634,INDIRECT("'"&amp;'Template Setup'!$C$6&amp;"'!A:A")),0))</f>
        <v/>
      </c>
      <c r="J634" s="12" t="str">
        <f ca="1">IF($A634="","",IFERROR(SUMIF(INDIRECT("'"&amp;'Template Setup'!$C$7&amp;"'!C:C"),$A634,INDIRECT("'"&amp;'Template Setup'!$C$7&amp;"'!A:A")),0))</f>
        <v/>
      </c>
      <c r="K634" s="12" t="str">
        <f ca="1">IF($A634="","",IFERROR(SUMIF(INDIRECT("'"&amp;'Template Setup'!$C$8&amp;"'!C:C"),$A634,INDIRECT("'"&amp;'Template Setup'!$C$8&amp;"'!A:A")),0))</f>
        <v/>
      </c>
      <c r="L634" s="11" t="str">
        <f>IF($A634="","",IFERROR(VALUE(MID(TRIM('Template Setup'!$C$4),FIND("-",TRIM('Template Setup'!$C$4))+1,10)),0))</f>
        <v/>
      </c>
      <c r="M634" s="11" t="str">
        <f>IF($A634="","",IFERROR(VALUE(MID(TRIM('Template Setup'!$C$5),FIND("-",TRIM('Template Setup'!$C$5))+1,10)),0))</f>
        <v/>
      </c>
      <c r="N634" s="11" t="str">
        <f>IF($A634="","",IFERROR(VALUE(MID(TRIM('Template Setup'!$C$6),FIND("-",TRIM('Template Setup'!$C$6))+1,10)),0))</f>
        <v/>
      </c>
      <c r="O634" s="11" t="str">
        <f>IF($A634="","",IFERROR(VALUE(MID(TRIM('Template Setup'!$C$7),FIND("-",TRIM('Template Setup'!$C$7))+1,10)),0))</f>
        <v/>
      </c>
      <c r="P634" s="11" t="str">
        <f>IF($A634="","",IFERROR(VALUE(MID(TRIM('Template Setup'!$C$8),FIND("-",TRIM('Template Setup'!$C$8))+1,10)),0))</f>
        <v/>
      </c>
      <c r="Q634" s="9" t="str">
        <f>IF($A634="","",$A634&amp;"-"&amp;'Template Setup'!$C$16)</f>
        <v/>
      </c>
      <c r="R634" s="24" t="str">
        <f t="shared" si="37"/>
        <v/>
      </c>
      <c r="S634" s="24"/>
      <c r="T634" s="24" t="str">
        <f t="shared" si="38"/>
        <v/>
      </c>
      <c r="U634" s="6" t="str">
        <f t="shared" si="40"/>
        <v/>
      </c>
    </row>
    <row r="635" spans="1:21">
      <c r="A635" s="11"/>
      <c r="B635" s="11"/>
      <c r="C635" s="11"/>
      <c r="D635" s="11" t="str">
        <f>IF($A635="","",_xlfn.TEXTJOIN(", ",TRUE,IF($G635&gt;0,'Template Setup'!$C$4,""),IF($H635&gt;0,'Template Setup'!$C$5,""),IF($I635&gt;0,'Template Setup'!$C$6,""),IF($J635&gt;0,'Template Setup'!$C$7,""),IF($K635&gt;0,'Template Setup'!$C$8,"")))</f>
        <v/>
      </c>
      <c r="E635" s="6" t="str" cm="1">
        <f t="array" ref="E635">IF($A635="","",_xlfn.LET(_xlpm.sheets,CHOOSE({1,2,3,4,5},'Template Setup'!$C$4,'Template Setup'!$C$5,'Template Setup'!$C$6,'Template Setup'!$C$7,'Template Setup'!$C$8),_xlpm.nums,CHOOSE({1,2,3,4,5},$L635,$M635,$N635,$O635,$P635),_xlpm.qtys,CHOOSE({1,2,3,4,5},$G635,$H635,$I635,$J635,$K635),_xlpm.validNums,_xlfn._xlws.FILTER(_xlpm.nums,_xlpm.qtys&gt;0),_xlpm.validSheets,_xlfn._xlws.FILTER(_xlpm.sheets,_xlpm.qtys&gt;0),_xlpm.mx,IFERROR(MAX(_xlpm.validNums),0),IF(_xlpm.mx=0,"",INDEX(_xlpm.validSheets,MATCH(_xlpm.mx,_xlpm.validNums,0))&amp;" (+"&amp;$R635&amp;")")))</f>
        <v/>
      </c>
      <c r="F635" s="11" t="str">
        <f t="shared" si="39"/>
        <v/>
      </c>
      <c r="G635" s="12" t="str">
        <f ca="1">IF($A635="","",IFERROR(SUMIF(INDIRECT("'"&amp;'Template Setup'!$C$4&amp;"'!C:C"),$A635,INDIRECT("'"&amp;'Template Setup'!$C$4&amp;"'!A:A")),0))</f>
        <v/>
      </c>
      <c r="H635" s="12" t="str">
        <f ca="1">IF($A635="","",IFERROR(SUMIF(INDIRECT("'"&amp;'Template Setup'!$C$5&amp;"'!C:C"),$A635,INDIRECT("'"&amp;'Template Setup'!$C$5&amp;"'!A:A")),0))</f>
        <v/>
      </c>
      <c r="I635" s="12" t="str">
        <f ca="1">IF($A635="","",IFERROR(SUMIF(INDIRECT("'"&amp;'Template Setup'!$C$6&amp;"'!C:C"),$A635,INDIRECT("'"&amp;'Template Setup'!$C$6&amp;"'!A:A")),0))</f>
        <v/>
      </c>
      <c r="J635" s="12" t="str">
        <f ca="1">IF($A635="","",IFERROR(SUMIF(INDIRECT("'"&amp;'Template Setup'!$C$7&amp;"'!C:C"),$A635,INDIRECT("'"&amp;'Template Setup'!$C$7&amp;"'!A:A")),0))</f>
        <v/>
      </c>
      <c r="K635" s="12" t="str">
        <f ca="1">IF($A635="","",IFERROR(SUMIF(INDIRECT("'"&amp;'Template Setup'!$C$8&amp;"'!C:C"),$A635,INDIRECT("'"&amp;'Template Setup'!$C$8&amp;"'!A:A")),0))</f>
        <v/>
      </c>
      <c r="L635" s="11" t="str">
        <f>IF($A635="","",IFERROR(VALUE(MID(TRIM('Template Setup'!$C$4),FIND("-",TRIM('Template Setup'!$C$4))+1,10)),0))</f>
        <v/>
      </c>
      <c r="M635" s="11" t="str">
        <f>IF($A635="","",IFERROR(VALUE(MID(TRIM('Template Setup'!$C$5),FIND("-",TRIM('Template Setup'!$C$5))+1,10)),0))</f>
        <v/>
      </c>
      <c r="N635" s="11" t="str">
        <f>IF($A635="","",IFERROR(VALUE(MID(TRIM('Template Setup'!$C$6),FIND("-",TRIM('Template Setup'!$C$6))+1,10)),0))</f>
        <v/>
      </c>
      <c r="O635" s="11" t="str">
        <f>IF($A635="","",IFERROR(VALUE(MID(TRIM('Template Setup'!$C$7),FIND("-",TRIM('Template Setup'!$C$7))+1,10)),0))</f>
        <v/>
      </c>
      <c r="P635" s="11" t="str">
        <f>IF($A635="","",IFERROR(VALUE(MID(TRIM('Template Setup'!$C$8),FIND("-",TRIM('Template Setup'!$C$8))+1,10)),0))</f>
        <v/>
      </c>
      <c r="Q635" s="9" t="str">
        <f>IF($A635="","",$A635&amp;"-"&amp;'Template Setup'!$C$16)</f>
        <v/>
      </c>
      <c r="R635" s="24" t="str">
        <f t="shared" si="37"/>
        <v/>
      </c>
      <c r="S635" s="24"/>
      <c r="T635" s="24" t="str">
        <f t="shared" si="38"/>
        <v/>
      </c>
      <c r="U635" s="6" t="str">
        <f t="shared" si="40"/>
        <v/>
      </c>
    </row>
    <row r="636" spans="1:21">
      <c r="A636" s="11"/>
      <c r="B636" s="11"/>
      <c r="C636" s="11"/>
      <c r="D636" s="11" t="str">
        <f>IF($A636="","",_xlfn.TEXTJOIN(", ",TRUE,IF($G636&gt;0,'Template Setup'!$C$4,""),IF($H636&gt;0,'Template Setup'!$C$5,""),IF($I636&gt;0,'Template Setup'!$C$6,""),IF($J636&gt;0,'Template Setup'!$C$7,""),IF($K636&gt;0,'Template Setup'!$C$8,"")))</f>
        <v/>
      </c>
      <c r="E636" s="6" t="str" cm="1">
        <f t="array" ref="E636">IF($A636="","",_xlfn.LET(_xlpm.sheets,CHOOSE({1,2,3,4,5},'Template Setup'!$C$4,'Template Setup'!$C$5,'Template Setup'!$C$6,'Template Setup'!$C$7,'Template Setup'!$C$8),_xlpm.nums,CHOOSE({1,2,3,4,5},$L636,$M636,$N636,$O636,$P636),_xlpm.qtys,CHOOSE({1,2,3,4,5},$G636,$H636,$I636,$J636,$K636),_xlpm.validNums,_xlfn._xlws.FILTER(_xlpm.nums,_xlpm.qtys&gt;0),_xlpm.validSheets,_xlfn._xlws.FILTER(_xlpm.sheets,_xlpm.qtys&gt;0),_xlpm.mx,IFERROR(MAX(_xlpm.validNums),0),IF(_xlpm.mx=0,"",INDEX(_xlpm.validSheets,MATCH(_xlpm.mx,_xlpm.validNums,0))&amp;" (+"&amp;$R636&amp;")")))</f>
        <v/>
      </c>
      <c r="F636" s="11" t="str">
        <f t="shared" si="39"/>
        <v/>
      </c>
      <c r="G636" s="12" t="str">
        <f ca="1">IF($A636="","",IFERROR(SUMIF(INDIRECT("'"&amp;'Template Setup'!$C$4&amp;"'!C:C"),$A636,INDIRECT("'"&amp;'Template Setup'!$C$4&amp;"'!A:A")),0))</f>
        <v/>
      </c>
      <c r="H636" s="12" t="str">
        <f ca="1">IF($A636="","",IFERROR(SUMIF(INDIRECT("'"&amp;'Template Setup'!$C$5&amp;"'!C:C"),$A636,INDIRECT("'"&amp;'Template Setup'!$C$5&amp;"'!A:A")),0))</f>
        <v/>
      </c>
      <c r="I636" s="12" t="str">
        <f ca="1">IF($A636="","",IFERROR(SUMIF(INDIRECT("'"&amp;'Template Setup'!$C$6&amp;"'!C:C"),$A636,INDIRECT("'"&amp;'Template Setup'!$C$6&amp;"'!A:A")),0))</f>
        <v/>
      </c>
      <c r="J636" s="12" t="str">
        <f ca="1">IF($A636="","",IFERROR(SUMIF(INDIRECT("'"&amp;'Template Setup'!$C$7&amp;"'!C:C"),$A636,INDIRECT("'"&amp;'Template Setup'!$C$7&amp;"'!A:A")),0))</f>
        <v/>
      </c>
      <c r="K636" s="12" t="str">
        <f ca="1">IF($A636="","",IFERROR(SUMIF(INDIRECT("'"&amp;'Template Setup'!$C$8&amp;"'!C:C"),$A636,INDIRECT("'"&amp;'Template Setup'!$C$8&amp;"'!A:A")),0))</f>
        <v/>
      </c>
      <c r="L636" s="11" t="str">
        <f>IF($A636="","",IFERROR(VALUE(MID(TRIM('Template Setup'!$C$4),FIND("-",TRIM('Template Setup'!$C$4))+1,10)),0))</f>
        <v/>
      </c>
      <c r="M636" s="11" t="str">
        <f>IF($A636="","",IFERROR(VALUE(MID(TRIM('Template Setup'!$C$5),FIND("-",TRIM('Template Setup'!$C$5))+1,10)),0))</f>
        <v/>
      </c>
      <c r="N636" s="11" t="str">
        <f>IF($A636="","",IFERROR(VALUE(MID(TRIM('Template Setup'!$C$6),FIND("-",TRIM('Template Setup'!$C$6))+1,10)),0))</f>
        <v/>
      </c>
      <c r="O636" s="11" t="str">
        <f>IF($A636="","",IFERROR(VALUE(MID(TRIM('Template Setup'!$C$7),FIND("-",TRIM('Template Setup'!$C$7))+1,10)),0))</f>
        <v/>
      </c>
      <c r="P636" s="11" t="str">
        <f>IF($A636="","",IFERROR(VALUE(MID(TRIM('Template Setup'!$C$8),FIND("-",TRIM('Template Setup'!$C$8))+1,10)),0))</f>
        <v/>
      </c>
      <c r="Q636" s="9" t="str">
        <f>IF($A636="","",$A636&amp;"-"&amp;'Template Setup'!$C$16)</f>
        <v/>
      </c>
      <c r="R636" s="24" t="str">
        <f t="shared" si="37"/>
        <v/>
      </c>
      <c r="S636" s="24"/>
      <c r="T636" s="24" t="str">
        <f t="shared" si="38"/>
        <v/>
      </c>
      <c r="U636" s="6" t="str">
        <f t="shared" si="40"/>
        <v/>
      </c>
    </row>
    <row r="637" spans="1:21">
      <c r="A637" s="11"/>
      <c r="B637" s="11"/>
      <c r="C637" s="11"/>
      <c r="D637" s="11" t="str">
        <f>IF($A637="","",_xlfn.TEXTJOIN(", ",TRUE,IF($G637&gt;0,'Template Setup'!$C$4,""),IF($H637&gt;0,'Template Setup'!$C$5,""),IF($I637&gt;0,'Template Setup'!$C$6,""),IF($J637&gt;0,'Template Setup'!$C$7,""),IF($K637&gt;0,'Template Setup'!$C$8,"")))</f>
        <v/>
      </c>
      <c r="E637" s="6" t="str" cm="1">
        <f t="array" ref="E637">IF($A637="","",_xlfn.LET(_xlpm.sheets,CHOOSE({1,2,3,4,5},'Template Setup'!$C$4,'Template Setup'!$C$5,'Template Setup'!$C$6,'Template Setup'!$C$7,'Template Setup'!$C$8),_xlpm.nums,CHOOSE({1,2,3,4,5},$L637,$M637,$N637,$O637,$P637),_xlpm.qtys,CHOOSE({1,2,3,4,5},$G637,$H637,$I637,$J637,$K637),_xlpm.validNums,_xlfn._xlws.FILTER(_xlpm.nums,_xlpm.qtys&gt;0),_xlpm.validSheets,_xlfn._xlws.FILTER(_xlpm.sheets,_xlpm.qtys&gt;0),_xlpm.mx,IFERROR(MAX(_xlpm.validNums),0),IF(_xlpm.mx=0,"",INDEX(_xlpm.validSheets,MATCH(_xlpm.mx,_xlpm.validNums,0))&amp;" (+"&amp;$R637&amp;")")))</f>
        <v/>
      </c>
      <c r="F637" s="11" t="str">
        <f t="shared" si="39"/>
        <v/>
      </c>
      <c r="G637" s="12" t="str">
        <f ca="1">IF($A637="","",IFERROR(SUMIF(INDIRECT("'"&amp;'Template Setup'!$C$4&amp;"'!C:C"),$A637,INDIRECT("'"&amp;'Template Setup'!$C$4&amp;"'!A:A")),0))</f>
        <v/>
      </c>
      <c r="H637" s="12" t="str">
        <f ca="1">IF($A637="","",IFERROR(SUMIF(INDIRECT("'"&amp;'Template Setup'!$C$5&amp;"'!C:C"),$A637,INDIRECT("'"&amp;'Template Setup'!$C$5&amp;"'!A:A")),0))</f>
        <v/>
      </c>
      <c r="I637" s="12" t="str">
        <f ca="1">IF($A637="","",IFERROR(SUMIF(INDIRECT("'"&amp;'Template Setup'!$C$6&amp;"'!C:C"),$A637,INDIRECT("'"&amp;'Template Setup'!$C$6&amp;"'!A:A")),0))</f>
        <v/>
      </c>
      <c r="J637" s="12" t="str">
        <f ca="1">IF($A637="","",IFERROR(SUMIF(INDIRECT("'"&amp;'Template Setup'!$C$7&amp;"'!C:C"),$A637,INDIRECT("'"&amp;'Template Setup'!$C$7&amp;"'!A:A")),0))</f>
        <v/>
      </c>
      <c r="K637" s="12" t="str">
        <f ca="1">IF($A637="","",IFERROR(SUMIF(INDIRECT("'"&amp;'Template Setup'!$C$8&amp;"'!C:C"),$A637,INDIRECT("'"&amp;'Template Setup'!$C$8&amp;"'!A:A")),0))</f>
        <v/>
      </c>
      <c r="L637" s="11" t="str">
        <f>IF($A637="","",IFERROR(VALUE(MID(TRIM('Template Setup'!$C$4),FIND("-",TRIM('Template Setup'!$C$4))+1,10)),0))</f>
        <v/>
      </c>
      <c r="M637" s="11" t="str">
        <f>IF($A637="","",IFERROR(VALUE(MID(TRIM('Template Setup'!$C$5),FIND("-",TRIM('Template Setup'!$C$5))+1,10)),0))</f>
        <v/>
      </c>
      <c r="N637" s="11" t="str">
        <f>IF($A637="","",IFERROR(VALUE(MID(TRIM('Template Setup'!$C$6),FIND("-",TRIM('Template Setup'!$C$6))+1,10)),0))</f>
        <v/>
      </c>
      <c r="O637" s="11" t="str">
        <f>IF($A637="","",IFERROR(VALUE(MID(TRIM('Template Setup'!$C$7),FIND("-",TRIM('Template Setup'!$C$7))+1,10)),0))</f>
        <v/>
      </c>
      <c r="P637" s="11" t="str">
        <f>IF($A637="","",IFERROR(VALUE(MID(TRIM('Template Setup'!$C$8),FIND("-",TRIM('Template Setup'!$C$8))+1,10)),0))</f>
        <v/>
      </c>
      <c r="Q637" s="9" t="str">
        <f>IF($A637="","",$A637&amp;"-"&amp;'Template Setup'!$C$16)</f>
        <v/>
      </c>
      <c r="R637" s="24" t="str">
        <f t="shared" si="37"/>
        <v/>
      </c>
      <c r="S637" s="24"/>
      <c r="T637" s="24" t="str">
        <f t="shared" si="38"/>
        <v/>
      </c>
      <c r="U637" s="6" t="str">
        <f t="shared" si="40"/>
        <v/>
      </c>
    </row>
    <row r="638" spans="1:21">
      <c r="A638" s="11"/>
      <c r="B638" s="11"/>
      <c r="C638" s="11"/>
      <c r="D638" s="11" t="str">
        <f>IF($A638="","",_xlfn.TEXTJOIN(", ",TRUE,IF($G638&gt;0,'Template Setup'!$C$4,""),IF($H638&gt;0,'Template Setup'!$C$5,""),IF($I638&gt;0,'Template Setup'!$C$6,""),IF($J638&gt;0,'Template Setup'!$C$7,""),IF($K638&gt;0,'Template Setup'!$C$8,"")))</f>
        <v/>
      </c>
      <c r="E638" s="6" t="str" cm="1">
        <f t="array" ref="E638">IF($A638="","",_xlfn.LET(_xlpm.sheets,CHOOSE({1,2,3,4,5},'Template Setup'!$C$4,'Template Setup'!$C$5,'Template Setup'!$C$6,'Template Setup'!$C$7,'Template Setup'!$C$8),_xlpm.nums,CHOOSE({1,2,3,4,5},$L638,$M638,$N638,$O638,$P638),_xlpm.qtys,CHOOSE({1,2,3,4,5},$G638,$H638,$I638,$J638,$K638),_xlpm.validNums,_xlfn._xlws.FILTER(_xlpm.nums,_xlpm.qtys&gt;0),_xlpm.validSheets,_xlfn._xlws.FILTER(_xlpm.sheets,_xlpm.qtys&gt;0),_xlpm.mx,IFERROR(MAX(_xlpm.validNums),0),IF(_xlpm.mx=0,"",INDEX(_xlpm.validSheets,MATCH(_xlpm.mx,_xlpm.validNums,0))&amp;" (+"&amp;$R638&amp;")")))</f>
        <v/>
      </c>
      <c r="F638" s="11" t="str">
        <f t="shared" si="39"/>
        <v/>
      </c>
      <c r="G638" s="12" t="str">
        <f ca="1">IF($A638="","",IFERROR(SUMIF(INDIRECT("'"&amp;'Template Setup'!$C$4&amp;"'!C:C"),$A638,INDIRECT("'"&amp;'Template Setup'!$C$4&amp;"'!A:A")),0))</f>
        <v/>
      </c>
      <c r="H638" s="12" t="str">
        <f ca="1">IF($A638="","",IFERROR(SUMIF(INDIRECT("'"&amp;'Template Setup'!$C$5&amp;"'!C:C"),$A638,INDIRECT("'"&amp;'Template Setup'!$C$5&amp;"'!A:A")),0))</f>
        <v/>
      </c>
      <c r="I638" s="12" t="str">
        <f ca="1">IF($A638="","",IFERROR(SUMIF(INDIRECT("'"&amp;'Template Setup'!$C$6&amp;"'!C:C"),$A638,INDIRECT("'"&amp;'Template Setup'!$C$6&amp;"'!A:A")),0))</f>
        <v/>
      </c>
      <c r="J638" s="12" t="str">
        <f ca="1">IF($A638="","",IFERROR(SUMIF(INDIRECT("'"&amp;'Template Setup'!$C$7&amp;"'!C:C"),$A638,INDIRECT("'"&amp;'Template Setup'!$C$7&amp;"'!A:A")),0))</f>
        <v/>
      </c>
      <c r="K638" s="12" t="str">
        <f ca="1">IF($A638="","",IFERROR(SUMIF(INDIRECT("'"&amp;'Template Setup'!$C$8&amp;"'!C:C"),$A638,INDIRECT("'"&amp;'Template Setup'!$C$8&amp;"'!A:A")),0))</f>
        <v/>
      </c>
      <c r="L638" s="11" t="str">
        <f>IF($A638="","",IFERROR(VALUE(MID(TRIM('Template Setup'!$C$4),FIND("-",TRIM('Template Setup'!$C$4))+1,10)),0))</f>
        <v/>
      </c>
      <c r="M638" s="11" t="str">
        <f>IF($A638="","",IFERROR(VALUE(MID(TRIM('Template Setup'!$C$5),FIND("-",TRIM('Template Setup'!$C$5))+1,10)),0))</f>
        <v/>
      </c>
      <c r="N638" s="11" t="str">
        <f>IF($A638="","",IFERROR(VALUE(MID(TRIM('Template Setup'!$C$6),FIND("-",TRIM('Template Setup'!$C$6))+1,10)),0))</f>
        <v/>
      </c>
      <c r="O638" s="11" t="str">
        <f>IF($A638="","",IFERROR(VALUE(MID(TRIM('Template Setup'!$C$7),FIND("-",TRIM('Template Setup'!$C$7))+1,10)),0))</f>
        <v/>
      </c>
      <c r="P638" s="11" t="str">
        <f>IF($A638="","",IFERROR(VALUE(MID(TRIM('Template Setup'!$C$8),FIND("-",TRIM('Template Setup'!$C$8))+1,10)),0))</f>
        <v/>
      </c>
      <c r="Q638" s="9" t="str">
        <f>IF($A638="","",$A638&amp;"-"&amp;'Template Setup'!$C$16)</f>
        <v/>
      </c>
      <c r="R638" s="24" t="str">
        <f t="shared" si="37"/>
        <v/>
      </c>
      <c r="S638" s="24"/>
      <c r="T638" s="24" t="str">
        <f t="shared" si="38"/>
        <v/>
      </c>
      <c r="U638" s="6" t="str">
        <f t="shared" si="40"/>
        <v/>
      </c>
    </row>
    <row r="639" spans="1:21">
      <c r="A639" s="11"/>
      <c r="B639" s="11"/>
      <c r="C639" s="11"/>
      <c r="D639" s="11" t="str">
        <f>IF($A639="","",_xlfn.TEXTJOIN(", ",TRUE,IF($G639&gt;0,'Template Setup'!$C$4,""),IF($H639&gt;0,'Template Setup'!$C$5,""),IF($I639&gt;0,'Template Setup'!$C$6,""),IF($J639&gt;0,'Template Setup'!$C$7,""),IF($K639&gt;0,'Template Setup'!$C$8,"")))</f>
        <v/>
      </c>
      <c r="E639" s="6" t="str" cm="1">
        <f t="array" ref="E639">IF($A639="","",_xlfn.LET(_xlpm.sheets,CHOOSE({1,2,3,4,5},'Template Setup'!$C$4,'Template Setup'!$C$5,'Template Setup'!$C$6,'Template Setup'!$C$7,'Template Setup'!$C$8),_xlpm.nums,CHOOSE({1,2,3,4,5},$L639,$M639,$N639,$O639,$P639),_xlpm.qtys,CHOOSE({1,2,3,4,5},$G639,$H639,$I639,$J639,$K639),_xlpm.validNums,_xlfn._xlws.FILTER(_xlpm.nums,_xlpm.qtys&gt;0),_xlpm.validSheets,_xlfn._xlws.FILTER(_xlpm.sheets,_xlpm.qtys&gt;0),_xlpm.mx,IFERROR(MAX(_xlpm.validNums),0),IF(_xlpm.mx=0,"",INDEX(_xlpm.validSheets,MATCH(_xlpm.mx,_xlpm.validNums,0))&amp;" (+"&amp;$R639&amp;")")))</f>
        <v/>
      </c>
      <c r="F639" s="11" t="str">
        <f t="shared" si="39"/>
        <v/>
      </c>
      <c r="G639" s="12" t="str">
        <f ca="1">IF($A639="","",IFERROR(SUMIF(INDIRECT("'"&amp;'Template Setup'!$C$4&amp;"'!C:C"),$A639,INDIRECT("'"&amp;'Template Setup'!$C$4&amp;"'!A:A")),0))</f>
        <v/>
      </c>
      <c r="H639" s="12" t="str">
        <f ca="1">IF($A639="","",IFERROR(SUMIF(INDIRECT("'"&amp;'Template Setup'!$C$5&amp;"'!C:C"),$A639,INDIRECT("'"&amp;'Template Setup'!$C$5&amp;"'!A:A")),0))</f>
        <v/>
      </c>
      <c r="I639" s="12" t="str">
        <f ca="1">IF($A639="","",IFERROR(SUMIF(INDIRECT("'"&amp;'Template Setup'!$C$6&amp;"'!C:C"),$A639,INDIRECT("'"&amp;'Template Setup'!$C$6&amp;"'!A:A")),0))</f>
        <v/>
      </c>
      <c r="J639" s="12" t="str">
        <f ca="1">IF($A639="","",IFERROR(SUMIF(INDIRECT("'"&amp;'Template Setup'!$C$7&amp;"'!C:C"),$A639,INDIRECT("'"&amp;'Template Setup'!$C$7&amp;"'!A:A")),0))</f>
        <v/>
      </c>
      <c r="K639" s="12" t="str">
        <f ca="1">IF($A639="","",IFERROR(SUMIF(INDIRECT("'"&amp;'Template Setup'!$C$8&amp;"'!C:C"),$A639,INDIRECT("'"&amp;'Template Setup'!$C$8&amp;"'!A:A")),0))</f>
        <v/>
      </c>
      <c r="L639" s="11" t="str">
        <f>IF($A639="","",IFERROR(VALUE(MID(TRIM('Template Setup'!$C$4),FIND("-",TRIM('Template Setup'!$C$4))+1,10)),0))</f>
        <v/>
      </c>
      <c r="M639" s="11" t="str">
        <f>IF($A639="","",IFERROR(VALUE(MID(TRIM('Template Setup'!$C$5),FIND("-",TRIM('Template Setup'!$C$5))+1,10)),0))</f>
        <v/>
      </c>
      <c r="N639" s="11" t="str">
        <f>IF($A639="","",IFERROR(VALUE(MID(TRIM('Template Setup'!$C$6),FIND("-",TRIM('Template Setup'!$C$6))+1,10)),0))</f>
        <v/>
      </c>
      <c r="O639" s="11" t="str">
        <f>IF($A639="","",IFERROR(VALUE(MID(TRIM('Template Setup'!$C$7),FIND("-",TRIM('Template Setup'!$C$7))+1,10)),0))</f>
        <v/>
      </c>
      <c r="P639" s="11" t="str">
        <f>IF($A639="","",IFERROR(VALUE(MID(TRIM('Template Setup'!$C$8),FIND("-",TRIM('Template Setup'!$C$8))+1,10)),0))</f>
        <v/>
      </c>
      <c r="Q639" s="9" t="str">
        <f>IF($A639="","",$A639&amp;"-"&amp;'Template Setup'!$C$16)</f>
        <v/>
      </c>
      <c r="R639" s="24" t="str">
        <f t="shared" si="37"/>
        <v/>
      </c>
      <c r="S639" s="24"/>
      <c r="T639" s="24" t="str">
        <f t="shared" si="38"/>
        <v/>
      </c>
      <c r="U639" s="6" t="str">
        <f t="shared" si="40"/>
        <v/>
      </c>
    </row>
    <row r="640" spans="1:21">
      <c r="A640" s="11"/>
      <c r="B640" s="11"/>
      <c r="C640" s="11"/>
      <c r="D640" s="11" t="str">
        <f>IF($A640="","",_xlfn.TEXTJOIN(", ",TRUE,IF($G640&gt;0,'Template Setup'!$C$4,""),IF($H640&gt;0,'Template Setup'!$C$5,""),IF($I640&gt;0,'Template Setup'!$C$6,""),IF($J640&gt;0,'Template Setup'!$C$7,""),IF($K640&gt;0,'Template Setup'!$C$8,"")))</f>
        <v/>
      </c>
      <c r="E640" s="6" t="str" cm="1">
        <f t="array" ref="E640">IF($A640="","",_xlfn.LET(_xlpm.sheets,CHOOSE({1,2,3,4,5},'Template Setup'!$C$4,'Template Setup'!$C$5,'Template Setup'!$C$6,'Template Setup'!$C$7,'Template Setup'!$C$8),_xlpm.nums,CHOOSE({1,2,3,4,5},$L640,$M640,$N640,$O640,$P640),_xlpm.qtys,CHOOSE({1,2,3,4,5},$G640,$H640,$I640,$J640,$K640),_xlpm.validNums,_xlfn._xlws.FILTER(_xlpm.nums,_xlpm.qtys&gt;0),_xlpm.validSheets,_xlfn._xlws.FILTER(_xlpm.sheets,_xlpm.qtys&gt;0),_xlpm.mx,IFERROR(MAX(_xlpm.validNums),0),IF(_xlpm.mx=0,"",INDEX(_xlpm.validSheets,MATCH(_xlpm.mx,_xlpm.validNums,0))&amp;" (+"&amp;$R640&amp;")")))</f>
        <v/>
      </c>
      <c r="F640" s="11" t="str">
        <f t="shared" si="39"/>
        <v/>
      </c>
      <c r="G640" s="12" t="str">
        <f ca="1">IF($A640="","",IFERROR(SUMIF(INDIRECT("'"&amp;'Template Setup'!$C$4&amp;"'!C:C"),$A640,INDIRECT("'"&amp;'Template Setup'!$C$4&amp;"'!A:A")),0))</f>
        <v/>
      </c>
      <c r="H640" s="12" t="str">
        <f ca="1">IF($A640="","",IFERROR(SUMIF(INDIRECT("'"&amp;'Template Setup'!$C$5&amp;"'!C:C"),$A640,INDIRECT("'"&amp;'Template Setup'!$C$5&amp;"'!A:A")),0))</f>
        <v/>
      </c>
      <c r="I640" s="12" t="str">
        <f ca="1">IF($A640="","",IFERROR(SUMIF(INDIRECT("'"&amp;'Template Setup'!$C$6&amp;"'!C:C"),$A640,INDIRECT("'"&amp;'Template Setup'!$C$6&amp;"'!A:A")),0))</f>
        <v/>
      </c>
      <c r="J640" s="12" t="str">
        <f ca="1">IF($A640="","",IFERROR(SUMIF(INDIRECT("'"&amp;'Template Setup'!$C$7&amp;"'!C:C"),$A640,INDIRECT("'"&amp;'Template Setup'!$C$7&amp;"'!A:A")),0))</f>
        <v/>
      </c>
      <c r="K640" s="12" t="str">
        <f ca="1">IF($A640="","",IFERROR(SUMIF(INDIRECT("'"&amp;'Template Setup'!$C$8&amp;"'!C:C"),$A640,INDIRECT("'"&amp;'Template Setup'!$C$8&amp;"'!A:A")),0))</f>
        <v/>
      </c>
      <c r="L640" s="11" t="str">
        <f>IF($A640="","",IFERROR(VALUE(MID(TRIM('Template Setup'!$C$4),FIND("-",TRIM('Template Setup'!$C$4))+1,10)),0))</f>
        <v/>
      </c>
      <c r="M640" s="11" t="str">
        <f>IF($A640="","",IFERROR(VALUE(MID(TRIM('Template Setup'!$C$5),FIND("-",TRIM('Template Setup'!$C$5))+1,10)),0))</f>
        <v/>
      </c>
      <c r="N640" s="11" t="str">
        <f>IF($A640="","",IFERROR(VALUE(MID(TRIM('Template Setup'!$C$6),FIND("-",TRIM('Template Setup'!$C$6))+1,10)),0))</f>
        <v/>
      </c>
      <c r="O640" s="11" t="str">
        <f>IF($A640="","",IFERROR(VALUE(MID(TRIM('Template Setup'!$C$7),FIND("-",TRIM('Template Setup'!$C$7))+1,10)),0))</f>
        <v/>
      </c>
      <c r="P640" s="11" t="str">
        <f>IF($A640="","",IFERROR(VALUE(MID(TRIM('Template Setup'!$C$8),FIND("-",TRIM('Template Setup'!$C$8))+1,10)),0))</f>
        <v/>
      </c>
      <c r="Q640" s="9" t="str">
        <f>IF($A640="","",$A640&amp;"-"&amp;'Template Setup'!$C$16)</f>
        <v/>
      </c>
      <c r="R640" s="24" t="str">
        <f t="shared" si="37"/>
        <v/>
      </c>
      <c r="S640" s="24"/>
      <c r="T640" s="24" t="str">
        <f t="shared" si="38"/>
        <v/>
      </c>
      <c r="U640" s="6" t="str">
        <f t="shared" si="40"/>
        <v/>
      </c>
    </row>
    <row r="641" spans="1:21">
      <c r="A641" s="11"/>
      <c r="B641" s="11"/>
      <c r="C641" s="11"/>
      <c r="D641" s="11" t="str">
        <f>IF($A641="","",_xlfn.TEXTJOIN(", ",TRUE,IF($G641&gt;0,'Template Setup'!$C$4,""),IF($H641&gt;0,'Template Setup'!$C$5,""),IF($I641&gt;0,'Template Setup'!$C$6,""),IF($J641&gt;0,'Template Setup'!$C$7,""),IF($K641&gt;0,'Template Setup'!$C$8,"")))</f>
        <v/>
      </c>
      <c r="E641" s="6" t="str" cm="1">
        <f t="array" ref="E641">IF($A641="","",_xlfn.LET(_xlpm.sheets,CHOOSE({1,2,3,4,5},'Template Setup'!$C$4,'Template Setup'!$C$5,'Template Setup'!$C$6,'Template Setup'!$C$7,'Template Setup'!$C$8),_xlpm.nums,CHOOSE({1,2,3,4,5},$L641,$M641,$N641,$O641,$P641),_xlpm.qtys,CHOOSE({1,2,3,4,5},$G641,$H641,$I641,$J641,$K641),_xlpm.validNums,_xlfn._xlws.FILTER(_xlpm.nums,_xlpm.qtys&gt;0),_xlpm.validSheets,_xlfn._xlws.FILTER(_xlpm.sheets,_xlpm.qtys&gt;0),_xlpm.mx,IFERROR(MAX(_xlpm.validNums),0),IF(_xlpm.mx=0,"",INDEX(_xlpm.validSheets,MATCH(_xlpm.mx,_xlpm.validNums,0))&amp;" (+"&amp;$R641&amp;")")))</f>
        <v/>
      </c>
      <c r="F641" s="11" t="str">
        <f t="shared" si="39"/>
        <v/>
      </c>
      <c r="G641" s="12" t="str">
        <f ca="1">IF($A641="","",IFERROR(SUMIF(INDIRECT("'"&amp;'Template Setup'!$C$4&amp;"'!C:C"),$A641,INDIRECT("'"&amp;'Template Setup'!$C$4&amp;"'!A:A")),0))</f>
        <v/>
      </c>
      <c r="H641" s="12" t="str">
        <f ca="1">IF($A641="","",IFERROR(SUMIF(INDIRECT("'"&amp;'Template Setup'!$C$5&amp;"'!C:C"),$A641,INDIRECT("'"&amp;'Template Setup'!$C$5&amp;"'!A:A")),0))</f>
        <v/>
      </c>
      <c r="I641" s="12" t="str">
        <f ca="1">IF($A641="","",IFERROR(SUMIF(INDIRECT("'"&amp;'Template Setup'!$C$6&amp;"'!C:C"),$A641,INDIRECT("'"&amp;'Template Setup'!$C$6&amp;"'!A:A")),0))</f>
        <v/>
      </c>
      <c r="J641" s="12" t="str">
        <f ca="1">IF($A641="","",IFERROR(SUMIF(INDIRECT("'"&amp;'Template Setup'!$C$7&amp;"'!C:C"),$A641,INDIRECT("'"&amp;'Template Setup'!$C$7&amp;"'!A:A")),0))</f>
        <v/>
      </c>
      <c r="K641" s="12" t="str">
        <f ca="1">IF($A641="","",IFERROR(SUMIF(INDIRECT("'"&amp;'Template Setup'!$C$8&amp;"'!C:C"),$A641,INDIRECT("'"&amp;'Template Setup'!$C$8&amp;"'!A:A")),0))</f>
        <v/>
      </c>
      <c r="L641" s="11" t="str">
        <f>IF($A641="","",IFERROR(VALUE(MID(TRIM('Template Setup'!$C$4),FIND("-",TRIM('Template Setup'!$C$4))+1,10)),0))</f>
        <v/>
      </c>
      <c r="M641" s="11" t="str">
        <f>IF($A641="","",IFERROR(VALUE(MID(TRIM('Template Setup'!$C$5),FIND("-",TRIM('Template Setup'!$C$5))+1,10)),0))</f>
        <v/>
      </c>
      <c r="N641" s="11" t="str">
        <f>IF($A641="","",IFERROR(VALUE(MID(TRIM('Template Setup'!$C$6),FIND("-",TRIM('Template Setup'!$C$6))+1,10)),0))</f>
        <v/>
      </c>
      <c r="O641" s="11" t="str">
        <f>IF($A641="","",IFERROR(VALUE(MID(TRIM('Template Setup'!$C$7),FIND("-",TRIM('Template Setup'!$C$7))+1,10)),0))</f>
        <v/>
      </c>
      <c r="P641" s="11" t="str">
        <f>IF($A641="","",IFERROR(VALUE(MID(TRIM('Template Setup'!$C$8),FIND("-",TRIM('Template Setup'!$C$8))+1,10)),0))</f>
        <v/>
      </c>
      <c r="Q641" s="9" t="str">
        <f>IF($A641="","",$A641&amp;"-"&amp;'Template Setup'!$C$16)</f>
        <v/>
      </c>
      <c r="R641" s="24" t="str">
        <f t="shared" si="37"/>
        <v/>
      </c>
      <c r="S641" s="24"/>
      <c r="T641" s="24" t="str">
        <f t="shared" si="38"/>
        <v/>
      </c>
      <c r="U641" s="6" t="str">
        <f t="shared" si="40"/>
        <v/>
      </c>
    </row>
    <row r="642" spans="1:21">
      <c r="A642" s="11"/>
      <c r="B642" s="11"/>
      <c r="C642" s="11"/>
      <c r="D642" s="11" t="str">
        <f>IF($A642="","",_xlfn.TEXTJOIN(", ",TRUE,IF($G642&gt;0,'Template Setup'!$C$4,""),IF($H642&gt;0,'Template Setup'!$C$5,""),IF($I642&gt;0,'Template Setup'!$C$6,""),IF($J642&gt;0,'Template Setup'!$C$7,""),IF($K642&gt;0,'Template Setup'!$C$8,"")))</f>
        <v/>
      </c>
      <c r="E642" s="6" t="str" cm="1">
        <f t="array" ref="E642">IF($A642="","",_xlfn.LET(_xlpm.sheets,CHOOSE({1,2,3,4,5},'Template Setup'!$C$4,'Template Setup'!$C$5,'Template Setup'!$C$6,'Template Setup'!$C$7,'Template Setup'!$C$8),_xlpm.nums,CHOOSE({1,2,3,4,5},$L642,$M642,$N642,$O642,$P642),_xlpm.qtys,CHOOSE({1,2,3,4,5},$G642,$H642,$I642,$J642,$K642),_xlpm.validNums,_xlfn._xlws.FILTER(_xlpm.nums,_xlpm.qtys&gt;0),_xlpm.validSheets,_xlfn._xlws.FILTER(_xlpm.sheets,_xlpm.qtys&gt;0),_xlpm.mx,IFERROR(MAX(_xlpm.validNums),0),IF(_xlpm.mx=0,"",INDEX(_xlpm.validSheets,MATCH(_xlpm.mx,_xlpm.validNums,0))&amp;" (+"&amp;$R642&amp;")")))</f>
        <v/>
      </c>
      <c r="F642" s="11" t="str">
        <f t="shared" si="39"/>
        <v/>
      </c>
      <c r="G642" s="12" t="str">
        <f ca="1">IF($A642="","",IFERROR(SUMIF(INDIRECT("'"&amp;'Template Setup'!$C$4&amp;"'!C:C"),$A642,INDIRECT("'"&amp;'Template Setup'!$C$4&amp;"'!A:A")),0))</f>
        <v/>
      </c>
      <c r="H642" s="12" t="str">
        <f ca="1">IF($A642="","",IFERROR(SUMIF(INDIRECT("'"&amp;'Template Setup'!$C$5&amp;"'!C:C"),$A642,INDIRECT("'"&amp;'Template Setup'!$C$5&amp;"'!A:A")),0))</f>
        <v/>
      </c>
      <c r="I642" s="12" t="str">
        <f ca="1">IF($A642="","",IFERROR(SUMIF(INDIRECT("'"&amp;'Template Setup'!$C$6&amp;"'!C:C"),$A642,INDIRECT("'"&amp;'Template Setup'!$C$6&amp;"'!A:A")),0))</f>
        <v/>
      </c>
      <c r="J642" s="12" t="str">
        <f ca="1">IF($A642="","",IFERROR(SUMIF(INDIRECT("'"&amp;'Template Setup'!$C$7&amp;"'!C:C"),$A642,INDIRECT("'"&amp;'Template Setup'!$C$7&amp;"'!A:A")),0))</f>
        <v/>
      </c>
      <c r="K642" s="12" t="str">
        <f ca="1">IF($A642="","",IFERROR(SUMIF(INDIRECT("'"&amp;'Template Setup'!$C$8&amp;"'!C:C"),$A642,INDIRECT("'"&amp;'Template Setup'!$C$8&amp;"'!A:A")),0))</f>
        <v/>
      </c>
      <c r="L642" s="11" t="str">
        <f>IF($A642="","",IFERROR(VALUE(MID(TRIM('Template Setup'!$C$4),FIND("-",TRIM('Template Setup'!$C$4))+1,10)),0))</f>
        <v/>
      </c>
      <c r="M642" s="11" t="str">
        <f>IF($A642="","",IFERROR(VALUE(MID(TRIM('Template Setup'!$C$5),FIND("-",TRIM('Template Setup'!$C$5))+1,10)),0))</f>
        <v/>
      </c>
      <c r="N642" s="11" t="str">
        <f>IF($A642="","",IFERROR(VALUE(MID(TRIM('Template Setup'!$C$6),FIND("-",TRIM('Template Setup'!$C$6))+1,10)),0))</f>
        <v/>
      </c>
      <c r="O642" s="11" t="str">
        <f>IF($A642="","",IFERROR(VALUE(MID(TRIM('Template Setup'!$C$7),FIND("-",TRIM('Template Setup'!$C$7))+1,10)),0))</f>
        <v/>
      </c>
      <c r="P642" s="11" t="str">
        <f>IF($A642="","",IFERROR(VALUE(MID(TRIM('Template Setup'!$C$8),FIND("-",TRIM('Template Setup'!$C$8))+1,10)),0))</f>
        <v/>
      </c>
      <c r="Q642" s="9" t="str">
        <f>IF($A642="","",$A642&amp;"-"&amp;'Template Setup'!$C$16)</f>
        <v/>
      </c>
      <c r="R642" s="24" t="str">
        <f t="shared" ref="R642:R705" si="41">IF($A642="","",SUM($G642:$K642))</f>
        <v/>
      </c>
      <c r="S642" s="24"/>
      <c r="T642" s="24" t="str">
        <f t="shared" ref="T642:T705" si="42">IF($A642="","",IF(ISBLANK(S642),"",N(R642)+S642))</f>
        <v/>
      </c>
      <c r="U642" s="6" t="str">
        <f t="shared" si="40"/>
        <v/>
      </c>
    </row>
    <row r="643" spans="1:21">
      <c r="A643" s="11"/>
      <c r="B643" s="11"/>
      <c r="C643" s="11"/>
      <c r="D643" s="11" t="str">
        <f>IF($A643="","",_xlfn.TEXTJOIN(", ",TRUE,IF($G643&gt;0,'Template Setup'!$C$4,""),IF($H643&gt;0,'Template Setup'!$C$5,""),IF($I643&gt;0,'Template Setup'!$C$6,""),IF($J643&gt;0,'Template Setup'!$C$7,""),IF($K643&gt;0,'Template Setup'!$C$8,"")))</f>
        <v/>
      </c>
      <c r="E643" s="6" t="str" cm="1">
        <f t="array" ref="E643">IF($A643="","",_xlfn.LET(_xlpm.sheets,CHOOSE({1,2,3,4,5},'Template Setup'!$C$4,'Template Setup'!$C$5,'Template Setup'!$C$6,'Template Setup'!$C$7,'Template Setup'!$C$8),_xlpm.nums,CHOOSE({1,2,3,4,5},$L643,$M643,$N643,$O643,$P643),_xlpm.qtys,CHOOSE({1,2,3,4,5},$G643,$H643,$I643,$J643,$K643),_xlpm.validNums,_xlfn._xlws.FILTER(_xlpm.nums,_xlpm.qtys&gt;0),_xlpm.validSheets,_xlfn._xlws.FILTER(_xlpm.sheets,_xlpm.qtys&gt;0),_xlpm.mx,IFERROR(MAX(_xlpm.validNums),0),IF(_xlpm.mx=0,"",INDEX(_xlpm.validSheets,MATCH(_xlpm.mx,_xlpm.validNums,0))&amp;" (+"&amp;$R643&amp;")")))</f>
        <v/>
      </c>
      <c r="F643" s="11" t="str">
        <f t="shared" ref="F643:F706" si="43">IF($E643="","","PACP-"&amp;LEFT($E643,FIND("-",$E643)-1)&amp;"-000"&amp;MID($E643,FIND("-",$E643)+1,3))</f>
        <v/>
      </c>
      <c r="G643" s="12" t="str">
        <f ca="1">IF($A643="","",IFERROR(SUMIF(INDIRECT("'"&amp;'Template Setup'!$C$4&amp;"'!C:C"),$A643,INDIRECT("'"&amp;'Template Setup'!$C$4&amp;"'!A:A")),0))</f>
        <v/>
      </c>
      <c r="H643" s="12" t="str">
        <f ca="1">IF($A643="","",IFERROR(SUMIF(INDIRECT("'"&amp;'Template Setup'!$C$5&amp;"'!C:C"),$A643,INDIRECT("'"&amp;'Template Setup'!$C$5&amp;"'!A:A")),0))</f>
        <v/>
      </c>
      <c r="I643" s="12" t="str">
        <f ca="1">IF($A643="","",IFERROR(SUMIF(INDIRECT("'"&amp;'Template Setup'!$C$6&amp;"'!C:C"),$A643,INDIRECT("'"&amp;'Template Setup'!$C$6&amp;"'!A:A")),0))</f>
        <v/>
      </c>
      <c r="J643" s="12" t="str">
        <f ca="1">IF($A643="","",IFERROR(SUMIF(INDIRECT("'"&amp;'Template Setup'!$C$7&amp;"'!C:C"),$A643,INDIRECT("'"&amp;'Template Setup'!$C$7&amp;"'!A:A")),0))</f>
        <v/>
      </c>
      <c r="K643" s="12" t="str">
        <f ca="1">IF($A643="","",IFERROR(SUMIF(INDIRECT("'"&amp;'Template Setup'!$C$8&amp;"'!C:C"),$A643,INDIRECT("'"&amp;'Template Setup'!$C$8&amp;"'!A:A")),0))</f>
        <v/>
      </c>
      <c r="L643" s="11" t="str">
        <f>IF($A643="","",IFERROR(VALUE(MID(TRIM('Template Setup'!$C$4),FIND("-",TRIM('Template Setup'!$C$4))+1,10)),0))</f>
        <v/>
      </c>
      <c r="M643" s="11" t="str">
        <f>IF($A643="","",IFERROR(VALUE(MID(TRIM('Template Setup'!$C$5),FIND("-",TRIM('Template Setup'!$C$5))+1,10)),0))</f>
        <v/>
      </c>
      <c r="N643" s="11" t="str">
        <f>IF($A643="","",IFERROR(VALUE(MID(TRIM('Template Setup'!$C$6),FIND("-",TRIM('Template Setup'!$C$6))+1,10)),0))</f>
        <v/>
      </c>
      <c r="O643" s="11" t="str">
        <f>IF($A643="","",IFERROR(VALUE(MID(TRIM('Template Setup'!$C$7),FIND("-",TRIM('Template Setup'!$C$7))+1,10)),0))</f>
        <v/>
      </c>
      <c r="P643" s="11" t="str">
        <f>IF($A643="","",IFERROR(VALUE(MID(TRIM('Template Setup'!$C$8),FIND("-",TRIM('Template Setup'!$C$8))+1,10)),0))</f>
        <v/>
      </c>
      <c r="Q643" s="9" t="str">
        <f>IF($A643="","",$A643&amp;"-"&amp;'Template Setup'!$C$16)</f>
        <v/>
      </c>
      <c r="R643" s="24" t="str">
        <f t="shared" si="41"/>
        <v/>
      </c>
      <c r="S643" s="24"/>
      <c r="T643" s="24" t="str">
        <f t="shared" si="42"/>
        <v/>
      </c>
      <c r="U643" s="6" t="str">
        <f t="shared" si="40"/>
        <v/>
      </c>
    </row>
    <row r="644" spans="1:21">
      <c r="A644" s="11"/>
      <c r="B644" s="11"/>
      <c r="C644" s="11"/>
      <c r="D644" s="11" t="str">
        <f>IF($A644="","",_xlfn.TEXTJOIN(", ",TRUE,IF($G644&gt;0,'Template Setup'!$C$4,""),IF($H644&gt;0,'Template Setup'!$C$5,""),IF($I644&gt;0,'Template Setup'!$C$6,""),IF($J644&gt;0,'Template Setup'!$C$7,""),IF($K644&gt;0,'Template Setup'!$C$8,"")))</f>
        <v/>
      </c>
      <c r="E644" s="6" t="str" cm="1">
        <f t="array" ref="E644">IF($A644="","",_xlfn.LET(_xlpm.sheets,CHOOSE({1,2,3,4,5},'Template Setup'!$C$4,'Template Setup'!$C$5,'Template Setup'!$C$6,'Template Setup'!$C$7,'Template Setup'!$C$8),_xlpm.nums,CHOOSE({1,2,3,4,5},$L644,$M644,$N644,$O644,$P644),_xlpm.qtys,CHOOSE({1,2,3,4,5},$G644,$H644,$I644,$J644,$K644),_xlpm.validNums,_xlfn._xlws.FILTER(_xlpm.nums,_xlpm.qtys&gt;0),_xlpm.validSheets,_xlfn._xlws.FILTER(_xlpm.sheets,_xlpm.qtys&gt;0),_xlpm.mx,IFERROR(MAX(_xlpm.validNums),0),IF(_xlpm.mx=0,"",INDEX(_xlpm.validSheets,MATCH(_xlpm.mx,_xlpm.validNums,0))&amp;" (+"&amp;$R644&amp;")")))</f>
        <v/>
      </c>
      <c r="F644" s="11" t="str">
        <f t="shared" si="43"/>
        <v/>
      </c>
      <c r="G644" s="12" t="str">
        <f ca="1">IF($A644="","",IFERROR(SUMIF(INDIRECT("'"&amp;'Template Setup'!$C$4&amp;"'!C:C"),$A644,INDIRECT("'"&amp;'Template Setup'!$C$4&amp;"'!A:A")),0))</f>
        <v/>
      </c>
      <c r="H644" s="12" t="str">
        <f ca="1">IF($A644="","",IFERROR(SUMIF(INDIRECT("'"&amp;'Template Setup'!$C$5&amp;"'!C:C"),$A644,INDIRECT("'"&amp;'Template Setup'!$C$5&amp;"'!A:A")),0))</f>
        <v/>
      </c>
      <c r="I644" s="12" t="str">
        <f ca="1">IF($A644="","",IFERROR(SUMIF(INDIRECT("'"&amp;'Template Setup'!$C$6&amp;"'!C:C"),$A644,INDIRECT("'"&amp;'Template Setup'!$C$6&amp;"'!A:A")),0))</f>
        <v/>
      </c>
      <c r="J644" s="12" t="str">
        <f ca="1">IF($A644="","",IFERROR(SUMIF(INDIRECT("'"&amp;'Template Setup'!$C$7&amp;"'!C:C"),$A644,INDIRECT("'"&amp;'Template Setup'!$C$7&amp;"'!A:A")),0))</f>
        <v/>
      </c>
      <c r="K644" s="12" t="str">
        <f ca="1">IF($A644="","",IFERROR(SUMIF(INDIRECT("'"&amp;'Template Setup'!$C$8&amp;"'!C:C"),$A644,INDIRECT("'"&amp;'Template Setup'!$C$8&amp;"'!A:A")),0))</f>
        <v/>
      </c>
      <c r="L644" s="11" t="str">
        <f>IF($A644="","",IFERROR(VALUE(MID(TRIM('Template Setup'!$C$4),FIND("-",TRIM('Template Setup'!$C$4))+1,10)),0))</f>
        <v/>
      </c>
      <c r="M644" s="11" t="str">
        <f>IF($A644="","",IFERROR(VALUE(MID(TRIM('Template Setup'!$C$5),FIND("-",TRIM('Template Setup'!$C$5))+1,10)),0))</f>
        <v/>
      </c>
      <c r="N644" s="11" t="str">
        <f>IF($A644="","",IFERROR(VALUE(MID(TRIM('Template Setup'!$C$6),FIND("-",TRIM('Template Setup'!$C$6))+1,10)),0))</f>
        <v/>
      </c>
      <c r="O644" s="11" t="str">
        <f>IF($A644="","",IFERROR(VALUE(MID(TRIM('Template Setup'!$C$7),FIND("-",TRIM('Template Setup'!$C$7))+1,10)),0))</f>
        <v/>
      </c>
      <c r="P644" s="11" t="str">
        <f>IF($A644="","",IFERROR(VALUE(MID(TRIM('Template Setup'!$C$8),FIND("-",TRIM('Template Setup'!$C$8))+1,10)),0))</f>
        <v/>
      </c>
      <c r="Q644" s="9" t="str">
        <f>IF($A644="","",$A644&amp;"-"&amp;'Template Setup'!$C$16)</f>
        <v/>
      </c>
      <c r="R644" s="24" t="str">
        <f t="shared" si="41"/>
        <v/>
      </c>
      <c r="S644" s="24"/>
      <c r="T644" s="24" t="str">
        <f t="shared" si="42"/>
        <v/>
      </c>
      <c r="U644" s="6" t="str">
        <f t="shared" si="40"/>
        <v/>
      </c>
    </row>
    <row r="645" spans="1:21">
      <c r="A645" s="11"/>
      <c r="B645" s="11"/>
      <c r="C645" s="11"/>
      <c r="D645" s="11" t="str">
        <f>IF($A645="","",_xlfn.TEXTJOIN(", ",TRUE,IF($G645&gt;0,'Template Setup'!$C$4,""),IF($H645&gt;0,'Template Setup'!$C$5,""),IF($I645&gt;0,'Template Setup'!$C$6,""),IF($J645&gt;0,'Template Setup'!$C$7,""),IF($K645&gt;0,'Template Setup'!$C$8,"")))</f>
        <v/>
      </c>
      <c r="E645" s="6" t="str" cm="1">
        <f t="array" ref="E645">IF($A645="","",_xlfn.LET(_xlpm.sheets,CHOOSE({1,2,3,4,5},'Template Setup'!$C$4,'Template Setup'!$C$5,'Template Setup'!$C$6,'Template Setup'!$C$7,'Template Setup'!$C$8),_xlpm.nums,CHOOSE({1,2,3,4,5},$L645,$M645,$N645,$O645,$P645),_xlpm.qtys,CHOOSE({1,2,3,4,5},$G645,$H645,$I645,$J645,$K645),_xlpm.validNums,_xlfn._xlws.FILTER(_xlpm.nums,_xlpm.qtys&gt;0),_xlpm.validSheets,_xlfn._xlws.FILTER(_xlpm.sheets,_xlpm.qtys&gt;0),_xlpm.mx,IFERROR(MAX(_xlpm.validNums),0),IF(_xlpm.mx=0,"",INDEX(_xlpm.validSheets,MATCH(_xlpm.mx,_xlpm.validNums,0))&amp;" (+"&amp;$R645&amp;")")))</f>
        <v/>
      </c>
      <c r="F645" s="11" t="str">
        <f t="shared" si="43"/>
        <v/>
      </c>
      <c r="G645" s="12" t="str">
        <f ca="1">IF($A645="","",IFERROR(SUMIF(INDIRECT("'"&amp;'Template Setup'!$C$4&amp;"'!C:C"),$A645,INDIRECT("'"&amp;'Template Setup'!$C$4&amp;"'!A:A")),0))</f>
        <v/>
      </c>
      <c r="H645" s="12" t="str">
        <f ca="1">IF($A645="","",IFERROR(SUMIF(INDIRECT("'"&amp;'Template Setup'!$C$5&amp;"'!C:C"),$A645,INDIRECT("'"&amp;'Template Setup'!$C$5&amp;"'!A:A")),0))</f>
        <v/>
      </c>
      <c r="I645" s="12" t="str">
        <f ca="1">IF($A645="","",IFERROR(SUMIF(INDIRECT("'"&amp;'Template Setup'!$C$6&amp;"'!C:C"),$A645,INDIRECT("'"&amp;'Template Setup'!$C$6&amp;"'!A:A")),0))</f>
        <v/>
      </c>
      <c r="J645" s="12" t="str">
        <f ca="1">IF($A645="","",IFERROR(SUMIF(INDIRECT("'"&amp;'Template Setup'!$C$7&amp;"'!C:C"),$A645,INDIRECT("'"&amp;'Template Setup'!$C$7&amp;"'!A:A")),0))</f>
        <v/>
      </c>
      <c r="K645" s="12" t="str">
        <f ca="1">IF($A645="","",IFERROR(SUMIF(INDIRECT("'"&amp;'Template Setup'!$C$8&amp;"'!C:C"),$A645,INDIRECT("'"&amp;'Template Setup'!$C$8&amp;"'!A:A")),0))</f>
        <v/>
      </c>
      <c r="L645" s="11" t="str">
        <f>IF($A645="","",IFERROR(VALUE(MID(TRIM('Template Setup'!$C$4),FIND("-",TRIM('Template Setup'!$C$4))+1,10)),0))</f>
        <v/>
      </c>
      <c r="M645" s="11" t="str">
        <f>IF($A645="","",IFERROR(VALUE(MID(TRIM('Template Setup'!$C$5),FIND("-",TRIM('Template Setup'!$C$5))+1,10)),0))</f>
        <v/>
      </c>
      <c r="N645" s="11" t="str">
        <f>IF($A645="","",IFERROR(VALUE(MID(TRIM('Template Setup'!$C$6),FIND("-",TRIM('Template Setup'!$C$6))+1,10)),0))</f>
        <v/>
      </c>
      <c r="O645" s="11" t="str">
        <f>IF($A645="","",IFERROR(VALUE(MID(TRIM('Template Setup'!$C$7),FIND("-",TRIM('Template Setup'!$C$7))+1,10)),0))</f>
        <v/>
      </c>
      <c r="P645" s="11" t="str">
        <f>IF($A645="","",IFERROR(VALUE(MID(TRIM('Template Setup'!$C$8),FIND("-",TRIM('Template Setup'!$C$8))+1,10)),0))</f>
        <v/>
      </c>
      <c r="Q645" s="9" t="str">
        <f>IF($A645="","",$A645&amp;"-"&amp;'Template Setup'!$C$16)</f>
        <v/>
      </c>
      <c r="R645" s="24" t="str">
        <f t="shared" si="41"/>
        <v/>
      </c>
      <c r="S645" s="24"/>
      <c r="T645" s="24" t="str">
        <f t="shared" si="42"/>
        <v/>
      </c>
      <c r="U645" s="6" t="str">
        <f t="shared" si="40"/>
        <v/>
      </c>
    </row>
    <row r="646" spans="1:21">
      <c r="A646" s="11"/>
      <c r="B646" s="11"/>
      <c r="C646" s="11"/>
      <c r="D646" s="11" t="str">
        <f>IF($A646="","",_xlfn.TEXTJOIN(", ",TRUE,IF($G646&gt;0,'Template Setup'!$C$4,""),IF($H646&gt;0,'Template Setup'!$C$5,""),IF($I646&gt;0,'Template Setup'!$C$6,""),IF($J646&gt;0,'Template Setup'!$C$7,""),IF($K646&gt;0,'Template Setup'!$C$8,"")))</f>
        <v/>
      </c>
      <c r="E646" s="6" t="str" cm="1">
        <f t="array" ref="E646">IF($A646="","",_xlfn.LET(_xlpm.sheets,CHOOSE({1,2,3,4,5},'Template Setup'!$C$4,'Template Setup'!$C$5,'Template Setup'!$C$6,'Template Setup'!$C$7,'Template Setup'!$C$8),_xlpm.nums,CHOOSE({1,2,3,4,5},$L646,$M646,$N646,$O646,$P646),_xlpm.qtys,CHOOSE({1,2,3,4,5},$G646,$H646,$I646,$J646,$K646),_xlpm.validNums,_xlfn._xlws.FILTER(_xlpm.nums,_xlpm.qtys&gt;0),_xlpm.validSheets,_xlfn._xlws.FILTER(_xlpm.sheets,_xlpm.qtys&gt;0),_xlpm.mx,IFERROR(MAX(_xlpm.validNums),0),IF(_xlpm.mx=0,"",INDEX(_xlpm.validSheets,MATCH(_xlpm.mx,_xlpm.validNums,0))&amp;" (+"&amp;$R646&amp;")")))</f>
        <v/>
      </c>
      <c r="F646" s="11" t="str">
        <f t="shared" si="43"/>
        <v/>
      </c>
      <c r="G646" s="12" t="str">
        <f ca="1">IF($A646="","",IFERROR(SUMIF(INDIRECT("'"&amp;'Template Setup'!$C$4&amp;"'!C:C"),$A646,INDIRECT("'"&amp;'Template Setup'!$C$4&amp;"'!A:A")),0))</f>
        <v/>
      </c>
      <c r="H646" s="12" t="str">
        <f ca="1">IF($A646="","",IFERROR(SUMIF(INDIRECT("'"&amp;'Template Setup'!$C$5&amp;"'!C:C"),$A646,INDIRECT("'"&amp;'Template Setup'!$C$5&amp;"'!A:A")),0))</f>
        <v/>
      </c>
      <c r="I646" s="12" t="str">
        <f ca="1">IF($A646="","",IFERROR(SUMIF(INDIRECT("'"&amp;'Template Setup'!$C$6&amp;"'!C:C"),$A646,INDIRECT("'"&amp;'Template Setup'!$C$6&amp;"'!A:A")),0))</f>
        <v/>
      </c>
      <c r="J646" s="12" t="str">
        <f ca="1">IF($A646="","",IFERROR(SUMIF(INDIRECT("'"&amp;'Template Setup'!$C$7&amp;"'!C:C"),$A646,INDIRECT("'"&amp;'Template Setup'!$C$7&amp;"'!A:A")),0))</f>
        <v/>
      </c>
      <c r="K646" s="12" t="str">
        <f ca="1">IF($A646="","",IFERROR(SUMIF(INDIRECT("'"&amp;'Template Setup'!$C$8&amp;"'!C:C"),$A646,INDIRECT("'"&amp;'Template Setup'!$C$8&amp;"'!A:A")),0))</f>
        <v/>
      </c>
      <c r="L646" s="11" t="str">
        <f>IF($A646="","",IFERROR(VALUE(MID(TRIM('Template Setup'!$C$4),FIND("-",TRIM('Template Setup'!$C$4))+1,10)),0))</f>
        <v/>
      </c>
      <c r="M646" s="11" t="str">
        <f>IF($A646="","",IFERROR(VALUE(MID(TRIM('Template Setup'!$C$5),FIND("-",TRIM('Template Setup'!$C$5))+1,10)),0))</f>
        <v/>
      </c>
      <c r="N646" s="11" t="str">
        <f>IF($A646="","",IFERROR(VALUE(MID(TRIM('Template Setup'!$C$6),FIND("-",TRIM('Template Setup'!$C$6))+1,10)),0))</f>
        <v/>
      </c>
      <c r="O646" s="11" t="str">
        <f>IF($A646="","",IFERROR(VALUE(MID(TRIM('Template Setup'!$C$7),FIND("-",TRIM('Template Setup'!$C$7))+1,10)),0))</f>
        <v/>
      </c>
      <c r="P646" s="11" t="str">
        <f>IF($A646="","",IFERROR(VALUE(MID(TRIM('Template Setup'!$C$8),FIND("-",TRIM('Template Setup'!$C$8))+1,10)),0))</f>
        <v/>
      </c>
      <c r="Q646" s="9" t="str">
        <f>IF($A646="","",$A646&amp;"-"&amp;'Template Setup'!$C$16)</f>
        <v/>
      </c>
      <c r="R646" s="24" t="str">
        <f t="shared" si="41"/>
        <v/>
      </c>
      <c r="S646" s="24"/>
      <c r="T646" s="24" t="str">
        <f t="shared" si="42"/>
        <v/>
      </c>
      <c r="U646" s="6" t="str">
        <f t="shared" si="40"/>
        <v/>
      </c>
    </row>
    <row r="647" spans="1:21">
      <c r="A647" s="11"/>
      <c r="B647" s="11"/>
      <c r="C647" s="11"/>
      <c r="D647" s="11" t="str">
        <f>IF($A647="","",_xlfn.TEXTJOIN(", ",TRUE,IF($G647&gt;0,'Template Setup'!$C$4,""),IF($H647&gt;0,'Template Setup'!$C$5,""),IF($I647&gt;0,'Template Setup'!$C$6,""),IF($J647&gt;0,'Template Setup'!$C$7,""),IF($K647&gt;0,'Template Setup'!$C$8,"")))</f>
        <v/>
      </c>
      <c r="E647" s="6" t="str" cm="1">
        <f t="array" ref="E647">IF($A647="","",_xlfn.LET(_xlpm.sheets,CHOOSE({1,2,3,4,5},'Template Setup'!$C$4,'Template Setup'!$C$5,'Template Setup'!$C$6,'Template Setup'!$C$7,'Template Setup'!$C$8),_xlpm.nums,CHOOSE({1,2,3,4,5},$L647,$M647,$N647,$O647,$P647),_xlpm.qtys,CHOOSE({1,2,3,4,5},$G647,$H647,$I647,$J647,$K647),_xlpm.validNums,_xlfn._xlws.FILTER(_xlpm.nums,_xlpm.qtys&gt;0),_xlpm.validSheets,_xlfn._xlws.FILTER(_xlpm.sheets,_xlpm.qtys&gt;0),_xlpm.mx,IFERROR(MAX(_xlpm.validNums),0),IF(_xlpm.mx=0,"",INDEX(_xlpm.validSheets,MATCH(_xlpm.mx,_xlpm.validNums,0))&amp;" (+"&amp;$R647&amp;")")))</f>
        <v/>
      </c>
      <c r="F647" s="11" t="str">
        <f t="shared" si="43"/>
        <v/>
      </c>
      <c r="G647" s="12" t="str">
        <f ca="1">IF($A647="","",IFERROR(SUMIF(INDIRECT("'"&amp;'Template Setup'!$C$4&amp;"'!C:C"),$A647,INDIRECT("'"&amp;'Template Setup'!$C$4&amp;"'!A:A")),0))</f>
        <v/>
      </c>
      <c r="H647" s="12" t="str">
        <f ca="1">IF($A647="","",IFERROR(SUMIF(INDIRECT("'"&amp;'Template Setup'!$C$5&amp;"'!C:C"),$A647,INDIRECT("'"&amp;'Template Setup'!$C$5&amp;"'!A:A")),0))</f>
        <v/>
      </c>
      <c r="I647" s="12" t="str">
        <f ca="1">IF($A647="","",IFERROR(SUMIF(INDIRECT("'"&amp;'Template Setup'!$C$6&amp;"'!C:C"),$A647,INDIRECT("'"&amp;'Template Setup'!$C$6&amp;"'!A:A")),0))</f>
        <v/>
      </c>
      <c r="J647" s="12" t="str">
        <f ca="1">IF($A647="","",IFERROR(SUMIF(INDIRECT("'"&amp;'Template Setup'!$C$7&amp;"'!C:C"),$A647,INDIRECT("'"&amp;'Template Setup'!$C$7&amp;"'!A:A")),0))</f>
        <v/>
      </c>
      <c r="K647" s="12" t="str">
        <f ca="1">IF($A647="","",IFERROR(SUMIF(INDIRECT("'"&amp;'Template Setup'!$C$8&amp;"'!C:C"),$A647,INDIRECT("'"&amp;'Template Setup'!$C$8&amp;"'!A:A")),0))</f>
        <v/>
      </c>
      <c r="L647" s="11" t="str">
        <f>IF($A647="","",IFERROR(VALUE(MID(TRIM('Template Setup'!$C$4),FIND("-",TRIM('Template Setup'!$C$4))+1,10)),0))</f>
        <v/>
      </c>
      <c r="M647" s="11" t="str">
        <f>IF($A647="","",IFERROR(VALUE(MID(TRIM('Template Setup'!$C$5),FIND("-",TRIM('Template Setup'!$C$5))+1,10)),0))</f>
        <v/>
      </c>
      <c r="N647" s="11" t="str">
        <f>IF($A647="","",IFERROR(VALUE(MID(TRIM('Template Setup'!$C$6),FIND("-",TRIM('Template Setup'!$C$6))+1,10)),0))</f>
        <v/>
      </c>
      <c r="O647" s="11" t="str">
        <f>IF($A647="","",IFERROR(VALUE(MID(TRIM('Template Setup'!$C$7),FIND("-",TRIM('Template Setup'!$C$7))+1,10)),0))</f>
        <v/>
      </c>
      <c r="P647" s="11" t="str">
        <f>IF($A647="","",IFERROR(VALUE(MID(TRIM('Template Setup'!$C$8),FIND("-",TRIM('Template Setup'!$C$8))+1,10)),0))</f>
        <v/>
      </c>
      <c r="Q647" s="9" t="str">
        <f>IF($A647="","",$A647&amp;"-"&amp;'Template Setup'!$C$16)</f>
        <v/>
      </c>
      <c r="R647" s="24" t="str">
        <f t="shared" si="41"/>
        <v/>
      </c>
      <c r="S647" s="24"/>
      <c r="T647" s="24" t="str">
        <f t="shared" si="42"/>
        <v/>
      </c>
      <c r="U647" s="6" t="str">
        <f t="shared" si="40"/>
        <v/>
      </c>
    </row>
    <row r="648" spans="1:21">
      <c r="A648" s="11"/>
      <c r="B648" s="11"/>
      <c r="C648" s="11"/>
      <c r="D648" s="11" t="str">
        <f>IF($A648="","",_xlfn.TEXTJOIN(", ",TRUE,IF($G648&gt;0,'Template Setup'!$C$4,""),IF($H648&gt;0,'Template Setup'!$C$5,""),IF($I648&gt;0,'Template Setup'!$C$6,""),IF($J648&gt;0,'Template Setup'!$C$7,""),IF($K648&gt;0,'Template Setup'!$C$8,"")))</f>
        <v/>
      </c>
      <c r="E648" s="6" t="str" cm="1">
        <f t="array" ref="E648">IF($A648="","",_xlfn.LET(_xlpm.sheets,CHOOSE({1,2,3,4,5},'Template Setup'!$C$4,'Template Setup'!$C$5,'Template Setup'!$C$6,'Template Setup'!$C$7,'Template Setup'!$C$8),_xlpm.nums,CHOOSE({1,2,3,4,5},$L648,$M648,$N648,$O648,$P648),_xlpm.qtys,CHOOSE({1,2,3,4,5},$G648,$H648,$I648,$J648,$K648),_xlpm.validNums,_xlfn._xlws.FILTER(_xlpm.nums,_xlpm.qtys&gt;0),_xlpm.validSheets,_xlfn._xlws.FILTER(_xlpm.sheets,_xlpm.qtys&gt;0),_xlpm.mx,IFERROR(MAX(_xlpm.validNums),0),IF(_xlpm.mx=0,"",INDEX(_xlpm.validSheets,MATCH(_xlpm.mx,_xlpm.validNums,0))&amp;" (+"&amp;$R648&amp;")")))</f>
        <v/>
      </c>
      <c r="F648" s="11" t="str">
        <f t="shared" si="43"/>
        <v/>
      </c>
      <c r="G648" s="12" t="str">
        <f ca="1">IF($A648="","",IFERROR(SUMIF(INDIRECT("'"&amp;'Template Setup'!$C$4&amp;"'!C:C"),$A648,INDIRECT("'"&amp;'Template Setup'!$C$4&amp;"'!A:A")),0))</f>
        <v/>
      </c>
      <c r="H648" s="12" t="str">
        <f ca="1">IF($A648="","",IFERROR(SUMIF(INDIRECT("'"&amp;'Template Setup'!$C$5&amp;"'!C:C"),$A648,INDIRECT("'"&amp;'Template Setup'!$C$5&amp;"'!A:A")),0))</f>
        <v/>
      </c>
      <c r="I648" s="12" t="str">
        <f ca="1">IF($A648="","",IFERROR(SUMIF(INDIRECT("'"&amp;'Template Setup'!$C$6&amp;"'!C:C"),$A648,INDIRECT("'"&amp;'Template Setup'!$C$6&amp;"'!A:A")),0))</f>
        <v/>
      </c>
      <c r="J648" s="12" t="str">
        <f ca="1">IF($A648="","",IFERROR(SUMIF(INDIRECT("'"&amp;'Template Setup'!$C$7&amp;"'!C:C"),$A648,INDIRECT("'"&amp;'Template Setup'!$C$7&amp;"'!A:A")),0))</f>
        <v/>
      </c>
      <c r="K648" s="12" t="str">
        <f ca="1">IF($A648="","",IFERROR(SUMIF(INDIRECT("'"&amp;'Template Setup'!$C$8&amp;"'!C:C"),$A648,INDIRECT("'"&amp;'Template Setup'!$C$8&amp;"'!A:A")),0))</f>
        <v/>
      </c>
      <c r="L648" s="11" t="str">
        <f>IF($A648="","",IFERROR(VALUE(MID(TRIM('Template Setup'!$C$4),FIND("-",TRIM('Template Setup'!$C$4))+1,10)),0))</f>
        <v/>
      </c>
      <c r="M648" s="11" t="str">
        <f>IF($A648="","",IFERROR(VALUE(MID(TRIM('Template Setup'!$C$5),FIND("-",TRIM('Template Setup'!$C$5))+1,10)),0))</f>
        <v/>
      </c>
      <c r="N648" s="11" t="str">
        <f>IF($A648="","",IFERROR(VALUE(MID(TRIM('Template Setup'!$C$6),FIND("-",TRIM('Template Setup'!$C$6))+1,10)),0))</f>
        <v/>
      </c>
      <c r="O648" s="11" t="str">
        <f>IF($A648="","",IFERROR(VALUE(MID(TRIM('Template Setup'!$C$7),FIND("-",TRIM('Template Setup'!$C$7))+1,10)),0))</f>
        <v/>
      </c>
      <c r="P648" s="11" t="str">
        <f>IF($A648="","",IFERROR(VALUE(MID(TRIM('Template Setup'!$C$8),FIND("-",TRIM('Template Setup'!$C$8))+1,10)),0))</f>
        <v/>
      </c>
      <c r="Q648" s="9" t="str">
        <f>IF($A648="","",$A648&amp;"-"&amp;'Template Setup'!$C$16)</f>
        <v/>
      </c>
      <c r="R648" s="24" t="str">
        <f t="shared" si="41"/>
        <v/>
      </c>
      <c r="S648" s="24"/>
      <c r="T648" s="24" t="str">
        <f t="shared" si="42"/>
        <v/>
      </c>
      <c r="U648" s="6" t="str">
        <f t="shared" si="40"/>
        <v/>
      </c>
    </row>
    <row r="649" spans="1:21">
      <c r="A649" s="11"/>
      <c r="B649" s="11"/>
      <c r="C649" s="11"/>
      <c r="D649" s="11" t="str">
        <f>IF($A649="","",_xlfn.TEXTJOIN(", ",TRUE,IF($G649&gt;0,'Template Setup'!$C$4,""),IF($H649&gt;0,'Template Setup'!$C$5,""),IF($I649&gt;0,'Template Setup'!$C$6,""),IF($J649&gt;0,'Template Setup'!$C$7,""),IF($K649&gt;0,'Template Setup'!$C$8,"")))</f>
        <v/>
      </c>
      <c r="E649" s="6" t="str" cm="1">
        <f t="array" ref="E649">IF($A649="","",_xlfn.LET(_xlpm.sheets,CHOOSE({1,2,3,4,5},'Template Setup'!$C$4,'Template Setup'!$C$5,'Template Setup'!$C$6,'Template Setup'!$C$7,'Template Setup'!$C$8),_xlpm.nums,CHOOSE({1,2,3,4,5},$L649,$M649,$N649,$O649,$P649),_xlpm.qtys,CHOOSE({1,2,3,4,5},$G649,$H649,$I649,$J649,$K649),_xlpm.validNums,_xlfn._xlws.FILTER(_xlpm.nums,_xlpm.qtys&gt;0),_xlpm.validSheets,_xlfn._xlws.FILTER(_xlpm.sheets,_xlpm.qtys&gt;0),_xlpm.mx,IFERROR(MAX(_xlpm.validNums),0),IF(_xlpm.mx=0,"",INDEX(_xlpm.validSheets,MATCH(_xlpm.mx,_xlpm.validNums,0))&amp;" (+"&amp;$R649&amp;")")))</f>
        <v/>
      </c>
      <c r="F649" s="11" t="str">
        <f t="shared" si="43"/>
        <v/>
      </c>
      <c r="G649" s="12" t="str">
        <f ca="1">IF($A649="","",IFERROR(SUMIF(INDIRECT("'"&amp;'Template Setup'!$C$4&amp;"'!C:C"),$A649,INDIRECT("'"&amp;'Template Setup'!$C$4&amp;"'!A:A")),0))</f>
        <v/>
      </c>
      <c r="H649" s="12" t="str">
        <f ca="1">IF($A649="","",IFERROR(SUMIF(INDIRECT("'"&amp;'Template Setup'!$C$5&amp;"'!C:C"),$A649,INDIRECT("'"&amp;'Template Setup'!$C$5&amp;"'!A:A")),0))</f>
        <v/>
      </c>
      <c r="I649" s="12" t="str">
        <f ca="1">IF($A649="","",IFERROR(SUMIF(INDIRECT("'"&amp;'Template Setup'!$C$6&amp;"'!C:C"),$A649,INDIRECT("'"&amp;'Template Setup'!$C$6&amp;"'!A:A")),0))</f>
        <v/>
      </c>
      <c r="J649" s="12" t="str">
        <f ca="1">IF($A649="","",IFERROR(SUMIF(INDIRECT("'"&amp;'Template Setup'!$C$7&amp;"'!C:C"),$A649,INDIRECT("'"&amp;'Template Setup'!$C$7&amp;"'!A:A")),0))</f>
        <v/>
      </c>
      <c r="K649" s="12" t="str">
        <f ca="1">IF($A649="","",IFERROR(SUMIF(INDIRECT("'"&amp;'Template Setup'!$C$8&amp;"'!C:C"),$A649,INDIRECT("'"&amp;'Template Setup'!$C$8&amp;"'!A:A")),0))</f>
        <v/>
      </c>
      <c r="L649" s="11" t="str">
        <f>IF($A649="","",IFERROR(VALUE(MID(TRIM('Template Setup'!$C$4),FIND("-",TRIM('Template Setup'!$C$4))+1,10)),0))</f>
        <v/>
      </c>
      <c r="M649" s="11" t="str">
        <f>IF($A649="","",IFERROR(VALUE(MID(TRIM('Template Setup'!$C$5),FIND("-",TRIM('Template Setup'!$C$5))+1,10)),0))</f>
        <v/>
      </c>
      <c r="N649" s="11" t="str">
        <f>IF($A649="","",IFERROR(VALUE(MID(TRIM('Template Setup'!$C$6),FIND("-",TRIM('Template Setup'!$C$6))+1,10)),0))</f>
        <v/>
      </c>
      <c r="O649" s="11" t="str">
        <f>IF($A649="","",IFERROR(VALUE(MID(TRIM('Template Setup'!$C$7),FIND("-",TRIM('Template Setup'!$C$7))+1,10)),0))</f>
        <v/>
      </c>
      <c r="P649" s="11" t="str">
        <f>IF($A649="","",IFERROR(VALUE(MID(TRIM('Template Setup'!$C$8),FIND("-",TRIM('Template Setup'!$C$8))+1,10)),0))</f>
        <v/>
      </c>
      <c r="Q649" s="9" t="str">
        <f>IF($A649="","",$A649&amp;"-"&amp;'Template Setup'!$C$16)</f>
        <v/>
      </c>
      <c r="R649" s="24" t="str">
        <f t="shared" si="41"/>
        <v/>
      </c>
      <c r="S649" s="24"/>
      <c r="T649" s="24" t="str">
        <f t="shared" si="42"/>
        <v/>
      </c>
      <c r="U649" s="6" t="str">
        <f t="shared" si="40"/>
        <v/>
      </c>
    </row>
    <row r="650" spans="1:21">
      <c r="A650" s="11"/>
      <c r="B650" s="11"/>
      <c r="C650" s="11"/>
      <c r="D650" s="11" t="str">
        <f>IF($A650="","",_xlfn.TEXTJOIN(", ",TRUE,IF($G650&gt;0,'Template Setup'!$C$4,""),IF($H650&gt;0,'Template Setup'!$C$5,""),IF($I650&gt;0,'Template Setup'!$C$6,""),IF($J650&gt;0,'Template Setup'!$C$7,""),IF($K650&gt;0,'Template Setup'!$C$8,"")))</f>
        <v/>
      </c>
      <c r="E650" s="6" t="str" cm="1">
        <f t="array" ref="E650">IF($A650="","",_xlfn.LET(_xlpm.sheets,CHOOSE({1,2,3,4,5},'Template Setup'!$C$4,'Template Setup'!$C$5,'Template Setup'!$C$6,'Template Setup'!$C$7,'Template Setup'!$C$8),_xlpm.nums,CHOOSE({1,2,3,4,5},$L650,$M650,$N650,$O650,$P650),_xlpm.qtys,CHOOSE({1,2,3,4,5},$G650,$H650,$I650,$J650,$K650),_xlpm.validNums,_xlfn._xlws.FILTER(_xlpm.nums,_xlpm.qtys&gt;0),_xlpm.validSheets,_xlfn._xlws.FILTER(_xlpm.sheets,_xlpm.qtys&gt;0),_xlpm.mx,IFERROR(MAX(_xlpm.validNums),0),IF(_xlpm.mx=0,"",INDEX(_xlpm.validSheets,MATCH(_xlpm.mx,_xlpm.validNums,0))&amp;" (+"&amp;$R650&amp;")")))</f>
        <v/>
      </c>
      <c r="F650" s="11" t="str">
        <f t="shared" si="43"/>
        <v/>
      </c>
      <c r="G650" s="12" t="str">
        <f ca="1">IF($A650="","",IFERROR(SUMIF(INDIRECT("'"&amp;'Template Setup'!$C$4&amp;"'!C:C"),$A650,INDIRECT("'"&amp;'Template Setup'!$C$4&amp;"'!A:A")),0))</f>
        <v/>
      </c>
      <c r="H650" s="12" t="str">
        <f ca="1">IF($A650="","",IFERROR(SUMIF(INDIRECT("'"&amp;'Template Setup'!$C$5&amp;"'!C:C"),$A650,INDIRECT("'"&amp;'Template Setup'!$C$5&amp;"'!A:A")),0))</f>
        <v/>
      </c>
      <c r="I650" s="12" t="str">
        <f ca="1">IF($A650="","",IFERROR(SUMIF(INDIRECT("'"&amp;'Template Setup'!$C$6&amp;"'!C:C"),$A650,INDIRECT("'"&amp;'Template Setup'!$C$6&amp;"'!A:A")),0))</f>
        <v/>
      </c>
      <c r="J650" s="12" t="str">
        <f ca="1">IF($A650="","",IFERROR(SUMIF(INDIRECT("'"&amp;'Template Setup'!$C$7&amp;"'!C:C"),$A650,INDIRECT("'"&amp;'Template Setup'!$C$7&amp;"'!A:A")),0))</f>
        <v/>
      </c>
      <c r="K650" s="12" t="str">
        <f ca="1">IF($A650="","",IFERROR(SUMIF(INDIRECT("'"&amp;'Template Setup'!$C$8&amp;"'!C:C"),$A650,INDIRECT("'"&amp;'Template Setup'!$C$8&amp;"'!A:A")),0))</f>
        <v/>
      </c>
      <c r="L650" s="11" t="str">
        <f>IF($A650="","",IFERROR(VALUE(MID(TRIM('Template Setup'!$C$4),FIND("-",TRIM('Template Setup'!$C$4))+1,10)),0))</f>
        <v/>
      </c>
      <c r="M650" s="11" t="str">
        <f>IF($A650="","",IFERROR(VALUE(MID(TRIM('Template Setup'!$C$5),FIND("-",TRIM('Template Setup'!$C$5))+1,10)),0))</f>
        <v/>
      </c>
      <c r="N650" s="11" t="str">
        <f>IF($A650="","",IFERROR(VALUE(MID(TRIM('Template Setup'!$C$6),FIND("-",TRIM('Template Setup'!$C$6))+1,10)),0))</f>
        <v/>
      </c>
      <c r="O650" s="11" t="str">
        <f>IF($A650="","",IFERROR(VALUE(MID(TRIM('Template Setup'!$C$7),FIND("-",TRIM('Template Setup'!$C$7))+1,10)),0))</f>
        <v/>
      </c>
      <c r="P650" s="11" t="str">
        <f>IF($A650="","",IFERROR(VALUE(MID(TRIM('Template Setup'!$C$8),FIND("-",TRIM('Template Setup'!$C$8))+1,10)),0))</f>
        <v/>
      </c>
      <c r="Q650" s="9" t="str">
        <f>IF($A650="","",$A650&amp;"-"&amp;'Template Setup'!$C$16)</f>
        <v/>
      </c>
      <c r="R650" s="24" t="str">
        <f t="shared" si="41"/>
        <v/>
      </c>
      <c r="S650" s="24"/>
      <c r="T650" s="24" t="str">
        <f t="shared" si="42"/>
        <v/>
      </c>
      <c r="U650" s="6" t="str">
        <f t="shared" si="40"/>
        <v/>
      </c>
    </row>
    <row r="651" spans="1:21">
      <c r="A651" s="11"/>
      <c r="B651" s="11"/>
      <c r="C651" s="11"/>
      <c r="D651" s="11" t="str">
        <f>IF($A651="","",_xlfn.TEXTJOIN(", ",TRUE,IF($G651&gt;0,'Template Setup'!$C$4,""),IF($H651&gt;0,'Template Setup'!$C$5,""),IF($I651&gt;0,'Template Setup'!$C$6,""),IF($J651&gt;0,'Template Setup'!$C$7,""),IF($K651&gt;0,'Template Setup'!$C$8,"")))</f>
        <v/>
      </c>
      <c r="E651" s="6" t="str" cm="1">
        <f t="array" ref="E651">IF($A651="","",_xlfn.LET(_xlpm.sheets,CHOOSE({1,2,3,4,5},'Template Setup'!$C$4,'Template Setup'!$C$5,'Template Setup'!$C$6,'Template Setup'!$C$7,'Template Setup'!$C$8),_xlpm.nums,CHOOSE({1,2,3,4,5},$L651,$M651,$N651,$O651,$P651),_xlpm.qtys,CHOOSE({1,2,3,4,5},$G651,$H651,$I651,$J651,$K651),_xlpm.validNums,_xlfn._xlws.FILTER(_xlpm.nums,_xlpm.qtys&gt;0),_xlpm.validSheets,_xlfn._xlws.FILTER(_xlpm.sheets,_xlpm.qtys&gt;0),_xlpm.mx,IFERROR(MAX(_xlpm.validNums),0),IF(_xlpm.mx=0,"",INDEX(_xlpm.validSheets,MATCH(_xlpm.mx,_xlpm.validNums,0))&amp;" (+"&amp;$R651&amp;")")))</f>
        <v/>
      </c>
      <c r="F651" s="11" t="str">
        <f t="shared" si="43"/>
        <v/>
      </c>
      <c r="G651" s="12" t="str">
        <f ca="1">IF($A651="","",IFERROR(SUMIF(INDIRECT("'"&amp;'Template Setup'!$C$4&amp;"'!C:C"),$A651,INDIRECT("'"&amp;'Template Setup'!$C$4&amp;"'!A:A")),0))</f>
        <v/>
      </c>
      <c r="H651" s="12" t="str">
        <f ca="1">IF($A651="","",IFERROR(SUMIF(INDIRECT("'"&amp;'Template Setup'!$C$5&amp;"'!C:C"),$A651,INDIRECT("'"&amp;'Template Setup'!$C$5&amp;"'!A:A")),0))</f>
        <v/>
      </c>
      <c r="I651" s="12" t="str">
        <f ca="1">IF($A651="","",IFERROR(SUMIF(INDIRECT("'"&amp;'Template Setup'!$C$6&amp;"'!C:C"),$A651,INDIRECT("'"&amp;'Template Setup'!$C$6&amp;"'!A:A")),0))</f>
        <v/>
      </c>
      <c r="J651" s="12" t="str">
        <f ca="1">IF($A651="","",IFERROR(SUMIF(INDIRECT("'"&amp;'Template Setup'!$C$7&amp;"'!C:C"),$A651,INDIRECT("'"&amp;'Template Setup'!$C$7&amp;"'!A:A")),0))</f>
        <v/>
      </c>
      <c r="K651" s="12" t="str">
        <f ca="1">IF($A651="","",IFERROR(SUMIF(INDIRECT("'"&amp;'Template Setup'!$C$8&amp;"'!C:C"),$A651,INDIRECT("'"&amp;'Template Setup'!$C$8&amp;"'!A:A")),0))</f>
        <v/>
      </c>
      <c r="L651" s="11" t="str">
        <f>IF($A651="","",IFERROR(VALUE(MID(TRIM('Template Setup'!$C$4),FIND("-",TRIM('Template Setup'!$C$4))+1,10)),0))</f>
        <v/>
      </c>
      <c r="M651" s="11" t="str">
        <f>IF($A651="","",IFERROR(VALUE(MID(TRIM('Template Setup'!$C$5),FIND("-",TRIM('Template Setup'!$C$5))+1,10)),0))</f>
        <v/>
      </c>
      <c r="N651" s="11" t="str">
        <f>IF($A651="","",IFERROR(VALUE(MID(TRIM('Template Setup'!$C$6),FIND("-",TRIM('Template Setup'!$C$6))+1,10)),0))</f>
        <v/>
      </c>
      <c r="O651" s="11" t="str">
        <f>IF($A651="","",IFERROR(VALUE(MID(TRIM('Template Setup'!$C$7),FIND("-",TRIM('Template Setup'!$C$7))+1,10)),0))</f>
        <v/>
      </c>
      <c r="P651" s="11" t="str">
        <f>IF($A651="","",IFERROR(VALUE(MID(TRIM('Template Setup'!$C$8),FIND("-",TRIM('Template Setup'!$C$8))+1,10)),0))</f>
        <v/>
      </c>
      <c r="Q651" s="9" t="str">
        <f>IF($A651="","",$A651&amp;"-"&amp;'Template Setup'!$C$16)</f>
        <v/>
      </c>
      <c r="R651" s="24" t="str">
        <f t="shared" si="41"/>
        <v/>
      </c>
      <c r="S651" s="24"/>
      <c r="T651" s="24" t="str">
        <f t="shared" si="42"/>
        <v/>
      </c>
      <c r="U651" s="6" t="str">
        <f t="shared" si="40"/>
        <v/>
      </c>
    </row>
    <row r="652" spans="1:21">
      <c r="A652" s="11"/>
      <c r="B652" s="11"/>
      <c r="C652" s="11"/>
      <c r="D652" s="11" t="str">
        <f>IF($A652="","",_xlfn.TEXTJOIN(", ",TRUE,IF($G652&gt;0,'Template Setup'!$C$4,""),IF($H652&gt;0,'Template Setup'!$C$5,""),IF($I652&gt;0,'Template Setup'!$C$6,""),IF($J652&gt;0,'Template Setup'!$C$7,""),IF($K652&gt;0,'Template Setup'!$C$8,"")))</f>
        <v/>
      </c>
      <c r="E652" s="6" t="str" cm="1">
        <f t="array" ref="E652">IF($A652="","",_xlfn.LET(_xlpm.sheets,CHOOSE({1,2,3,4,5},'Template Setup'!$C$4,'Template Setup'!$C$5,'Template Setup'!$C$6,'Template Setup'!$C$7,'Template Setup'!$C$8),_xlpm.nums,CHOOSE({1,2,3,4,5},$L652,$M652,$N652,$O652,$P652),_xlpm.qtys,CHOOSE({1,2,3,4,5},$G652,$H652,$I652,$J652,$K652),_xlpm.validNums,_xlfn._xlws.FILTER(_xlpm.nums,_xlpm.qtys&gt;0),_xlpm.validSheets,_xlfn._xlws.FILTER(_xlpm.sheets,_xlpm.qtys&gt;0),_xlpm.mx,IFERROR(MAX(_xlpm.validNums),0),IF(_xlpm.mx=0,"",INDEX(_xlpm.validSheets,MATCH(_xlpm.mx,_xlpm.validNums,0))&amp;" (+"&amp;$R652&amp;")")))</f>
        <v/>
      </c>
      <c r="F652" s="11" t="str">
        <f t="shared" si="43"/>
        <v/>
      </c>
      <c r="G652" s="12" t="str">
        <f ca="1">IF($A652="","",IFERROR(SUMIF(INDIRECT("'"&amp;'Template Setup'!$C$4&amp;"'!C:C"),$A652,INDIRECT("'"&amp;'Template Setup'!$C$4&amp;"'!A:A")),0))</f>
        <v/>
      </c>
      <c r="H652" s="12" t="str">
        <f ca="1">IF($A652="","",IFERROR(SUMIF(INDIRECT("'"&amp;'Template Setup'!$C$5&amp;"'!C:C"),$A652,INDIRECT("'"&amp;'Template Setup'!$C$5&amp;"'!A:A")),0))</f>
        <v/>
      </c>
      <c r="I652" s="12" t="str">
        <f ca="1">IF($A652="","",IFERROR(SUMIF(INDIRECT("'"&amp;'Template Setup'!$C$6&amp;"'!C:C"),$A652,INDIRECT("'"&amp;'Template Setup'!$C$6&amp;"'!A:A")),0))</f>
        <v/>
      </c>
      <c r="J652" s="12" t="str">
        <f ca="1">IF($A652="","",IFERROR(SUMIF(INDIRECT("'"&amp;'Template Setup'!$C$7&amp;"'!C:C"),$A652,INDIRECT("'"&amp;'Template Setup'!$C$7&amp;"'!A:A")),0))</f>
        <v/>
      </c>
      <c r="K652" s="12" t="str">
        <f ca="1">IF($A652="","",IFERROR(SUMIF(INDIRECT("'"&amp;'Template Setup'!$C$8&amp;"'!C:C"),$A652,INDIRECT("'"&amp;'Template Setup'!$C$8&amp;"'!A:A")),0))</f>
        <v/>
      </c>
      <c r="L652" s="11" t="str">
        <f>IF($A652="","",IFERROR(VALUE(MID(TRIM('Template Setup'!$C$4),FIND("-",TRIM('Template Setup'!$C$4))+1,10)),0))</f>
        <v/>
      </c>
      <c r="M652" s="11" t="str">
        <f>IF($A652="","",IFERROR(VALUE(MID(TRIM('Template Setup'!$C$5),FIND("-",TRIM('Template Setup'!$C$5))+1,10)),0))</f>
        <v/>
      </c>
      <c r="N652" s="11" t="str">
        <f>IF($A652="","",IFERROR(VALUE(MID(TRIM('Template Setup'!$C$6),FIND("-",TRIM('Template Setup'!$C$6))+1,10)),0))</f>
        <v/>
      </c>
      <c r="O652" s="11" t="str">
        <f>IF($A652="","",IFERROR(VALUE(MID(TRIM('Template Setup'!$C$7),FIND("-",TRIM('Template Setup'!$C$7))+1,10)),0))</f>
        <v/>
      </c>
      <c r="P652" s="11" t="str">
        <f>IF($A652="","",IFERROR(VALUE(MID(TRIM('Template Setup'!$C$8),FIND("-",TRIM('Template Setup'!$C$8))+1,10)),0))</f>
        <v/>
      </c>
      <c r="Q652" s="9" t="str">
        <f>IF($A652="","",$A652&amp;"-"&amp;'Template Setup'!$C$16)</f>
        <v/>
      </c>
      <c r="R652" s="24" t="str">
        <f t="shared" si="41"/>
        <v/>
      </c>
      <c r="S652" s="24"/>
      <c r="T652" s="24" t="str">
        <f t="shared" si="42"/>
        <v/>
      </c>
      <c r="U652" s="6" t="str">
        <f t="shared" si="40"/>
        <v/>
      </c>
    </row>
    <row r="653" spans="1:21">
      <c r="A653" s="11"/>
      <c r="B653" s="11"/>
      <c r="C653" s="11"/>
      <c r="D653" s="11" t="str">
        <f>IF($A653="","",_xlfn.TEXTJOIN(", ",TRUE,IF($G653&gt;0,'Template Setup'!$C$4,""),IF($H653&gt;0,'Template Setup'!$C$5,""),IF($I653&gt;0,'Template Setup'!$C$6,""),IF($J653&gt;0,'Template Setup'!$C$7,""),IF($K653&gt;0,'Template Setup'!$C$8,"")))</f>
        <v/>
      </c>
      <c r="E653" s="6" t="str" cm="1">
        <f t="array" ref="E653">IF($A653="","",_xlfn.LET(_xlpm.sheets,CHOOSE({1,2,3,4,5},'Template Setup'!$C$4,'Template Setup'!$C$5,'Template Setup'!$C$6,'Template Setup'!$C$7,'Template Setup'!$C$8),_xlpm.nums,CHOOSE({1,2,3,4,5},$L653,$M653,$N653,$O653,$P653),_xlpm.qtys,CHOOSE({1,2,3,4,5},$G653,$H653,$I653,$J653,$K653),_xlpm.validNums,_xlfn._xlws.FILTER(_xlpm.nums,_xlpm.qtys&gt;0),_xlpm.validSheets,_xlfn._xlws.FILTER(_xlpm.sheets,_xlpm.qtys&gt;0),_xlpm.mx,IFERROR(MAX(_xlpm.validNums),0),IF(_xlpm.mx=0,"",INDEX(_xlpm.validSheets,MATCH(_xlpm.mx,_xlpm.validNums,0))&amp;" (+"&amp;$R653&amp;")")))</f>
        <v/>
      </c>
      <c r="F653" s="11" t="str">
        <f t="shared" si="43"/>
        <v/>
      </c>
      <c r="G653" s="12" t="str">
        <f ca="1">IF($A653="","",IFERROR(SUMIF(INDIRECT("'"&amp;'Template Setup'!$C$4&amp;"'!C:C"),$A653,INDIRECT("'"&amp;'Template Setup'!$C$4&amp;"'!A:A")),0))</f>
        <v/>
      </c>
      <c r="H653" s="12" t="str">
        <f ca="1">IF($A653="","",IFERROR(SUMIF(INDIRECT("'"&amp;'Template Setup'!$C$5&amp;"'!C:C"),$A653,INDIRECT("'"&amp;'Template Setup'!$C$5&amp;"'!A:A")),0))</f>
        <v/>
      </c>
      <c r="I653" s="12" t="str">
        <f ca="1">IF($A653="","",IFERROR(SUMIF(INDIRECT("'"&amp;'Template Setup'!$C$6&amp;"'!C:C"),$A653,INDIRECT("'"&amp;'Template Setup'!$C$6&amp;"'!A:A")),0))</f>
        <v/>
      </c>
      <c r="J653" s="12" t="str">
        <f ca="1">IF($A653="","",IFERROR(SUMIF(INDIRECT("'"&amp;'Template Setup'!$C$7&amp;"'!C:C"),$A653,INDIRECT("'"&amp;'Template Setup'!$C$7&amp;"'!A:A")),0))</f>
        <v/>
      </c>
      <c r="K653" s="12" t="str">
        <f ca="1">IF($A653="","",IFERROR(SUMIF(INDIRECT("'"&amp;'Template Setup'!$C$8&amp;"'!C:C"),$A653,INDIRECT("'"&amp;'Template Setup'!$C$8&amp;"'!A:A")),0))</f>
        <v/>
      </c>
      <c r="L653" s="11" t="str">
        <f>IF($A653="","",IFERROR(VALUE(MID(TRIM('Template Setup'!$C$4),FIND("-",TRIM('Template Setup'!$C$4))+1,10)),0))</f>
        <v/>
      </c>
      <c r="M653" s="11" t="str">
        <f>IF($A653="","",IFERROR(VALUE(MID(TRIM('Template Setup'!$C$5),FIND("-",TRIM('Template Setup'!$C$5))+1,10)),0))</f>
        <v/>
      </c>
      <c r="N653" s="11" t="str">
        <f>IF($A653="","",IFERROR(VALUE(MID(TRIM('Template Setup'!$C$6),FIND("-",TRIM('Template Setup'!$C$6))+1,10)),0))</f>
        <v/>
      </c>
      <c r="O653" s="11" t="str">
        <f>IF($A653="","",IFERROR(VALUE(MID(TRIM('Template Setup'!$C$7),FIND("-",TRIM('Template Setup'!$C$7))+1,10)),0))</f>
        <v/>
      </c>
      <c r="P653" s="11" t="str">
        <f>IF($A653="","",IFERROR(VALUE(MID(TRIM('Template Setup'!$C$8),FIND("-",TRIM('Template Setup'!$C$8))+1,10)),0))</f>
        <v/>
      </c>
      <c r="Q653" s="9" t="str">
        <f>IF($A653="","",$A653&amp;"-"&amp;'Template Setup'!$C$16)</f>
        <v/>
      </c>
      <c r="R653" s="24" t="str">
        <f t="shared" si="41"/>
        <v/>
      </c>
      <c r="S653" s="24"/>
      <c r="T653" s="24" t="str">
        <f t="shared" si="42"/>
        <v/>
      </c>
      <c r="U653" s="6" t="str">
        <f t="shared" si="40"/>
        <v/>
      </c>
    </row>
    <row r="654" spans="1:21">
      <c r="A654" s="11"/>
      <c r="B654" s="11"/>
      <c r="C654" s="11"/>
      <c r="D654" s="11" t="str">
        <f>IF($A654="","",_xlfn.TEXTJOIN(", ",TRUE,IF($G654&gt;0,'Template Setup'!$C$4,""),IF($H654&gt;0,'Template Setup'!$C$5,""),IF($I654&gt;0,'Template Setup'!$C$6,""),IF($J654&gt;0,'Template Setup'!$C$7,""),IF($K654&gt;0,'Template Setup'!$C$8,"")))</f>
        <v/>
      </c>
      <c r="E654" s="6" t="str" cm="1">
        <f t="array" ref="E654">IF($A654="","",_xlfn.LET(_xlpm.sheets,CHOOSE({1,2,3,4,5},'Template Setup'!$C$4,'Template Setup'!$C$5,'Template Setup'!$C$6,'Template Setup'!$C$7,'Template Setup'!$C$8),_xlpm.nums,CHOOSE({1,2,3,4,5},$L654,$M654,$N654,$O654,$P654),_xlpm.qtys,CHOOSE({1,2,3,4,5},$G654,$H654,$I654,$J654,$K654),_xlpm.validNums,_xlfn._xlws.FILTER(_xlpm.nums,_xlpm.qtys&gt;0),_xlpm.validSheets,_xlfn._xlws.FILTER(_xlpm.sheets,_xlpm.qtys&gt;0),_xlpm.mx,IFERROR(MAX(_xlpm.validNums),0),IF(_xlpm.mx=0,"",INDEX(_xlpm.validSheets,MATCH(_xlpm.mx,_xlpm.validNums,0))&amp;" (+"&amp;$R654&amp;")")))</f>
        <v/>
      </c>
      <c r="F654" s="11" t="str">
        <f t="shared" si="43"/>
        <v/>
      </c>
      <c r="G654" s="12" t="str">
        <f ca="1">IF($A654="","",IFERROR(SUMIF(INDIRECT("'"&amp;'Template Setup'!$C$4&amp;"'!C:C"),$A654,INDIRECT("'"&amp;'Template Setup'!$C$4&amp;"'!A:A")),0))</f>
        <v/>
      </c>
      <c r="H654" s="12" t="str">
        <f ca="1">IF($A654="","",IFERROR(SUMIF(INDIRECT("'"&amp;'Template Setup'!$C$5&amp;"'!C:C"),$A654,INDIRECT("'"&amp;'Template Setup'!$C$5&amp;"'!A:A")),0))</f>
        <v/>
      </c>
      <c r="I654" s="12" t="str">
        <f ca="1">IF($A654="","",IFERROR(SUMIF(INDIRECT("'"&amp;'Template Setup'!$C$6&amp;"'!C:C"),$A654,INDIRECT("'"&amp;'Template Setup'!$C$6&amp;"'!A:A")),0))</f>
        <v/>
      </c>
      <c r="J654" s="12" t="str">
        <f ca="1">IF($A654="","",IFERROR(SUMIF(INDIRECT("'"&amp;'Template Setup'!$C$7&amp;"'!C:C"),$A654,INDIRECT("'"&amp;'Template Setup'!$C$7&amp;"'!A:A")),0))</f>
        <v/>
      </c>
      <c r="K654" s="12" t="str">
        <f ca="1">IF($A654="","",IFERROR(SUMIF(INDIRECT("'"&amp;'Template Setup'!$C$8&amp;"'!C:C"),$A654,INDIRECT("'"&amp;'Template Setup'!$C$8&amp;"'!A:A")),0))</f>
        <v/>
      </c>
      <c r="L654" s="11" t="str">
        <f>IF($A654="","",IFERROR(VALUE(MID(TRIM('Template Setup'!$C$4),FIND("-",TRIM('Template Setup'!$C$4))+1,10)),0))</f>
        <v/>
      </c>
      <c r="M654" s="11" t="str">
        <f>IF($A654="","",IFERROR(VALUE(MID(TRIM('Template Setup'!$C$5),FIND("-",TRIM('Template Setup'!$C$5))+1,10)),0))</f>
        <v/>
      </c>
      <c r="N654" s="11" t="str">
        <f>IF($A654="","",IFERROR(VALUE(MID(TRIM('Template Setup'!$C$6),FIND("-",TRIM('Template Setup'!$C$6))+1,10)),0))</f>
        <v/>
      </c>
      <c r="O654" s="11" t="str">
        <f>IF($A654="","",IFERROR(VALUE(MID(TRIM('Template Setup'!$C$7),FIND("-",TRIM('Template Setup'!$C$7))+1,10)),0))</f>
        <v/>
      </c>
      <c r="P654" s="11" t="str">
        <f>IF($A654="","",IFERROR(VALUE(MID(TRIM('Template Setup'!$C$8),FIND("-",TRIM('Template Setup'!$C$8))+1,10)),0))</f>
        <v/>
      </c>
      <c r="Q654" s="9" t="str">
        <f>IF($A654="","",$A654&amp;"-"&amp;'Template Setup'!$C$16)</f>
        <v/>
      </c>
      <c r="R654" s="24" t="str">
        <f t="shared" si="41"/>
        <v/>
      </c>
      <c r="S654" s="24"/>
      <c r="T654" s="24" t="str">
        <f t="shared" si="42"/>
        <v/>
      </c>
      <c r="U654" s="6" t="str">
        <f t="shared" si="40"/>
        <v/>
      </c>
    </row>
    <row r="655" spans="1:21">
      <c r="A655" s="11"/>
      <c r="B655" s="11"/>
      <c r="C655" s="11"/>
      <c r="D655" s="11" t="str">
        <f>IF($A655="","",_xlfn.TEXTJOIN(", ",TRUE,IF($G655&gt;0,'Template Setup'!$C$4,""),IF($H655&gt;0,'Template Setup'!$C$5,""),IF($I655&gt;0,'Template Setup'!$C$6,""),IF($J655&gt;0,'Template Setup'!$C$7,""),IF($K655&gt;0,'Template Setup'!$C$8,"")))</f>
        <v/>
      </c>
      <c r="E655" s="6" t="str" cm="1">
        <f t="array" ref="E655">IF($A655="","",_xlfn.LET(_xlpm.sheets,CHOOSE({1,2,3,4,5},'Template Setup'!$C$4,'Template Setup'!$C$5,'Template Setup'!$C$6,'Template Setup'!$C$7,'Template Setup'!$C$8),_xlpm.nums,CHOOSE({1,2,3,4,5},$L655,$M655,$N655,$O655,$P655),_xlpm.qtys,CHOOSE({1,2,3,4,5},$G655,$H655,$I655,$J655,$K655),_xlpm.validNums,_xlfn._xlws.FILTER(_xlpm.nums,_xlpm.qtys&gt;0),_xlpm.validSheets,_xlfn._xlws.FILTER(_xlpm.sheets,_xlpm.qtys&gt;0),_xlpm.mx,IFERROR(MAX(_xlpm.validNums),0),IF(_xlpm.mx=0,"",INDEX(_xlpm.validSheets,MATCH(_xlpm.mx,_xlpm.validNums,0))&amp;" (+"&amp;$R655&amp;")")))</f>
        <v/>
      </c>
      <c r="F655" s="11" t="str">
        <f t="shared" si="43"/>
        <v/>
      </c>
      <c r="G655" s="12" t="str">
        <f ca="1">IF($A655="","",IFERROR(SUMIF(INDIRECT("'"&amp;'Template Setup'!$C$4&amp;"'!C:C"),$A655,INDIRECT("'"&amp;'Template Setup'!$C$4&amp;"'!A:A")),0))</f>
        <v/>
      </c>
      <c r="H655" s="12" t="str">
        <f ca="1">IF($A655="","",IFERROR(SUMIF(INDIRECT("'"&amp;'Template Setup'!$C$5&amp;"'!C:C"),$A655,INDIRECT("'"&amp;'Template Setup'!$C$5&amp;"'!A:A")),0))</f>
        <v/>
      </c>
      <c r="I655" s="12" t="str">
        <f ca="1">IF($A655="","",IFERROR(SUMIF(INDIRECT("'"&amp;'Template Setup'!$C$6&amp;"'!C:C"),$A655,INDIRECT("'"&amp;'Template Setup'!$C$6&amp;"'!A:A")),0))</f>
        <v/>
      </c>
      <c r="J655" s="12" t="str">
        <f ca="1">IF($A655="","",IFERROR(SUMIF(INDIRECT("'"&amp;'Template Setup'!$C$7&amp;"'!C:C"),$A655,INDIRECT("'"&amp;'Template Setup'!$C$7&amp;"'!A:A")),0))</f>
        <v/>
      </c>
      <c r="K655" s="12" t="str">
        <f ca="1">IF($A655="","",IFERROR(SUMIF(INDIRECT("'"&amp;'Template Setup'!$C$8&amp;"'!C:C"),$A655,INDIRECT("'"&amp;'Template Setup'!$C$8&amp;"'!A:A")),0))</f>
        <v/>
      </c>
      <c r="L655" s="11" t="str">
        <f>IF($A655="","",IFERROR(VALUE(MID(TRIM('Template Setup'!$C$4),FIND("-",TRIM('Template Setup'!$C$4))+1,10)),0))</f>
        <v/>
      </c>
      <c r="M655" s="11" t="str">
        <f>IF($A655="","",IFERROR(VALUE(MID(TRIM('Template Setup'!$C$5),FIND("-",TRIM('Template Setup'!$C$5))+1,10)),0))</f>
        <v/>
      </c>
      <c r="N655" s="11" t="str">
        <f>IF($A655="","",IFERROR(VALUE(MID(TRIM('Template Setup'!$C$6),FIND("-",TRIM('Template Setup'!$C$6))+1,10)),0))</f>
        <v/>
      </c>
      <c r="O655" s="11" t="str">
        <f>IF($A655="","",IFERROR(VALUE(MID(TRIM('Template Setup'!$C$7),FIND("-",TRIM('Template Setup'!$C$7))+1,10)),0))</f>
        <v/>
      </c>
      <c r="P655" s="11" t="str">
        <f>IF($A655="","",IFERROR(VALUE(MID(TRIM('Template Setup'!$C$8),FIND("-",TRIM('Template Setup'!$C$8))+1,10)),0))</f>
        <v/>
      </c>
      <c r="Q655" s="9" t="str">
        <f>IF($A655="","",$A655&amp;"-"&amp;'Template Setup'!$C$16)</f>
        <v/>
      </c>
      <c r="R655" s="24" t="str">
        <f t="shared" si="41"/>
        <v/>
      </c>
      <c r="S655" s="24"/>
      <c r="T655" s="24" t="str">
        <f t="shared" si="42"/>
        <v/>
      </c>
      <c r="U655" s="6" t="str">
        <f t="shared" si="40"/>
        <v/>
      </c>
    </row>
    <row r="656" spans="1:21">
      <c r="A656" s="11"/>
      <c r="B656" s="11"/>
      <c r="C656" s="11"/>
      <c r="D656" s="11" t="str">
        <f>IF($A656="","",_xlfn.TEXTJOIN(", ",TRUE,IF($G656&gt;0,'Template Setup'!$C$4,""),IF($H656&gt;0,'Template Setup'!$C$5,""),IF($I656&gt;0,'Template Setup'!$C$6,""),IF($J656&gt;0,'Template Setup'!$C$7,""),IF($K656&gt;0,'Template Setup'!$C$8,"")))</f>
        <v/>
      </c>
      <c r="E656" s="6" t="str" cm="1">
        <f t="array" ref="E656">IF($A656="","",_xlfn.LET(_xlpm.sheets,CHOOSE({1,2,3,4,5},'Template Setup'!$C$4,'Template Setup'!$C$5,'Template Setup'!$C$6,'Template Setup'!$C$7,'Template Setup'!$C$8),_xlpm.nums,CHOOSE({1,2,3,4,5},$L656,$M656,$N656,$O656,$P656),_xlpm.qtys,CHOOSE({1,2,3,4,5},$G656,$H656,$I656,$J656,$K656),_xlpm.validNums,_xlfn._xlws.FILTER(_xlpm.nums,_xlpm.qtys&gt;0),_xlpm.validSheets,_xlfn._xlws.FILTER(_xlpm.sheets,_xlpm.qtys&gt;0),_xlpm.mx,IFERROR(MAX(_xlpm.validNums),0),IF(_xlpm.mx=0,"",INDEX(_xlpm.validSheets,MATCH(_xlpm.mx,_xlpm.validNums,0))&amp;" (+"&amp;$R656&amp;")")))</f>
        <v/>
      </c>
      <c r="F656" s="11" t="str">
        <f t="shared" si="43"/>
        <v/>
      </c>
      <c r="G656" s="12" t="str">
        <f ca="1">IF($A656="","",IFERROR(SUMIF(INDIRECT("'"&amp;'Template Setup'!$C$4&amp;"'!C:C"),$A656,INDIRECT("'"&amp;'Template Setup'!$C$4&amp;"'!A:A")),0))</f>
        <v/>
      </c>
      <c r="H656" s="12" t="str">
        <f ca="1">IF($A656="","",IFERROR(SUMIF(INDIRECT("'"&amp;'Template Setup'!$C$5&amp;"'!C:C"),$A656,INDIRECT("'"&amp;'Template Setup'!$C$5&amp;"'!A:A")),0))</f>
        <v/>
      </c>
      <c r="I656" s="12" t="str">
        <f ca="1">IF($A656="","",IFERROR(SUMIF(INDIRECT("'"&amp;'Template Setup'!$C$6&amp;"'!C:C"),$A656,INDIRECT("'"&amp;'Template Setup'!$C$6&amp;"'!A:A")),0))</f>
        <v/>
      </c>
      <c r="J656" s="12" t="str">
        <f ca="1">IF($A656="","",IFERROR(SUMIF(INDIRECT("'"&amp;'Template Setup'!$C$7&amp;"'!C:C"),$A656,INDIRECT("'"&amp;'Template Setup'!$C$7&amp;"'!A:A")),0))</f>
        <v/>
      </c>
      <c r="K656" s="12" t="str">
        <f ca="1">IF($A656="","",IFERROR(SUMIF(INDIRECT("'"&amp;'Template Setup'!$C$8&amp;"'!C:C"),$A656,INDIRECT("'"&amp;'Template Setup'!$C$8&amp;"'!A:A")),0))</f>
        <v/>
      </c>
      <c r="L656" s="11" t="str">
        <f>IF($A656="","",IFERROR(VALUE(MID(TRIM('Template Setup'!$C$4),FIND("-",TRIM('Template Setup'!$C$4))+1,10)),0))</f>
        <v/>
      </c>
      <c r="M656" s="11" t="str">
        <f>IF($A656="","",IFERROR(VALUE(MID(TRIM('Template Setup'!$C$5),FIND("-",TRIM('Template Setup'!$C$5))+1,10)),0))</f>
        <v/>
      </c>
      <c r="N656" s="11" t="str">
        <f>IF($A656="","",IFERROR(VALUE(MID(TRIM('Template Setup'!$C$6),FIND("-",TRIM('Template Setup'!$C$6))+1,10)),0))</f>
        <v/>
      </c>
      <c r="O656" s="11" t="str">
        <f>IF($A656="","",IFERROR(VALUE(MID(TRIM('Template Setup'!$C$7),FIND("-",TRIM('Template Setup'!$C$7))+1,10)),0))</f>
        <v/>
      </c>
      <c r="P656" s="11" t="str">
        <f>IF($A656="","",IFERROR(VALUE(MID(TRIM('Template Setup'!$C$8),FIND("-",TRIM('Template Setup'!$C$8))+1,10)),0))</f>
        <v/>
      </c>
      <c r="Q656" s="9" t="str">
        <f>IF($A656="","",$A656&amp;"-"&amp;'Template Setup'!$C$16)</f>
        <v/>
      </c>
      <c r="R656" s="24" t="str">
        <f t="shared" si="41"/>
        <v/>
      </c>
      <c r="S656" s="24"/>
      <c r="T656" s="24" t="str">
        <f t="shared" si="42"/>
        <v/>
      </c>
      <c r="U656" s="6" t="str">
        <f t="shared" si="40"/>
        <v/>
      </c>
    </row>
    <row r="657" spans="1:21">
      <c r="A657" s="11"/>
      <c r="B657" s="11"/>
      <c r="C657" s="11"/>
      <c r="D657" s="11" t="str">
        <f>IF($A657="","",_xlfn.TEXTJOIN(", ",TRUE,IF($G657&gt;0,'Template Setup'!$C$4,""),IF($H657&gt;0,'Template Setup'!$C$5,""),IF($I657&gt;0,'Template Setup'!$C$6,""),IF($J657&gt;0,'Template Setup'!$C$7,""),IF($K657&gt;0,'Template Setup'!$C$8,"")))</f>
        <v/>
      </c>
      <c r="E657" s="6" t="str" cm="1">
        <f t="array" ref="E657">IF($A657="","",_xlfn.LET(_xlpm.sheets,CHOOSE({1,2,3,4,5},'Template Setup'!$C$4,'Template Setup'!$C$5,'Template Setup'!$C$6,'Template Setup'!$C$7,'Template Setup'!$C$8),_xlpm.nums,CHOOSE({1,2,3,4,5},$L657,$M657,$N657,$O657,$P657),_xlpm.qtys,CHOOSE({1,2,3,4,5},$G657,$H657,$I657,$J657,$K657),_xlpm.validNums,_xlfn._xlws.FILTER(_xlpm.nums,_xlpm.qtys&gt;0),_xlpm.validSheets,_xlfn._xlws.FILTER(_xlpm.sheets,_xlpm.qtys&gt;0),_xlpm.mx,IFERROR(MAX(_xlpm.validNums),0),IF(_xlpm.mx=0,"",INDEX(_xlpm.validSheets,MATCH(_xlpm.mx,_xlpm.validNums,0))&amp;" (+"&amp;$R657&amp;")")))</f>
        <v/>
      </c>
      <c r="F657" s="11" t="str">
        <f t="shared" si="43"/>
        <v/>
      </c>
      <c r="G657" s="12" t="str">
        <f ca="1">IF($A657="","",IFERROR(SUMIF(INDIRECT("'"&amp;'Template Setup'!$C$4&amp;"'!C:C"),$A657,INDIRECT("'"&amp;'Template Setup'!$C$4&amp;"'!A:A")),0))</f>
        <v/>
      </c>
      <c r="H657" s="12" t="str">
        <f ca="1">IF($A657="","",IFERROR(SUMIF(INDIRECT("'"&amp;'Template Setup'!$C$5&amp;"'!C:C"),$A657,INDIRECT("'"&amp;'Template Setup'!$C$5&amp;"'!A:A")),0))</f>
        <v/>
      </c>
      <c r="I657" s="12" t="str">
        <f ca="1">IF($A657="","",IFERROR(SUMIF(INDIRECT("'"&amp;'Template Setup'!$C$6&amp;"'!C:C"),$A657,INDIRECT("'"&amp;'Template Setup'!$C$6&amp;"'!A:A")),0))</f>
        <v/>
      </c>
      <c r="J657" s="12" t="str">
        <f ca="1">IF($A657="","",IFERROR(SUMIF(INDIRECT("'"&amp;'Template Setup'!$C$7&amp;"'!C:C"),$A657,INDIRECT("'"&amp;'Template Setup'!$C$7&amp;"'!A:A")),0))</f>
        <v/>
      </c>
      <c r="K657" s="12" t="str">
        <f ca="1">IF($A657="","",IFERROR(SUMIF(INDIRECT("'"&amp;'Template Setup'!$C$8&amp;"'!C:C"),$A657,INDIRECT("'"&amp;'Template Setup'!$C$8&amp;"'!A:A")),0))</f>
        <v/>
      </c>
      <c r="L657" s="11" t="str">
        <f>IF($A657="","",IFERROR(VALUE(MID(TRIM('Template Setup'!$C$4),FIND("-",TRIM('Template Setup'!$C$4))+1,10)),0))</f>
        <v/>
      </c>
      <c r="M657" s="11" t="str">
        <f>IF($A657="","",IFERROR(VALUE(MID(TRIM('Template Setup'!$C$5),FIND("-",TRIM('Template Setup'!$C$5))+1,10)),0))</f>
        <v/>
      </c>
      <c r="N657" s="11" t="str">
        <f>IF($A657="","",IFERROR(VALUE(MID(TRIM('Template Setup'!$C$6),FIND("-",TRIM('Template Setup'!$C$6))+1,10)),0))</f>
        <v/>
      </c>
      <c r="O657" s="11" t="str">
        <f>IF($A657="","",IFERROR(VALUE(MID(TRIM('Template Setup'!$C$7),FIND("-",TRIM('Template Setup'!$C$7))+1,10)),0))</f>
        <v/>
      </c>
      <c r="P657" s="11" t="str">
        <f>IF($A657="","",IFERROR(VALUE(MID(TRIM('Template Setup'!$C$8),FIND("-",TRIM('Template Setup'!$C$8))+1,10)),0))</f>
        <v/>
      </c>
      <c r="Q657" s="9" t="str">
        <f>IF($A657="","",$A657&amp;"-"&amp;'Template Setup'!$C$16)</f>
        <v/>
      </c>
      <c r="R657" s="24" t="str">
        <f t="shared" si="41"/>
        <v/>
      </c>
      <c r="S657" s="24"/>
      <c r="T657" s="24" t="str">
        <f t="shared" si="42"/>
        <v/>
      </c>
      <c r="U657" s="6" t="str">
        <f t="shared" si="40"/>
        <v/>
      </c>
    </row>
    <row r="658" spans="1:21">
      <c r="A658" s="11"/>
      <c r="B658" s="11"/>
      <c r="C658" s="11"/>
      <c r="D658" s="11" t="str">
        <f>IF($A658="","",_xlfn.TEXTJOIN(", ",TRUE,IF($G658&gt;0,'Template Setup'!$C$4,""),IF($H658&gt;0,'Template Setup'!$C$5,""),IF($I658&gt;0,'Template Setup'!$C$6,""),IF($J658&gt;0,'Template Setup'!$C$7,""),IF($K658&gt;0,'Template Setup'!$C$8,"")))</f>
        <v/>
      </c>
      <c r="E658" s="6" t="str" cm="1">
        <f t="array" ref="E658">IF($A658="","",_xlfn.LET(_xlpm.sheets,CHOOSE({1,2,3,4,5},'Template Setup'!$C$4,'Template Setup'!$C$5,'Template Setup'!$C$6,'Template Setup'!$C$7,'Template Setup'!$C$8),_xlpm.nums,CHOOSE({1,2,3,4,5},$L658,$M658,$N658,$O658,$P658),_xlpm.qtys,CHOOSE({1,2,3,4,5},$G658,$H658,$I658,$J658,$K658),_xlpm.validNums,_xlfn._xlws.FILTER(_xlpm.nums,_xlpm.qtys&gt;0),_xlpm.validSheets,_xlfn._xlws.FILTER(_xlpm.sheets,_xlpm.qtys&gt;0),_xlpm.mx,IFERROR(MAX(_xlpm.validNums),0),IF(_xlpm.mx=0,"",INDEX(_xlpm.validSheets,MATCH(_xlpm.mx,_xlpm.validNums,0))&amp;" (+"&amp;$R658&amp;")")))</f>
        <v/>
      </c>
      <c r="F658" s="11" t="str">
        <f t="shared" si="43"/>
        <v/>
      </c>
      <c r="G658" s="12" t="str">
        <f ca="1">IF($A658="","",IFERROR(SUMIF(INDIRECT("'"&amp;'Template Setup'!$C$4&amp;"'!C:C"),$A658,INDIRECT("'"&amp;'Template Setup'!$C$4&amp;"'!A:A")),0))</f>
        <v/>
      </c>
      <c r="H658" s="12" t="str">
        <f ca="1">IF($A658="","",IFERROR(SUMIF(INDIRECT("'"&amp;'Template Setup'!$C$5&amp;"'!C:C"),$A658,INDIRECT("'"&amp;'Template Setup'!$C$5&amp;"'!A:A")),0))</f>
        <v/>
      </c>
      <c r="I658" s="12" t="str">
        <f ca="1">IF($A658="","",IFERROR(SUMIF(INDIRECT("'"&amp;'Template Setup'!$C$6&amp;"'!C:C"),$A658,INDIRECT("'"&amp;'Template Setup'!$C$6&amp;"'!A:A")),0))</f>
        <v/>
      </c>
      <c r="J658" s="12" t="str">
        <f ca="1">IF($A658="","",IFERROR(SUMIF(INDIRECT("'"&amp;'Template Setup'!$C$7&amp;"'!C:C"),$A658,INDIRECT("'"&amp;'Template Setup'!$C$7&amp;"'!A:A")),0))</f>
        <v/>
      </c>
      <c r="K658" s="12" t="str">
        <f ca="1">IF($A658="","",IFERROR(SUMIF(INDIRECT("'"&amp;'Template Setup'!$C$8&amp;"'!C:C"),$A658,INDIRECT("'"&amp;'Template Setup'!$C$8&amp;"'!A:A")),0))</f>
        <v/>
      </c>
      <c r="L658" s="11" t="str">
        <f>IF($A658="","",IFERROR(VALUE(MID(TRIM('Template Setup'!$C$4),FIND("-",TRIM('Template Setup'!$C$4))+1,10)),0))</f>
        <v/>
      </c>
      <c r="M658" s="11" t="str">
        <f>IF($A658="","",IFERROR(VALUE(MID(TRIM('Template Setup'!$C$5),FIND("-",TRIM('Template Setup'!$C$5))+1,10)),0))</f>
        <v/>
      </c>
      <c r="N658" s="11" t="str">
        <f>IF($A658="","",IFERROR(VALUE(MID(TRIM('Template Setup'!$C$6),FIND("-",TRIM('Template Setup'!$C$6))+1,10)),0))</f>
        <v/>
      </c>
      <c r="O658" s="11" t="str">
        <f>IF($A658="","",IFERROR(VALUE(MID(TRIM('Template Setup'!$C$7),FIND("-",TRIM('Template Setup'!$C$7))+1,10)),0))</f>
        <v/>
      </c>
      <c r="P658" s="11" t="str">
        <f>IF($A658="","",IFERROR(VALUE(MID(TRIM('Template Setup'!$C$8),FIND("-",TRIM('Template Setup'!$C$8))+1,10)),0))</f>
        <v/>
      </c>
      <c r="Q658" s="9" t="str">
        <f>IF($A658="","",$A658&amp;"-"&amp;'Template Setup'!$C$16)</f>
        <v/>
      </c>
      <c r="R658" s="24" t="str">
        <f t="shared" si="41"/>
        <v/>
      </c>
      <c r="S658" s="24"/>
      <c r="T658" s="24" t="str">
        <f t="shared" si="42"/>
        <v/>
      </c>
      <c r="U658" s="6" t="str">
        <f t="shared" ref="U658:U721" si="44">IF($A658="","","☐")</f>
        <v/>
      </c>
    </row>
    <row r="659" spans="1:21">
      <c r="A659" s="11"/>
      <c r="B659" s="11"/>
      <c r="C659" s="11"/>
      <c r="D659" s="11" t="str">
        <f>IF($A659="","",_xlfn.TEXTJOIN(", ",TRUE,IF($G659&gt;0,'Template Setup'!$C$4,""),IF($H659&gt;0,'Template Setup'!$C$5,""),IF($I659&gt;0,'Template Setup'!$C$6,""),IF($J659&gt;0,'Template Setup'!$C$7,""),IF($K659&gt;0,'Template Setup'!$C$8,"")))</f>
        <v/>
      </c>
      <c r="E659" s="6" t="str" cm="1">
        <f t="array" ref="E659">IF($A659="","",_xlfn.LET(_xlpm.sheets,CHOOSE({1,2,3,4,5},'Template Setup'!$C$4,'Template Setup'!$C$5,'Template Setup'!$C$6,'Template Setup'!$C$7,'Template Setup'!$C$8),_xlpm.nums,CHOOSE({1,2,3,4,5},$L659,$M659,$N659,$O659,$P659),_xlpm.qtys,CHOOSE({1,2,3,4,5},$G659,$H659,$I659,$J659,$K659),_xlpm.validNums,_xlfn._xlws.FILTER(_xlpm.nums,_xlpm.qtys&gt;0),_xlpm.validSheets,_xlfn._xlws.FILTER(_xlpm.sheets,_xlpm.qtys&gt;0),_xlpm.mx,IFERROR(MAX(_xlpm.validNums),0),IF(_xlpm.mx=0,"",INDEX(_xlpm.validSheets,MATCH(_xlpm.mx,_xlpm.validNums,0))&amp;" (+"&amp;$R659&amp;")")))</f>
        <v/>
      </c>
      <c r="F659" s="11" t="str">
        <f t="shared" si="43"/>
        <v/>
      </c>
      <c r="G659" s="12" t="str">
        <f ca="1">IF($A659="","",IFERROR(SUMIF(INDIRECT("'"&amp;'Template Setup'!$C$4&amp;"'!C:C"),$A659,INDIRECT("'"&amp;'Template Setup'!$C$4&amp;"'!A:A")),0))</f>
        <v/>
      </c>
      <c r="H659" s="12" t="str">
        <f ca="1">IF($A659="","",IFERROR(SUMIF(INDIRECT("'"&amp;'Template Setup'!$C$5&amp;"'!C:C"),$A659,INDIRECT("'"&amp;'Template Setup'!$C$5&amp;"'!A:A")),0))</f>
        <v/>
      </c>
      <c r="I659" s="12" t="str">
        <f ca="1">IF($A659="","",IFERROR(SUMIF(INDIRECT("'"&amp;'Template Setup'!$C$6&amp;"'!C:C"),$A659,INDIRECT("'"&amp;'Template Setup'!$C$6&amp;"'!A:A")),0))</f>
        <v/>
      </c>
      <c r="J659" s="12" t="str">
        <f ca="1">IF($A659="","",IFERROR(SUMIF(INDIRECT("'"&amp;'Template Setup'!$C$7&amp;"'!C:C"),$A659,INDIRECT("'"&amp;'Template Setup'!$C$7&amp;"'!A:A")),0))</f>
        <v/>
      </c>
      <c r="K659" s="12" t="str">
        <f ca="1">IF($A659="","",IFERROR(SUMIF(INDIRECT("'"&amp;'Template Setup'!$C$8&amp;"'!C:C"),$A659,INDIRECT("'"&amp;'Template Setup'!$C$8&amp;"'!A:A")),0))</f>
        <v/>
      </c>
      <c r="L659" s="11" t="str">
        <f>IF($A659="","",IFERROR(VALUE(MID(TRIM('Template Setup'!$C$4),FIND("-",TRIM('Template Setup'!$C$4))+1,10)),0))</f>
        <v/>
      </c>
      <c r="M659" s="11" t="str">
        <f>IF($A659="","",IFERROR(VALUE(MID(TRIM('Template Setup'!$C$5),FIND("-",TRIM('Template Setup'!$C$5))+1,10)),0))</f>
        <v/>
      </c>
      <c r="N659" s="11" t="str">
        <f>IF($A659="","",IFERROR(VALUE(MID(TRIM('Template Setup'!$C$6),FIND("-",TRIM('Template Setup'!$C$6))+1,10)),0))</f>
        <v/>
      </c>
      <c r="O659" s="11" t="str">
        <f>IF($A659="","",IFERROR(VALUE(MID(TRIM('Template Setup'!$C$7),FIND("-",TRIM('Template Setup'!$C$7))+1,10)),0))</f>
        <v/>
      </c>
      <c r="P659" s="11" t="str">
        <f>IF($A659="","",IFERROR(VALUE(MID(TRIM('Template Setup'!$C$8),FIND("-",TRIM('Template Setup'!$C$8))+1,10)),0))</f>
        <v/>
      </c>
      <c r="Q659" s="9" t="str">
        <f>IF($A659="","",$A659&amp;"-"&amp;'Template Setup'!$C$16)</f>
        <v/>
      </c>
      <c r="R659" s="24" t="str">
        <f t="shared" si="41"/>
        <v/>
      </c>
      <c r="S659" s="24"/>
      <c r="T659" s="24" t="str">
        <f t="shared" si="42"/>
        <v/>
      </c>
      <c r="U659" s="6" t="str">
        <f t="shared" si="44"/>
        <v/>
      </c>
    </row>
    <row r="660" spans="1:21">
      <c r="A660" s="11"/>
      <c r="B660" s="11"/>
      <c r="C660" s="11"/>
      <c r="D660" s="11" t="str">
        <f>IF($A660="","",_xlfn.TEXTJOIN(", ",TRUE,IF($G660&gt;0,'Template Setup'!$C$4,""),IF($H660&gt;0,'Template Setup'!$C$5,""),IF($I660&gt;0,'Template Setup'!$C$6,""),IF($J660&gt;0,'Template Setup'!$C$7,""),IF($K660&gt;0,'Template Setup'!$C$8,"")))</f>
        <v/>
      </c>
      <c r="E660" s="6" t="str" cm="1">
        <f t="array" ref="E660">IF($A660="","",_xlfn.LET(_xlpm.sheets,CHOOSE({1,2,3,4,5},'Template Setup'!$C$4,'Template Setup'!$C$5,'Template Setup'!$C$6,'Template Setup'!$C$7,'Template Setup'!$C$8),_xlpm.nums,CHOOSE({1,2,3,4,5},$L660,$M660,$N660,$O660,$P660),_xlpm.qtys,CHOOSE({1,2,3,4,5},$G660,$H660,$I660,$J660,$K660),_xlpm.validNums,_xlfn._xlws.FILTER(_xlpm.nums,_xlpm.qtys&gt;0),_xlpm.validSheets,_xlfn._xlws.FILTER(_xlpm.sheets,_xlpm.qtys&gt;0),_xlpm.mx,IFERROR(MAX(_xlpm.validNums),0),IF(_xlpm.mx=0,"",INDEX(_xlpm.validSheets,MATCH(_xlpm.mx,_xlpm.validNums,0))&amp;" (+"&amp;$R660&amp;")")))</f>
        <v/>
      </c>
      <c r="F660" s="11" t="str">
        <f t="shared" si="43"/>
        <v/>
      </c>
      <c r="G660" s="12" t="str">
        <f ca="1">IF($A660="","",IFERROR(SUMIF(INDIRECT("'"&amp;'Template Setup'!$C$4&amp;"'!C:C"),$A660,INDIRECT("'"&amp;'Template Setup'!$C$4&amp;"'!A:A")),0))</f>
        <v/>
      </c>
      <c r="H660" s="12" t="str">
        <f ca="1">IF($A660="","",IFERROR(SUMIF(INDIRECT("'"&amp;'Template Setup'!$C$5&amp;"'!C:C"),$A660,INDIRECT("'"&amp;'Template Setup'!$C$5&amp;"'!A:A")),0))</f>
        <v/>
      </c>
      <c r="I660" s="12" t="str">
        <f ca="1">IF($A660="","",IFERROR(SUMIF(INDIRECT("'"&amp;'Template Setup'!$C$6&amp;"'!C:C"),$A660,INDIRECT("'"&amp;'Template Setup'!$C$6&amp;"'!A:A")),0))</f>
        <v/>
      </c>
      <c r="J660" s="12" t="str">
        <f ca="1">IF($A660="","",IFERROR(SUMIF(INDIRECT("'"&amp;'Template Setup'!$C$7&amp;"'!C:C"),$A660,INDIRECT("'"&amp;'Template Setup'!$C$7&amp;"'!A:A")),0))</f>
        <v/>
      </c>
      <c r="K660" s="12" t="str">
        <f ca="1">IF($A660="","",IFERROR(SUMIF(INDIRECT("'"&amp;'Template Setup'!$C$8&amp;"'!C:C"),$A660,INDIRECT("'"&amp;'Template Setup'!$C$8&amp;"'!A:A")),0))</f>
        <v/>
      </c>
      <c r="L660" s="11" t="str">
        <f>IF($A660="","",IFERROR(VALUE(MID(TRIM('Template Setup'!$C$4),FIND("-",TRIM('Template Setup'!$C$4))+1,10)),0))</f>
        <v/>
      </c>
      <c r="M660" s="11" t="str">
        <f>IF($A660="","",IFERROR(VALUE(MID(TRIM('Template Setup'!$C$5),FIND("-",TRIM('Template Setup'!$C$5))+1,10)),0))</f>
        <v/>
      </c>
      <c r="N660" s="11" t="str">
        <f>IF($A660="","",IFERROR(VALUE(MID(TRIM('Template Setup'!$C$6),FIND("-",TRIM('Template Setup'!$C$6))+1,10)),0))</f>
        <v/>
      </c>
      <c r="O660" s="11" t="str">
        <f>IF($A660="","",IFERROR(VALUE(MID(TRIM('Template Setup'!$C$7),FIND("-",TRIM('Template Setup'!$C$7))+1,10)),0))</f>
        <v/>
      </c>
      <c r="P660" s="11" t="str">
        <f>IF($A660="","",IFERROR(VALUE(MID(TRIM('Template Setup'!$C$8),FIND("-",TRIM('Template Setup'!$C$8))+1,10)),0))</f>
        <v/>
      </c>
      <c r="Q660" s="9" t="str">
        <f>IF($A660="","",$A660&amp;"-"&amp;'Template Setup'!$C$16)</f>
        <v/>
      </c>
      <c r="R660" s="24" t="str">
        <f t="shared" si="41"/>
        <v/>
      </c>
      <c r="S660" s="24"/>
      <c r="T660" s="24" t="str">
        <f t="shared" si="42"/>
        <v/>
      </c>
      <c r="U660" s="6" t="str">
        <f t="shared" si="44"/>
        <v/>
      </c>
    </row>
    <row r="661" spans="1:21">
      <c r="A661" s="11"/>
      <c r="B661" s="11"/>
      <c r="C661" s="11"/>
      <c r="D661" s="11" t="str">
        <f>IF($A661="","",_xlfn.TEXTJOIN(", ",TRUE,IF($G661&gt;0,'Template Setup'!$C$4,""),IF($H661&gt;0,'Template Setup'!$C$5,""),IF($I661&gt;0,'Template Setup'!$C$6,""),IF($J661&gt;0,'Template Setup'!$C$7,""),IF($K661&gt;0,'Template Setup'!$C$8,"")))</f>
        <v/>
      </c>
      <c r="E661" s="6" t="str" cm="1">
        <f t="array" ref="E661">IF($A661="","",_xlfn.LET(_xlpm.sheets,CHOOSE({1,2,3,4,5},'Template Setup'!$C$4,'Template Setup'!$C$5,'Template Setup'!$C$6,'Template Setup'!$C$7,'Template Setup'!$C$8),_xlpm.nums,CHOOSE({1,2,3,4,5},$L661,$M661,$N661,$O661,$P661),_xlpm.qtys,CHOOSE({1,2,3,4,5},$G661,$H661,$I661,$J661,$K661),_xlpm.validNums,_xlfn._xlws.FILTER(_xlpm.nums,_xlpm.qtys&gt;0),_xlpm.validSheets,_xlfn._xlws.FILTER(_xlpm.sheets,_xlpm.qtys&gt;0),_xlpm.mx,IFERROR(MAX(_xlpm.validNums),0),IF(_xlpm.mx=0,"",INDEX(_xlpm.validSheets,MATCH(_xlpm.mx,_xlpm.validNums,0))&amp;" (+"&amp;$R661&amp;")")))</f>
        <v/>
      </c>
      <c r="F661" s="11" t="str">
        <f t="shared" si="43"/>
        <v/>
      </c>
      <c r="G661" s="12" t="str">
        <f ca="1">IF($A661="","",IFERROR(SUMIF(INDIRECT("'"&amp;'Template Setup'!$C$4&amp;"'!C:C"),$A661,INDIRECT("'"&amp;'Template Setup'!$C$4&amp;"'!A:A")),0))</f>
        <v/>
      </c>
      <c r="H661" s="12" t="str">
        <f ca="1">IF($A661="","",IFERROR(SUMIF(INDIRECT("'"&amp;'Template Setup'!$C$5&amp;"'!C:C"),$A661,INDIRECT("'"&amp;'Template Setup'!$C$5&amp;"'!A:A")),0))</f>
        <v/>
      </c>
      <c r="I661" s="12" t="str">
        <f ca="1">IF($A661="","",IFERROR(SUMIF(INDIRECT("'"&amp;'Template Setup'!$C$6&amp;"'!C:C"),$A661,INDIRECT("'"&amp;'Template Setup'!$C$6&amp;"'!A:A")),0))</f>
        <v/>
      </c>
      <c r="J661" s="12" t="str">
        <f ca="1">IF($A661="","",IFERROR(SUMIF(INDIRECT("'"&amp;'Template Setup'!$C$7&amp;"'!C:C"),$A661,INDIRECT("'"&amp;'Template Setup'!$C$7&amp;"'!A:A")),0))</f>
        <v/>
      </c>
      <c r="K661" s="12" t="str">
        <f ca="1">IF($A661="","",IFERROR(SUMIF(INDIRECT("'"&amp;'Template Setup'!$C$8&amp;"'!C:C"),$A661,INDIRECT("'"&amp;'Template Setup'!$C$8&amp;"'!A:A")),0))</f>
        <v/>
      </c>
      <c r="L661" s="11" t="str">
        <f>IF($A661="","",IFERROR(VALUE(MID(TRIM('Template Setup'!$C$4),FIND("-",TRIM('Template Setup'!$C$4))+1,10)),0))</f>
        <v/>
      </c>
      <c r="M661" s="11" t="str">
        <f>IF($A661="","",IFERROR(VALUE(MID(TRIM('Template Setup'!$C$5),FIND("-",TRIM('Template Setup'!$C$5))+1,10)),0))</f>
        <v/>
      </c>
      <c r="N661" s="11" t="str">
        <f>IF($A661="","",IFERROR(VALUE(MID(TRIM('Template Setup'!$C$6),FIND("-",TRIM('Template Setup'!$C$6))+1,10)),0))</f>
        <v/>
      </c>
      <c r="O661" s="11" t="str">
        <f>IF($A661="","",IFERROR(VALUE(MID(TRIM('Template Setup'!$C$7),FIND("-",TRIM('Template Setup'!$C$7))+1,10)),0))</f>
        <v/>
      </c>
      <c r="P661" s="11" t="str">
        <f>IF($A661="","",IFERROR(VALUE(MID(TRIM('Template Setup'!$C$8),FIND("-",TRIM('Template Setup'!$C$8))+1,10)),0))</f>
        <v/>
      </c>
      <c r="Q661" s="9" t="str">
        <f>IF($A661="","",$A661&amp;"-"&amp;'Template Setup'!$C$16)</f>
        <v/>
      </c>
      <c r="R661" s="24" t="str">
        <f t="shared" si="41"/>
        <v/>
      </c>
      <c r="S661" s="24"/>
      <c r="T661" s="24" t="str">
        <f t="shared" si="42"/>
        <v/>
      </c>
      <c r="U661" s="6" t="str">
        <f t="shared" si="44"/>
        <v/>
      </c>
    </row>
    <row r="662" spans="1:21">
      <c r="A662" s="11"/>
      <c r="B662" s="11"/>
      <c r="C662" s="11"/>
      <c r="D662" s="11" t="str">
        <f>IF($A662="","",_xlfn.TEXTJOIN(", ",TRUE,IF($G662&gt;0,'Template Setup'!$C$4,""),IF($H662&gt;0,'Template Setup'!$C$5,""),IF($I662&gt;0,'Template Setup'!$C$6,""),IF($J662&gt;0,'Template Setup'!$C$7,""),IF($K662&gt;0,'Template Setup'!$C$8,"")))</f>
        <v/>
      </c>
      <c r="E662" s="6" t="str" cm="1">
        <f t="array" ref="E662">IF($A662="","",_xlfn.LET(_xlpm.sheets,CHOOSE({1,2,3,4,5},'Template Setup'!$C$4,'Template Setup'!$C$5,'Template Setup'!$C$6,'Template Setup'!$C$7,'Template Setup'!$C$8),_xlpm.nums,CHOOSE({1,2,3,4,5},$L662,$M662,$N662,$O662,$P662),_xlpm.qtys,CHOOSE({1,2,3,4,5},$G662,$H662,$I662,$J662,$K662),_xlpm.validNums,_xlfn._xlws.FILTER(_xlpm.nums,_xlpm.qtys&gt;0),_xlpm.validSheets,_xlfn._xlws.FILTER(_xlpm.sheets,_xlpm.qtys&gt;0),_xlpm.mx,IFERROR(MAX(_xlpm.validNums),0),IF(_xlpm.mx=0,"",INDEX(_xlpm.validSheets,MATCH(_xlpm.mx,_xlpm.validNums,0))&amp;" (+"&amp;$R662&amp;")")))</f>
        <v/>
      </c>
      <c r="F662" s="11" t="str">
        <f t="shared" si="43"/>
        <v/>
      </c>
      <c r="G662" s="12" t="str">
        <f ca="1">IF($A662="","",IFERROR(SUMIF(INDIRECT("'"&amp;'Template Setup'!$C$4&amp;"'!C:C"),$A662,INDIRECT("'"&amp;'Template Setup'!$C$4&amp;"'!A:A")),0))</f>
        <v/>
      </c>
      <c r="H662" s="12" t="str">
        <f ca="1">IF($A662="","",IFERROR(SUMIF(INDIRECT("'"&amp;'Template Setup'!$C$5&amp;"'!C:C"),$A662,INDIRECT("'"&amp;'Template Setup'!$C$5&amp;"'!A:A")),0))</f>
        <v/>
      </c>
      <c r="I662" s="12" t="str">
        <f ca="1">IF($A662="","",IFERROR(SUMIF(INDIRECT("'"&amp;'Template Setup'!$C$6&amp;"'!C:C"),$A662,INDIRECT("'"&amp;'Template Setup'!$C$6&amp;"'!A:A")),0))</f>
        <v/>
      </c>
      <c r="J662" s="12" t="str">
        <f ca="1">IF($A662="","",IFERROR(SUMIF(INDIRECT("'"&amp;'Template Setup'!$C$7&amp;"'!C:C"),$A662,INDIRECT("'"&amp;'Template Setup'!$C$7&amp;"'!A:A")),0))</f>
        <v/>
      </c>
      <c r="K662" s="12" t="str">
        <f ca="1">IF($A662="","",IFERROR(SUMIF(INDIRECT("'"&amp;'Template Setup'!$C$8&amp;"'!C:C"),$A662,INDIRECT("'"&amp;'Template Setup'!$C$8&amp;"'!A:A")),0))</f>
        <v/>
      </c>
      <c r="L662" s="11" t="str">
        <f>IF($A662="","",IFERROR(VALUE(MID(TRIM('Template Setup'!$C$4),FIND("-",TRIM('Template Setup'!$C$4))+1,10)),0))</f>
        <v/>
      </c>
      <c r="M662" s="11" t="str">
        <f>IF($A662="","",IFERROR(VALUE(MID(TRIM('Template Setup'!$C$5),FIND("-",TRIM('Template Setup'!$C$5))+1,10)),0))</f>
        <v/>
      </c>
      <c r="N662" s="11" t="str">
        <f>IF($A662="","",IFERROR(VALUE(MID(TRIM('Template Setup'!$C$6),FIND("-",TRIM('Template Setup'!$C$6))+1,10)),0))</f>
        <v/>
      </c>
      <c r="O662" s="11" t="str">
        <f>IF($A662="","",IFERROR(VALUE(MID(TRIM('Template Setup'!$C$7),FIND("-",TRIM('Template Setup'!$C$7))+1,10)),0))</f>
        <v/>
      </c>
      <c r="P662" s="11" t="str">
        <f>IF($A662="","",IFERROR(VALUE(MID(TRIM('Template Setup'!$C$8),FIND("-",TRIM('Template Setup'!$C$8))+1,10)),0))</f>
        <v/>
      </c>
      <c r="Q662" s="9" t="str">
        <f>IF($A662="","",$A662&amp;"-"&amp;'Template Setup'!$C$16)</f>
        <v/>
      </c>
      <c r="R662" s="24" t="str">
        <f t="shared" si="41"/>
        <v/>
      </c>
      <c r="S662" s="24"/>
      <c r="T662" s="24" t="str">
        <f t="shared" si="42"/>
        <v/>
      </c>
      <c r="U662" s="6" t="str">
        <f t="shared" si="44"/>
        <v/>
      </c>
    </row>
    <row r="663" spans="1:21">
      <c r="A663" s="11"/>
      <c r="B663" s="11"/>
      <c r="C663" s="11"/>
      <c r="D663" s="11" t="str">
        <f>IF($A663="","",_xlfn.TEXTJOIN(", ",TRUE,IF($G663&gt;0,'Template Setup'!$C$4,""),IF($H663&gt;0,'Template Setup'!$C$5,""),IF($I663&gt;0,'Template Setup'!$C$6,""),IF($J663&gt;0,'Template Setup'!$C$7,""),IF($K663&gt;0,'Template Setup'!$C$8,"")))</f>
        <v/>
      </c>
      <c r="E663" s="6" t="str" cm="1">
        <f t="array" ref="E663">IF($A663="","",_xlfn.LET(_xlpm.sheets,CHOOSE({1,2,3,4,5},'Template Setup'!$C$4,'Template Setup'!$C$5,'Template Setup'!$C$6,'Template Setup'!$C$7,'Template Setup'!$C$8),_xlpm.nums,CHOOSE({1,2,3,4,5},$L663,$M663,$N663,$O663,$P663),_xlpm.qtys,CHOOSE({1,2,3,4,5},$G663,$H663,$I663,$J663,$K663),_xlpm.validNums,_xlfn._xlws.FILTER(_xlpm.nums,_xlpm.qtys&gt;0),_xlpm.validSheets,_xlfn._xlws.FILTER(_xlpm.sheets,_xlpm.qtys&gt;0),_xlpm.mx,IFERROR(MAX(_xlpm.validNums),0),IF(_xlpm.mx=0,"",INDEX(_xlpm.validSheets,MATCH(_xlpm.mx,_xlpm.validNums,0))&amp;" (+"&amp;$R663&amp;")")))</f>
        <v/>
      </c>
      <c r="F663" s="11" t="str">
        <f t="shared" si="43"/>
        <v/>
      </c>
      <c r="G663" s="12" t="str">
        <f ca="1">IF($A663="","",IFERROR(SUMIF(INDIRECT("'"&amp;'Template Setup'!$C$4&amp;"'!C:C"),$A663,INDIRECT("'"&amp;'Template Setup'!$C$4&amp;"'!A:A")),0))</f>
        <v/>
      </c>
      <c r="H663" s="12" t="str">
        <f ca="1">IF($A663="","",IFERROR(SUMIF(INDIRECT("'"&amp;'Template Setup'!$C$5&amp;"'!C:C"),$A663,INDIRECT("'"&amp;'Template Setup'!$C$5&amp;"'!A:A")),0))</f>
        <v/>
      </c>
      <c r="I663" s="12" t="str">
        <f ca="1">IF($A663="","",IFERROR(SUMIF(INDIRECT("'"&amp;'Template Setup'!$C$6&amp;"'!C:C"),$A663,INDIRECT("'"&amp;'Template Setup'!$C$6&amp;"'!A:A")),0))</f>
        <v/>
      </c>
      <c r="J663" s="12" t="str">
        <f ca="1">IF($A663="","",IFERROR(SUMIF(INDIRECT("'"&amp;'Template Setup'!$C$7&amp;"'!C:C"),$A663,INDIRECT("'"&amp;'Template Setup'!$C$7&amp;"'!A:A")),0))</f>
        <v/>
      </c>
      <c r="K663" s="12" t="str">
        <f ca="1">IF($A663="","",IFERROR(SUMIF(INDIRECT("'"&amp;'Template Setup'!$C$8&amp;"'!C:C"),$A663,INDIRECT("'"&amp;'Template Setup'!$C$8&amp;"'!A:A")),0))</f>
        <v/>
      </c>
      <c r="L663" s="11" t="str">
        <f>IF($A663="","",IFERROR(VALUE(MID(TRIM('Template Setup'!$C$4),FIND("-",TRIM('Template Setup'!$C$4))+1,10)),0))</f>
        <v/>
      </c>
      <c r="M663" s="11" t="str">
        <f>IF($A663="","",IFERROR(VALUE(MID(TRIM('Template Setup'!$C$5),FIND("-",TRIM('Template Setup'!$C$5))+1,10)),0))</f>
        <v/>
      </c>
      <c r="N663" s="11" t="str">
        <f>IF($A663="","",IFERROR(VALUE(MID(TRIM('Template Setup'!$C$6),FIND("-",TRIM('Template Setup'!$C$6))+1,10)),0))</f>
        <v/>
      </c>
      <c r="O663" s="11" t="str">
        <f>IF($A663="","",IFERROR(VALUE(MID(TRIM('Template Setup'!$C$7),FIND("-",TRIM('Template Setup'!$C$7))+1,10)),0))</f>
        <v/>
      </c>
      <c r="P663" s="11" t="str">
        <f>IF($A663="","",IFERROR(VALUE(MID(TRIM('Template Setup'!$C$8),FIND("-",TRIM('Template Setup'!$C$8))+1,10)),0))</f>
        <v/>
      </c>
      <c r="Q663" s="9" t="str">
        <f>IF($A663="","",$A663&amp;"-"&amp;'Template Setup'!$C$16)</f>
        <v/>
      </c>
      <c r="R663" s="24" t="str">
        <f t="shared" si="41"/>
        <v/>
      </c>
      <c r="S663" s="24"/>
      <c r="T663" s="24" t="str">
        <f t="shared" si="42"/>
        <v/>
      </c>
      <c r="U663" s="6" t="str">
        <f t="shared" si="44"/>
        <v/>
      </c>
    </row>
    <row r="664" spans="1:21">
      <c r="A664" s="11"/>
      <c r="B664" s="11"/>
      <c r="C664" s="11"/>
      <c r="D664" s="11" t="str">
        <f>IF($A664="","",_xlfn.TEXTJOIN(", ",TRUE,IF($G664&gt;0,'Template Setup'!$C$4,""),IF($H664&gt;0,'Template Setup'!$C$5,""),IF($I664&gt;0,'Template Setup'!$C$6,""),IF($J664&gt;0,'Template Setup'!$C$7,""),IF($K664&gt;0,'Template Setup'!$C$8,"")))</f>
        <v/>
      </c>
      <c r="E664" s="6" t="str" cm="1">
        <f t="array" ref="E664">IF($A664="","",_xlfn.LET(_xlpm.sheets,CHOOSE({1,2,3,4,5},'Template Setup'!$C$4,'Template Setup'!$C$5,'Template Setup'!$C$6,'Template Setup'!$C$7,'Template Setup'!$C$8),_xlpm.nums,CHOOSE({1,2,3,4,5},$L664,$M664,$N664,$O664,$P664),_xlpm.qtys,CHOOSE({1,2,3,4,5},$G664,$H664,$I664,$J664,$K664),_xlpm.validNums,_xlfn._xlws.FILTER(_xlpm.nums,_xlpm.qtys&gt;0),_xlpm.validSheets,_xlfn._xlws.FILTER(_xlpm.sheets,_xlpm.qtys&gt;0),_xlpm.mx,IFERROR(MAX(_xlpm.validNums),0),IF(_xlpm.mx=0,"",INDEX(_xlpm.validSheets,MATCH(_xlpm.mx,_xlpm.validNums,0))&amp;" (+"&amp;$R664&amp;")")))</f>
        <v/>
      </c>
      <c r="F664" s="11" t="str">
        <f t="shared" si="43"/>
        <v/>
      </c>
      <c r="G664" s="12" t="str">
        <f ca="1">IF($A664="","",IFERROR(SUMIF(INDIRECT("'"&amp;'Template Setup'!$C$4&amp;"'!C:C"),$A664,INDIRECT("'"&amp;'Template Setup'!$C$4&amp;"'!A:A")),0))</f>
        <v/>
      </c>
      <c r="H664" s="12" t="str">
        <f ca="1">IF($A664="","",IFERROR(SUMIF(INDIRECT("'"&amp;'Template Setup'!$C$5&amp;"'!C:C"),$A664,INDIRECT("'"&amp;'Template Setup'!$C$5&amp;"'!A:A")),0))</f>
        <v/>
      </c>
      <c r="I664" s="12" t="str">
        <f ca="1">IF($A664="","",IFERROR(SUMIF(INDIRECT("'"&amp;'Template Setup'!$C$6&amp;"'!C:C"),$A664,INDIRECT("'"&amp;'Template Setup'!$C$6&amp;"'!A:A")),0))</f>
        <v/>
      </c>
      <c r="J664" s="12" t="str">
        <f ca="1">IF($A664="","",IFERROR(SUMIF(INDIRECT("'"&amp;'Template Setup'!$C$7&amp;"'!C:C"),$A664,INDIRECT("'"&amp;'Template Setup'!$C$7&amp;"'!A:A")),0))</f>
        <v/>
      </c>
      <c r="K664" s="12" t="str">
        <f ca="1">IF($A664="","",IFERROR(SUMIF(INDIRECT("'"&amp;'Template Setup'!$C$8&amp;"'!C:C"),$A664,INDIRECT("'"&amp;'Template Setup'!$C$8&amp;"'!A:A")),0))</f>
        <v/>
      </c>
      <c r="L664" s="11" t="str">
        <f>IF($A664="","",IFERROR(VALUE(MID(TRIM('Template Setup'!$C$4),FIND("-",TRIM('Template Setup'!$C$4))+1,10)),0))</f>
        <v/>
      </c>
      <c r="M664" s="11" t="str">
        <f>IF($A664="","",IFERROR(VALUE(MID(TRIM('Template Setup'!$C$5),FIND("-",TRIM('Template Setup'!$C$5))+1,10)),0))</f>
        <v/>
      </c>
      <c r="N664" s="11" t="str">
        <f>IF($A664="","",IFERROR(VALUE(MID(TRIM('Template Setup'!$C$6),FIND("-",TRIM('Template Setup'!$C$6))+1,10)),0))</f>
        <v/>
      </c>
      <c r="O664" s="11" t="str">
        <f>IF($A664="","",IFERROR(VALUE(MID(TRIM('Template Setup'!$C$7),FIND("-",TRIM('Template Setup'!$C$7))+1,10)),0))</f>
        <v/>
      </c>
      <c r="P664" s="11" t="str">
        <f>IF($A664="","",IFERROR(VALUE(MID(TRIM('Template Setup'!$C$8),FIND("-",TRIM('Template Setup'!$C$8))+1,10)),0))</f>
        <v/>
      </c>
      <c r="Q664" s="9" t="str">
        <f>IF($A664="","",$A664&amp;"-"&amp;'Template Setup'!$C$16)</f>
        <v/>
      </c>
      <c r="R664" s="24" t="str">
        <f t="shared" si="41"/>
        <v/>
      </c>
      <c r="S664" s="24"/>
      <c r="T664" s="24" t="str">
        <f t="shared" si="42"/>
        <v/>
      </c>
      <c r="U664" s="6" t="str">
        <f t="shared" si="44"/>
        <v/>
      </c>
    </row>
    <row r="665" spans="1:21">
      <c r="A665" s="11"/>
      <c r="B665" s="11"/>
      <c r="C665" s="11"/>
      <c r="D665" s="11" t="str">
        <f>IF($A665="","",_xlfn.TEXTJOIN(", ",TRUE,IF($G665&gt;0,'Template Setup'!$C$4,""),IF($H665&gt;0,'Template Setup'!$C$5,""),IF($I665&gt;0,'Template Setup'!$C$6,""),IF($J665&gt;0,'Template Setup'!$C$7,""),IF($K665&gt;0,'Template Setup'!$C$8,"")))</f>
        <v/>
      </c>
      <c r="E665" s="6" t="str" cm="1">
        <f t="array" ref="E665">IF($A665="","",_xlfn.LET(_xlpm.sheets,CHOOSE({1,2,3,4,5},'Template Setup'!$C$4,'Template Setup'!$C$5,'Template Setup'!$C$6,'Template Setup'!$C$7,'Template Setup'!$C$8),_xlpm.nums,CHOOSE({1,2,3,4,5},$L665,$M665,$N665,$O665,$P665),_xlpm.qtys,CHOOSE({1,2,3,4,5},$G665,$H665,$I665,$J665,$K665),_xlpm.validNums,_xlfn._xlws.FILTER(_xlpm.nums,_xlpm.qtys&gt;0),_xlpm.validSheets,_xlfn._xlws.FILTER(_xlpm.sheets,_xlpm.qtys&gt;0),_xlpm.mx,IFERROR(MAX(_xlpm.validNums),0),IF(_xlpm.mx=0,"",INDEX(_xlpm.validSheets,MATCH(_xlpm.mx,_xlpm.validNums,0))&amp;" (+"&amp;$R665&amp;")")))</f>
        <v/>
      </c>
      <c r="F665" s="11" t="str">
        <f t="shared" si="43"/>
        <v/>
      </c>
      <c r="G665" s="12" t="str">
        <f ca="1">IF($A665="","",IFERROR(SUMIF(INDIRECT("'"&amp;'Template Setup'!$C$4&amp;"'!C:C"),$A665,INDIRECT("'"&amp;'Template Setup'!$C$4&amp;"'!A:A")),0))</f>
        <v/>
      </c>
      <c r="H665" s="12" t="str">
        <f ca="1">IF($A665="","",IFERROR(SUMIF(INDIRECT("'"&amp;'Template Setup'!$C$5&amp;"'!C:C"),$A665,INDIRECT("'"&amp;'Template Setup'!$C$5&amp;"'!A:A")),0))</f>
        <v/>
      </c>
      <c r="I665" s="12" t="str">
        <f ca="1">IF($A665="","",IFERROR(SUMIF(INDIRECT("'"&amp;'Template Setup'!$C$6&amp;"'!C:C"),$A665,INDIRECT("'"&amp;'Template Setup'!$C$6&amp;"'!A:A")),0))</f>
        <v/>
      </c>
      <c r="J665" s="12" t="str">
        <f ca="1">IF($A665="","",IFERROR(SUMIF(INDIRECT("'"&amp;'Template Setup'!$C$7&amp;"'!C:C"),$A665,INDIRECT("'"&amp;'Template Setup'!$C$7&amp;"'!A:A")),0))</f>
        <v/>
      </c>
      <c r="K665" s="12" t="str">
        <f ca="1">IF($A665="","",IFERROR(SUMIF(INDIRECT("'"&amp;'Template Setup'!$C$8&amp;"'!C:C"),$A665,INDIRECT("'"&amp;'Template Setup'!$C$8&amp;"'!A:A")),0))</f>
        <v/>
      </c>
      <c r="L665" s="11" t="str">
        <f>IF($A665="","",IFERROR(VALUE(MID(TRIM('Template Setup'!$C$4),FIND("-",TRIM('Template Setup'!$C$4))+1,10)),0))</f>
        <v/>
      </c>
      <c r="M665" s="11" t="str">
        <f>IF($A665="","",IFERROR(VALUE(MID(TRIM('Template Setup'!$C$5),FIND("-",TRIM('Template Setup'!$C$5))+1,10)),0))</f>
        <v/>
      </c>
      <c r="N665" s="11" t="str">
        <f>IF($A665="","",IFERROR(VALUE(MID(TRIM('Template Setup'!$C$6),FIND("-",TRIM('Template Setup'!$C$6))+1,10)),0))</f>
        <v/>
      </c>
      <c r="O665" s="11" t="str">
        <f>IF($A665="","",IFERROR(VALUE(MID(TRIM('Template Setup'!$C$7),FIND("-",TRIM('Template Setup'!$C$7))+1,10)),0))</f>
        <v/>
      </c>
      <c r="P665" s="11" t="str">
        <f>IF($A665="","",IFERROR(VALUE(MID(TRIM('Template Setup'!$C$8),FIND("-",TRIM('Template Setup'!$C$8))+1,10)),0))</f>
        <v/>
      </c>
      <c r="Q665" s="9" t="str">
        <f>IF($A665="","",$A665&amp;"-"&amp;'Template Setup'!$C$16)</f>
        <v/>
      </c>
      <c r="R665" s="24" t="str">
        <f t="shared" si="41"/>
        <v/>
      </c>
      <c r="S665" s="24"/>
      <c r="T665" s="24" t="str">
        <f t="shared" si="42"/>
        <v/>
      </c>
      <c r="U665" s="6" t="str">
        <f t="shared" si="44"/>
        <v/>
      </c>
    </row>
    <row r="666" spans="1:21">
      <c r="A666" s="11"/>
      <c r="B666" s="11"/>
      <c r="C666" s="11"/>
      <c r="D666" s="11" t="str">
        <f>IF($A666="","",_xlfn.TEXTJOIN(", ",TRUE,IF($G666&gt;0,'Template Setup'!$C$4,""),IF($H666&gt;0,'Template Setup'!$C$5,""),IF($I666&gt;0,'Template Setup'!$C$6,""),IF($J666&gt;0,'Template Setup'!$C$7,""),IF($K666&gt;0,'Template Setup'!$C$8,"")))</f>
        <v/>
      </c>
      <c r="E666" s="6" t="str" cm="1">
        <f t="array" ref="E666">IF($A666="","",_xlfn.LET(_xlpm.sheets,CHOOSE({1,2,3,4,5},'Template Setup'!$C$4,'Template Setup'!$C$5,'Template Setup'!$C$6,'Template Setup'!$C$7,'Template Setup'!$C$8),_xlpm.nums,CHOOSE({1,2,3,4,5},$L666,$M666,$N666,$O666,$P666),_xlpm.qtys,CHOOSE({1,2,3,4,5},$G666,$H666,$I666,$J666,$K666),_xlpm.validNums,_xlfn._xlws.FILTER(_xlpm.nums,_xlpm.qtys&gt;0),_xlpm.validSheets,_xlfn._xlws.FILTER(_xlpm.sheets,_xlpm.qtys&gt;0),_xlpm.mx,IFERROR(MAX(_xlpm.validNums),0),IF(_xlpm.mx=0,"",INDEX(_xlpm.validSheets,MATCH(_xlpm.mx,_xlpm.validNums,0))&amp;" (+"&amp;$R666&amp;")")))</f>
        <v/>
      </c>
      <c r="F666" s="11" t="str">
        <f t="shared" si="43"/>
        <v/>
      </c>
      <c r="G666" s="12" t="str">
        <f ca="1">IF($A666="","",IFERROR(SUMIF(INDIRECT("'"&amp;'Template Setup'!$C$4&amp;"'!C:C"),$A666,INDIRECT("'"&amp;'Template Setup'!$C$4&amp;"'!A:A")),0))</f>
        <v/>
      </c>
      <c r="H666" s="12" t="str">
        <f ca="1">IF($A666="","",IFERROR(SUMIF(INDIRECT("'"&amp;'Template Setup'!$C$5&amp;"'!C:C"),$A666,INDIRECT("'"&amp;'Template Setup'!$C$5&amp;"'!A:A")),0))</f>
        <v/>
      </c>
      <c r="I666" s="12" t="str">
        <f ca="1">IF($A666="","",IFERROR(SUMIF(INDIRECT("'"&amp;'Template Setup'!$C$6&amp;"'!C:C"),$A666,INDIRECT("'"&amp;'Template Setup'!$C$6&amp;"'!A:A")),0))</f>
        <v/>
      </c>
      <c r="J666" s="12" t="str">
        <f ca="1">IF($A666="","",IFERROR(SUMIF(INDIRECT("'"&amp;'Template Setup'!$C$7&amp;"'!C:C"),$A666,INDIRECT("'"&amp;'Template Setup'!$C$7&amp;"'!A:A")),0))</f>
        <v/>
      </c>
      <c r="K666" s="12" t="str">
        <f ca="1">IF($A666="","",IFERROR(SUMIF(INDIRECT("'"&amp;'Template Setup'!$C$8&amp;"'!C:C"),$A666,INDIRECT("'"&amp;'Template Setup'!$C$8&amp;"'!A:A")),0))</f>
        <v/>
      </c>
      <c r="L666" s="11" t="str">
        <f>IF($A666="","",IFERROR(VALUE(MID(TRIM('Template Setup'!$C$4),FIND("-",TRIM('Template Setup'!$C$4))+1,10)),0))</f>
        <v/>
      </c>
      <c r="M666" s="11" t="str">
        <f>IF($A666="","",IFERROR(VALUE(MID(TRIM('Template Setup'!$C$5),FIND("-",TRIM('Template Setup'!$C$5))+1,10)),0))</f>
        <v/>
      </c>
      <c r="N666" s="11" t="str">
        <f>IF($A666="","",IFERROR(VALUE(MID(TRIM('Template Setup'!$C$6),FIND("-",TRIM('Template Setup'!$C$6))+1,10)),0))</f>
        <v/>
      </c>
      <c r="O666" s="11" t="str">
        <f>IF($A666="","",IFERROR(VALUE(MID(TRIM('Template Setup'!$C$7),FIND("-",TRIM('Template Setup'!$C$7))+1,10)),0))</f>
        <v/>
      </c>
      <c r="P666" s="11" t="str">
        <f>IF($A666="","",IFERROR(VALUE(MID(TRIM('Template Setup'!$C$8),FIND("-",TRIM('Template Setup'!$C$8))+1,10)),0))</f>
        <v/>
      </c>
      <c r="Q666" s="9" t="str">
        <f>IF($A666="","",$A666&amp;"-"&amp;'Template Setup'!$C$16)</f>
        <v/>
      </c>
      <c r="R666" s="24" t="str">
        <f t="shared" si="41"/>
        <v/>
      </c>
      <c r="S666" s="24"/>
      <c r="T666" s="24" t="str">
        <f t="shared" si="42"/>
        <v/>
      </c>
      <c r="U666" s="6" t="str">
        <f t="shared" si="44"/>
        <v/>
      </c>
    </row>
    <row r="667" spans="1:21">
      <c r="A667" s="11"/>
      <c r="B667" s="11"/>
      <c r="C667" s="11"/>
      <c r="D667" s="11" t="str">
        <f>IF($A667="","",_xlfn.TEXTJOIN(", ",TRUE,IF($G667&gt;0,'Template Setup'!$C$4,""),IF($H667&gt;0,'Template Setup'!$C$5,""),IF($I667&gt;0,'Template Setup'!$C$6,""),IF($J667&gt;0,'Template Setup'!$C$7,""),IF($K667&gt;0,'Template Setup'!$C$8,"")))</f>
        <v/>
      </c>
      <c r="E667" s="6" t="str" cm="1">
        <f t="array" ref="E667">IF($A667="","",_xlfn.LET(_xlpm.sheets,CHOOSE({1,2,3,4,5},'Template Setup'!$C$4,'Template Setup'!$C$5,'Template Setup'!$C$6,'Template Setup'!$C$7,'Template Setup'!$C$8),_xlpm.nums,CHOOSE({1,2,3,4,5},$L667,$M667,$N667,$O667,$P667),_xlpm.qtys,CHOOSE({1,2,3,4,5},$G667,$H667,$I667,$J667,$K667),_xlpm.validNums,_xlfn._xlws.FILTER(_xlpm.nums,_xlpm.qtys&gt;0),_xlpm.validSheets,_xlfn._xlws.FILTER(_xlpm.sheets,_xlpm.qtys&gt;0),_xlpm.mx,IFERROR(MAX(_xlpm.validNums),0),IF(_xlpm.mx=0,"",INDEX(_xlpm.validSheets,MATCH(_xlpm.mx,_xlpm.validNums,0))&amp;" (+"&amp;$R667&amp;")")))</f>
        <v/>
      </c>
      <c r="F667" s="11" t="str">
        <f t="shared" si="43"/>
        <v/>
      </c>
      <c r="G667" s="12" t="str">
        <f ca="1">IF($A667="","",IFERROR(SUMIF(INDIRECT("'"&amp;'Template Setup'!$C$4&amp;"'!C:C"),$A667,INDIRECT("'"&amp;'Template Setup'!$C$4&amp;"'!A:A")),0))</f>
        <v/>
      </c>
      <c r="H667" s="12" t="str">
        <f ca="1">IF($A667="","",IFERROR(SUMIF(INDIRECT("'"&amp;'Template Setup'!$C$5&amp;"'!C:C"),$A667,INDIRECT("'"&amp;'Template Setup'!$C$5&amp;"'!A:A")),0))</f>
        <v/>
      </c>
      <c r="I667" s="12" t="str">
        <f ca="1">IF($A667="","",IFERROR(SUMIF(INDIRECT("'"&amp;'Template Setup'!$C$6&amp;"'!C:C"),$A667,INDIRECT("'"&amp;'Template Setup'!$C$6&amp;"'!A:A")),0))</f>
        <v/>
      </c>
      <c r="J667" s="12" t="str">
        <f ca="1">IF($A667="","",IFERROR(SUMIF(INDIRECT("'"&amp;'Template Setup'!$C$7&amp;"'!C:C"),$A667,INDIRECT("'"&amp;'Template Setup'!$C$7&amp;"'!A:A")),0))</f>
        <v/>
      </c>
      <c r="K667" s="12" t="str">
        <f ca="1">IF($A667="","",IFERROR(SUMIF(INDIRECT("'"&amp;'Template Setup'!$C$8&amp;"'!C:C"),$A667,INDIRECT("'"&amp;'Template Setup'!$C$8&amp;"'!A:A")),0))</f>
        <v/>
      </c>
      <c r="L667" s="11" t="str">
        <f>IF($A667="","",IFERROR(VALUE(MID(TRIM('Template Setup'!$C$4),FIND("-",TRIM('Template Setup'!$C$4))+1,10)),0))</f>
        <v/>
      </c>
      <c r="M667" s="11" t="str">
        <f>IF($A667="","",IFERROR(VALUE(MID(TRIM('Template Setup'!$C$5),FIND("-",TRIM('Template Setup'!$C$5))+1,10)),0))</f>
        <v/>
      </c>
      <c r="N667" s="11" t="str">
        <f>IF($A667="","",IFERROR(VALUE(MID(TRIM('Template Setup'!$C$6),FIND("-",TRIM('Template Setup'!$C$6))+1,10)),0))</f>
        <v/>
      </c>
      <c r="O667" s="11" t="str">
        <f>IF($A667="","",IFERROR(VALUE(MID(TRIM('Template Setup'!$C$7),FIND("-",TRIM('Template Setup'!$C$7))+1,10)),0))</f>
        <v/>
      </c>
      <c r="P667" s="11" t="str">
        <f>IF($A667="","",IFERROR(VALUE(MID(TRIM('Template Setup'!$C$8),FIND("-",TRIM('Template Setup'!$C$8))+1,10)),0))</f>
        <v/>
      </c>
      <c r="Q667" s="9" t="str">
        <f>IF($A667="","",$A667&amp;"-"&amp;'Template Setup'!$C$16)</f>
        <v/>
      </c>
      <c r="R667" s="24" t="str">
        <f t="shared" si="41"/>
        <v/>
      </c>
      <c r="S667" s="24"/>
      <c r="T667" s="24" t="str">
        <f t="shared" si="42"/>
        <v/>
      </c>
      <c r="U667" s="6" t="str">
        <f t="shared" si="44"/>
        <v/>
      </c>
    </row>
    <row r="668" spans="1:21">
      <c r="A668" s="11"/>
      <c r="B668" s="11"/>
      <c r="C668" s="11"/>
      <c r="D668" s="11" t="str">
        <f>IF($A668="","",_xlfn.TEXTJOIN(", ",TRUE,IF($G668&gt;0,'Template Setup'!$C$4,""),IF($H668&gt;0,'Template Setup'!$C$5,""),IF($I668&gt;0,'Template Setup'!$C$6,""),IF($J668&gt;0,'Template Setup'!$C$7,""),IF($K668&gt;0,'Template Setup'!$C$8,"")))</f>
        <v/>
      </c>
      <c r="E668" s="6" t="str" cm="1">
        <f t="array" ref="E668">IF($A668="","",_xlfn.LET(_xlpm.sheets,CHOOSE({1,2,3,4,5},'Template Setup'!$C$4,'Template Setup'!$C$5,'Template Setup'!$C$6,'Template Setup'!$C$7,'Template Setup'!$C$8),_xlpm.nums,CHOOSE({1,2,3,4,5},$L668,$M668,$N668,$O668,$P668),_xlpm.qtys,CHOOSE({1,2,3,4,5},$G668,$H668,$I668,$J668,$K668),_xlpm.validNums,_xlfn._xlws.FILTER(_xlpm.nums,_xlpm.qtys&gt;0),_xlpm.validSheets,_xlfn._xlws.FILTER(_xlpm.sheets,_xlpm.qtys&gt;0),_xlpm.mx,IFERROR(MAX(_xlpm.validNums),0),IF(_xlpm.mx=0,"",INDEX(_xlpm.validSheets,MATCH(_xlpm.mx,_xlpm.validNums,0))&amp;" (+"&amp;$R668&amp;")")))</f>
        <v/>
      </c>
      <c r="F668" s="11" t="str">
        <f t="shared" si="43"/>
        <v/>
      </c>
      <c r="G668" s="12" t="str">
        <f ca="1">IF($A668="","",IFERROR(SUMIF(INDIRECT("'"&amp;'Template Setup'!$C$4&amp;"'!C:C"),$A668,INDIRECT("'"&amp;'Template Setup'!$C$4&amp;"'!A:A")),0))</f>
        <v/>
      </c>
      <c r="H668" s="12" t="str">
        <f ca="1">IF($A668="","",IFERROR(SUMIF(INDIRECT("'"&amp;'Template Setup'!$C$5&amp;"'!C:C"),$A668,INDIRECT("'"&amp;'Template Setup'!$C$5&amp;"'!A:A")),0))</f>
        <v/>
      </c>
      <c r="I668" s="12" t="str">
        <f ca="1">IF($A668="","",IFERROR(SUMIF(INDIRECT("'"&amp;'Template Setup'!$C$6&amp;"'!C:C"),$A668,INDIRECT("'"&amp;'Template Setup'!$C$6&amp;"'!A:A")),0))</f>
        <v/>
      </c>
      <c r="J668" s="12" t="str">
        <f ca="1">IF($A668="","",IFERROR(SUMIF(INDIRECT("'"&amp;'Template Setup'!$C$7&amp;"'!C:C"),$A668,INDIRECT("'"&amp;'Template Setup'!$C$7&amp;"'!A:A")),0))</f>
        <v/>
      </c>
      <c r="K668" s="12" t="str">
        <f ca="1">IF($A668="","",IFERROR(SUMIF(INDIRECT("'"&amp;'Template Setup'!$C$8&amp;"'!C:C"),$A668,INDIRECT("'"&amp;'Template Setup'!$C$8&amp;"'!A:A")),0))</f>
        <v/>
      </c>
      <c r="L668" s="11" t="str">
        <f>IF($A668="","",IFERROR(VALUE(MID(TRIM('Template Setup'!$C$4),FIND("-",TRIM('Template Setup'!$C$4))+1,10)),0))</f>
        <v/>
      </c>
      <c r="M668" s="11" t="str">
        <f>IF($A668="","",IFERROR(VALUE(MID(TRIM('Template Setup'!$C$5),FIND("-",TRIM('Template Setup'!$C$5))+1,10)),0))</f>
        <v/>
      </c>
      <c r="N668" s="11" t="str">
        <f>IF($A668="","",IFERROR(VALUE(MID(TRIM('Template Setup'!$C$6),FIND("-",TRIM('Template Setup'!$C$6))+1,10)),0))</f>
        <v/>
      </c>
      <c r="O668" s="11" t="str">
        <f>IF($A668="","",IFERROR(VALUE(MID(TRIM('Template Setup'!$C$7),FIND("-",TRIM('Template Setup'!$C$7))+1,10)),0))</f>
        <v/>
      </c>
      <c r="P668" s="11" t="str">
        <f>IF($A668="","",IFERROR(VALUE(MID(TRIM('Template Setup'!$C$8),FIND("-",TRIM('Template Setup'!$C$8))+1,10)),0))</f>
        <v/>
      </c>
      <c r="Q668" s="9" t="str">
        <f>IF($A668="","",$A668&amp;"-"&amp;'Template Setup'!$C$16)</f>
        <v/>
      </c>
      <c r="R668" s="24" t="str">
        <f t="shared" si="41"/>
        <v/>
      </c>
      <c r="S668" s="24"/>
      <c r="T668" s="24" t="str">
        <f t="shared" si="42"/>
        <v/>
      </c>
      <c r="U668" s="6" t="str">
        <f t="shared" si="44"/>
        <v/>
      </c>
    </row>
    <row r="669" spans="1:21">
      <c r="A669" s="11"/>
      <c r="B669" s="11"/>
      <c r="C669" s="11"/>
      <c r="D669" s="11" t="str">
        <f>IF($A669="","",_xlfn.TEXTJOIN(", ",TRUE,IF($G669&gt;0,'Template Setup'!$C$4,""),IF($H669&gt;0,'Template Setup'!$C$5,""),IF($I669&gt;0,'Template Setup'!$C$6,""),IF($J669&gt;0,'Template Setup'!$C$7,""),IF($K669&gt;0,'Template Setup'!$C$8,"")))</f>
        <v/>
      </c>
      <c r="E669" s="6" t="str" cm="1">
        <f t="array" ref="E669">IF($A669="","",_xlfn.LET(_xlpm.sheets,CHOOSE({1,2,3,4,5},'Template Setup'!$C$4,'Template Setup'!$C$5,'Template Setup'!$C$6,'Template Setup'!$C$7,'Template Setup'!$C$8),_xlpm.nums,CHOOSE({1,2,3,4,5},$L669,$M669,$N669,$O669,$P669),_xlpm.qtys,CHOOSE({1,2,3,4,5},$G669,$H669,$I669,$J669,$K669),_xlpm.validNums,_xlfn._xlws.FILTER(_xlpm.nums,_xlpm.qtys&gt;0),_xlpm.validSheets,_xlfn._xlws.FILTER(_xlpm.sheets,_xlpm.qtys&gt;0),_xlpm.mx,IFERROR(MAX(_xlpm.validNums),0),IF(_xlpm.mx=0,"",INDEX(_xlpm.validSheets,MATCH(_xlpm.mx,_xlpm.validNums,0))&amp;" (+"&amp;$R669&amp;")")))</f>
        <v/>
      </c>
      <c r="F669" s="11" t="str">
        <f t="shared" si="43"/>
        <v/>
      </c>
      <c r="G669" s="12" t="str">
        <f ca="1">IF($A669="","",IFERROR(SUMIF(INDIRECT("'"&amp;'Template Setup'!$C$4&amp;"'!C:C"),$A669,INDIRECT("'"&amp;'Template Setup'!$C$4&amp;"'!A:A")),0))</f>
        <v/>
      </c>
      <c r="H669" s="12" t="str">
        <f ca="1">IF($A669="","",IFERROR(SUMIF(INDIRECT("'"&amp;'Template Setup'!$C$5&amp;"'!C:C"),$A669,INDIRECT("'"&amp;'Template Setup'!$C$5&amp;"'!A:A")),0))</f>
        <v/>
      </c>
      <c r="I669" s="12" t="str">
        <f ca="1">IF($A669="","",IFERROR(SUMIF(INDIRECT("'"&amp;'Template Setup'!$C$6&amp;"'!C:C"),$A669,INDIRECT("'"&amp;'Template Setup'!$C$6&amp;"'!A:A")),0))</f>
        <v/>
      </c>
      <c r="J669" s="12" t="str">
        <f ca="1">IF($A669="","",IFERROR(SUMIF(INDIRECT("'"&amp;'Template Setup'!$C$7&amp;"'!C:C"),$A669,INDIRECT("'"&amp;'Template Setup'!$C$7&amp;"'!A:A")),0))</f>
        <v/>
      </c>
      <c r="K669" s="12" t="str">
        <f ca="1">IF($A669="","",IFERROR(SUMIF(INDIRECT("'"&amp;'Template Setup'!$C$8&amp;"'!C:C"),$A669,INDIRECT("'"&amp;'Template Setup'!$C$8&amp;"'!A:A")),0))</f>
        <v/>
      </c>
      <c r="L669" s="11" t="str">
        <f>IF($A669="","",IFERROR(VALUE(MID(TRIM('Template Setup'!$C$4),FIND("-",TRIM('Template Setup'!$C$4))+1,10)),0))</f>
        <v/>
      </c>
      <c r="M669" s="11" t="str">
        <f>IF($A669="","",IFERROR(VALUE(MID(TRIM('Template Setup'!$C$5),FIND("-",TRIM('Template Setup'!$C$5))+1,10)),0))</f>
        <v/>
      </c>
      <c r="N669" s="11" t="str">
        <f>IF($A669="","",IFERROR(VALUE(MID(TRIM('Template Setup'!$C$6),FIND("-",TRIM('Template Setup'!$C$6))+1,10)),0))</f>
        <v/>
      </c>
      <c r="O669" s="11" t="str">
        <f>IF($A669="","",IFERROR(VALUE(MID(TRIM('Template Setup'!$C$7),FIND("-",TRIM('Template Setup'!$C$7))+1,10)),0))</f>
        <v/>
      </c>
      <c r="P669" s="11" t="str">
        <f>IF($A669="","",IFERROR(VALUE(MID(TRIM('Template Setup'!$C$8),FIND("-",TRIM('Template Setup'!$C$8))+1,10)),0))</f>
        <v/>
      </c>
      <c r="Q669" s="9" t="str">
        <f>IF($A669="","",$A669&amp;"-"&amp;'Template Setup'!$C$16)</f>
        <v/>
      </c>
      <c r="R669" s="24" t="str">
        <f t="shared" si="41"/>
        <v/>
      </c>
      <c r="S669" s="24"/>
      <c r="T669" s="24" t="str">
        <f t="shared" si="42"/>
        <v/>
      </c>
      <c r="U669" s="6" t="str">
        <f t="shared" si="44"/>
        <v/>
      </c>
    </row>
    <row r="670" spans="1:21">
      <c r="A670" s="11"/>
      <c r="B670" s="11"/>
      <c r="C670" s="11"/>
      <c r="D670" s="11" t="str">
        <f>IF($A670="","",_xlfn.TEXTJOIN(", ",TRUE,IF($G670&gt;0,'Template Setup'!$C$4,""),IF($H670&gt;0,'Template Setup'!$C$5,""),IF($I670&gt;0,'Template Setup'!$C$6,""),IF($J670&gt;0,'Template Setup'!$C$7,""),IF($K670&gt;0,'Template Setup'!$C$8,"")))</f>
        <v/>
      </c>
      <c r="E670" s="6" t="str" cm="1">
        <f t="array" ref="E670">IF($A670="","",_xlfn.LET(_xlpm.sheets,CHOOSE({1,2,3,4,5},'Template Setup'!$C$4,'Template Setup'!$C$5,'Template Setup'!$C$6,'Template Setup'!$C$7,'Template Setup'!$C$8),_xlpm.nums,CHOOSE({1,2,3,4,5},$L670,$M670,$N670,$O670,$P670),_xlpm.qtys,CHOOSE({1,2,3,4,5},$G670,$H670,$I670,$J670,$K670),_xlpm.validNums,_xlfn._xlws.FILTER(_xlpm.nums,_xlpm.qtys&gt;0),_xlpm.validSheets,_xlfn._xlws.FILTER(_xlpm.sheets,_xlpm.qtys&gt;0),_xlpm.mx,IFERROR(MAX(_xlpm.validNums),0),IF(_xlpm.mx=0,"",INDEX(_xlpm.validSheets,MATCH(_xlpm.mx,_xlpm.validNums,0))&amp;" (+"&amp;$R670&amp;")")))</f>
        <v/>
      </c>
      <c r="F670" s="11" t="str">
        <f t="shared" si="43"/>
        <v/>
      </c>
      <c r="G670" s="12" t="str">
        <f ca="1">IF($A670="","",IFERROR(SUMIF(INDIRECT("'"&amp;'Template Setup'!$C$4&amp;"'!C:C"),$A670,INDIRECT("'"&amp;'Template Setup'!$C$4&amp;"'!A:A")),0))</f>
        <v/>
      </c>
      <c r="H670" s="12" t="str">
        <f ca="1">IF($A670="","",IFERROR(SUMIF(INDIRECT("'"&amp;'Template Setup'!$C$5&amp;"'!C:C"),$A670,INDIRECT("'"&amp;'Template Setup'!$C$5&amp;"'!A:A")),0))</f>
        <v/>
      </c>
      <c r="I670" s="12" t="str">
        <f ca="1">IF($A670="","",IFERROR(SUMIF(INDIRECT("'"&amp;'Template Setup'!$C$6&amp;"'!C:C"),$A670,INDIRECT("'"&amp;'Template Setup'!$C$6&amp;"'!A:A")),0))</f>
        <v/>
      </c>
      <c r="J670" s="12" t="str">
        <f ca="1">IF($A670="","",IFERROR(SUMIF(INDIRECT("'"&amp;'Template Setup'!$C$7&amp;"'!C:C"),$A670,INDIRECT("'"&amp;'Template Setup'!$C$7&amp;"'!A:A")),0))</f>
        <v/>
      </c>
      <c r="K670" s="12" t="str">
        <f ca="1">IF($A670="","",IFERROR(SUMIF(INDIRECT("'"&amp;'Template Setup'!$C$8&amp;"'!C:C"),$A670,INDIRECT("'"&amp;'Template Setup'!$C$8&amp;"'!A:A")),0))</f>
        <v/>
      </c>
      <c r="L670" s="11" t="str">
        <f>IF($A670="","",IFERROR(VALUE(MID(TRIM('Template Setup'!$C$4),FIND("-",TRIM('Template Setup'!$C$4))+1,10)),0))</f>
        <v/>
      </c>
      <c r="M670" s="11" t="str">
        <f>IF($A670="","",IFERROR(VALUE(MID(TRIM('Template Setup'!$C$5),FIND("-",TRIM('Template Setup'!$C$5))+1,10)),0))</f>
        <v/>
      </c>
      <c r="N670" s="11" t="str">
        <f>IF($A670="","",IFERROR(VALUE(MID(TRIM('Template Setup'!$C$6),FIND("-",TRIM('Template Setup'!$C$6))+1,10)),0))</f>
        <v/>
      </c>
      <c r="O670" s="11" t="str">
        <f>IF($A670="","",IFERROR(VALUE(MID(TRIM('Template Setup'!$C$7),FIND("-",TRIM('Template Setup'!$C$7))+1,10)),0))</f>
        <v/>
      </c>
      <c r="P670" s="11" t="str">
        <f>IF($A670="","",IFERROR(VALUE(MID(TRIM('Template Setup'!$C$8),FIND("-",TRIM('Template Setup'!$C$8))+1,10)),0))</f>
        <v/>
      </c>
      <c r="Q670" s="9" t="str">
        <f>IF($A670="","",$A670&amp;"-"&amp;'Template Setup'!$C$16)</f>
        <v/>
      </c>
      <c r="R670" s="24" t="str">
        <f t="shared" si="41"/>
        <v/>
      </c>
      <c r="S670" s="24"/>
      <c r="T670" s="24" t="str">
        <f t="shared" si="42"/>
        <v/>
      </c>
      <c r="U670" s="6" t="str">
        <f t="shared" si="44"/>
        <v/>
      </c>
    </row>
    <row r="671" spans="1:21">
      <c r="A671" s="11"/>
      <c r="B671" s="11"/>
      <c r="C671" s="11"/>
      <c r="D671" s="11" t="str">
        <f>IF($A671="","",_xlfn.TEXTJOIN(", ",TRUE,IF($G671&gt;0,'Template Setup'!$C$4,""),IF($H671&gt;0,'Template Setup'!$C$5,""),IF($I671&gt;0,'Template Setup'!$C$6,""),IF($J671&gt;0,'Template Setup'!$C$7,""),IF($K671&gt;0,'Template Setup'!$C$8,"")))</f>
        <v/>
      </c>
      <c r="E671" s="6" t="str" cm="1">
        <f t="array" ref="E671">IF($A671="","",_xlfn.LET(_xlpm.sheets,CHOOSE({1,2,3,4,5},'Template Setup'!$C$4,'Template Setup'!$C$5,'Template Setup'!$C$6,'Template Setup'!$C$7,'Template Setup'!$C$8),_xlpm.nums,CHOOSE({1,2,3,4,5},$L671,$M671,$N671,$O671,$P671),_xlpm.qtys,CHOOSE({1,2,3,4,5},$G671,$H671,$I671,$J671,$K671),_xlpm.validNums,_xlfn._xlws.FILTER(_xlpm.nums,_xlpm.qtys&gt;0),_xlpm.validSheets,_xlfn._xlws.FILTER(_xlpm.sheets,_xlpm.qtys&gt;0),_xlpm.mx,IFERROR(MAX(_xlpm.validNums),0),IF(_xlpm.mx=0,"",INDEX(_xlpm.validSheets,MATCH(_xlpm.mx,_xlpm.validNums,0))&amp;" (+"&amp;$R671&amp;")")))</f>
        <v/>
      </c>
      <c r="F671" s="11" t="str">
        <f t="shared" si="43"/>
        <v/>
      </c>
      <c r="G671" s="12" t="str">
        <f ca="1">IF($A671="","",IFERROR(SUMIF(INDIRECT("'"&amp;'Template Setup'!$C$4&amp;"'!C:C"),$A671,INDIRECT("'"&amp;'Template Setup'!$C$4&amp;"'!A:A")),0))</f>
        <v/>
      </c>
      <c r="H671" s="12" t="str">
        <f ca="1">IF($A671="","",IFERROR(SUMIF(INDIRECT("'"&amp;'Template Setup'!$C$5&amp;"'!C:C"),$A671,INDIRECT("'"&amp;'Template Setup'!$C$5&amp;"'!A:A")),0))</f>
        <v/>
      </c>
      <c r="I671" s="12" t="str">
        <f ca="1">IF($A671="","",IFERROR(SUMIF(INDIRECT("'"&amp;'Template Setup'!$C$6&amp;"'!C:C"),$A671,INDIRECT("'"&amp;'Template Setup'!$C$6&amp;"'!A:A")),0))</f>
        <v/>
      </c>
      <c r="J671" s="12" t="str">
        <f ca="1">IF($A671="","",IFERROR(SUMIF(INDIRECT("'"&amp;'Template Setup'!$C$7&amp;"'!C:C"),$A671,INDIRECT("'"&amp;'Template Setup'!$C$7&amp;"'!A:A")),0))</f>
        <v/>
      </c>
      <c r="K671" s="12" t="str">
        <f ca="1">IF($A671="","",IFERROR(SUMIF(INDIRECT("'"&amp;'Template Setup'!$C$8&amp;"'!C:C"),$A671,INDIRECT("'"&amp;'Template Setup'!$C$8&amp;"'!A:A")),0))</f>
        <v/>
      </c>
      <c r="L671" s="11" t="str">
        <f>IF($A671="","",IFERROR(VALUE(MID(TRIM('Template Setup'!$C$4),FIND("-",TRIM('Template Setup'!$C$4))+1,10)),0))</f>
        <v/>
      </c>
      <c r="M671" s="11" t="str">
        <f>IF($A671="","",IFERROR(VALUE(MID(TRIM('Template Setup'!$C$5),FIND("-",TRIM('Template Setup'!$C$5))+1,10)),0))</f>
        <v/>
      </c>
      <c r="N671" s="11" t="str">
        <f>IF($A671="","",IFERROR(VALUE(MID(TRIM('Template Setup'!$C$6),FIND("-",TRIM('Template Setup'!$C$6))+1,10)),0))</f>
        <v/>
      </c>
      <c r="O671" s="11" t="str">
        <f>IF($A671="","",IFERROR(VALUE(MID(TRIM('Template Setup'!$C$7),FIND("-",TRIM('Template Setup'!$C$7))+1,10)),0))</f>
        <v/>
      </c>
      <c r="P671" s="11" t="str">
        <f>IF($A671="","",IFERROR(VALUE(MID(TRIM('Template Setup'!$C$8),FIND("-",TRIM('Template Setup'!$C$8))+1,10)),0))</f>
        <v/>
      </c>
      <c r="Q671" s="9" t="str">
        <f>IF($A671="","",$A671&amp;"-"&amp;'Template Setup'!$C$16)</f>
        <v/>
      </c>
      <c r="R671" s="24" t="str">
        <f t="shared" si="41"/>
        <v/>
      </c>
      <c r="S671" s="24"/>
      <c r="T671" s="24" t="str">
        <f t="shared" si="42"/>
        <v/>
      </c>
      <c r="U671" s="6" t="str">
        <f t="shared" si="44"/>
        <v/>
      </c>
    </row>
    <row r="672" spans="1:21">
      <c r="A672" s="11"/>
      <c r="B672" s="11"/>
      <c r="C672" s="11"/>
      <c r="D672" s="11" t="str">
        <f>IF($A672="","",_xlfn.TEXTJOIN(", ",TRUE,IF($G672&gt;0,'Template Setup'!$C$4,""),IF($H672&gt;0,'Template Setup'!$C$5,""),IF($I672&gt;0,'Template Setup'!$C$6,""),IF($J672&gt;0,'Template Setup'!$C$7,""),IF($K672&gt;0,'Template Setup'!$C$8,"")))</f>
        <v/>
      </c>
      <c r="E672" s="6" t="str" cm="1">
        <f t="array" ref="E672">IF($A672="","",_xlfn.LET(_xlpm.sheets,CHOOSE({1,2,3,4,5},'Template Setup'!$C$4,'Template Setup'!$C$5,'Template Setup'!$C$6,'Template Setup'!$C$7,'Template Setup'!$C$8),_xlpm.nums,CHOOSE({1,2,3,4,5},$L672,$M672,$N672,$O672,$P672),_xlpm.qtys,CHOOSE({1,2,3,4,5},$G672,$H672,$I672,$J672,$K672),_xlpm.validNums,_xlfn._xlws.FILTER(_xlpm.nums,_xlpm.qtys&gt;0),_xlpm.validSheets,_xlfn._xlws.FILTER(_xlpm.sheets,_xlpm.qtys&gt;0),_xlpm.mx,IFERROR(MAX(_xlpm.validNums),0),IF(_xlpm.mx=0,"",INDEX(_xlpm.validSheets,MATCH(_xlpm.mx,_xlpm.validNums,0))&amp;" (+"&amp;$R672&amp;")")))</f>
        <v/>
      </c>
      <c r="F672" s="11" t="str">
        <f t="shared" si="43"/>
        <v/>
      </c>
      <c r="G672" s="12" t="str">
        <f ca="1">IF($A672="","",IFERROR(SUMIF(INDIRECT("'"&amp;'Template Setup'!$C$4&amp;"'!C:C"),$A672,INDIRECT("'"&amp;'Template Setup'!$C$4&amp;"'!A:A")),0))</f>
        <v/>
      </c>
      <c r="H672" s="12" t="str">
        <f ca="1">IF($A672="","",IFERROR(SUMIF(INDIRECT("'"&amp;'Template Setup'!$C$5&amp;"'!C:C"),$A672,INDIRECT("'"&amp;'Template Setup'!$C$5&amp;"'!A:A")),0))</f>
        <v/>
      </c>
      <c r="I672" s="12" t="str">
        <f ca="1">IF($A672="","",IFERROR(SUMIF(INDIRECT("'"&amp;'Template Setup'!$C$6&amp;"'!C:C"),$A672,INDIRECT("'"&amp;'Template Setup'!$C$6&amp;"'!A:A")),0))</f>
        <v/>
      </c>
      <c r="J672" s="12" t="str">
        <f ca="1">IF($A672="","",IFERROR(SUMIF(INDIRECT("'"&amp;'Template Setup'!$C$7&amp;"'!C:C"),$A672,INDIRECT("'"&amp;'Template Setup'!$C$7&amp;"'!A:A")),0))</f>
        <v/>
      </c>
      <c r="K672" s="12" t="str">
        <f ca="1">IF($A672="","",IFERROR(SUMIF(INDIRECT("'"&amp;'Template Setup'!$C$8&amp;"'!C:C"),$A672,INDIRECT("'"&amp;'Template Setup'!$C$8&amp;"'!A:A")),0))</f>
        <v/>
      </c>
      <c r="L672" s="11" t="str">
        <f>IF($A672="","",IFERROR(VALUE(MID(TRIM('Template Setup'!$C$4),FIND("-",TRIM('Template Setup'!$C$4))+1,10)),0))</f>
        <v/>
      </c>
      <c r="M672" s="11" t="str">
        <f>IF($A672="","",IFERROR(VALUE(MID(TRIM('Template Setup'!$C$5),FIND("-",TRIM('Template Setup'!$C$5))+1,10)),0))</f>
        <v/>
      </c>
      <c r="N672" s="11" t="str">
        <f>IF($A672="","",IFERROR(VALUE(MID(TRIM('Template Setup'!$C$6),FIND("-",TRIM('Template Setup'!$C$6))+1,10)),0))</f>
        <v/>
      </c>
      <c r="O672" s="11" t="str">
        <f>IF($A672="","",IFERROR(VALUE(MID(TRIM('Template Setup'!$C$7),FIND("-",TRIM('Template Setup'!$C$7))+1,10)),0))</f>
        <v/>
      </c>
      <c r="P672" s="11" t="str">
        <f>IF($A672="","",IFERROR(VALUE(MID(TRIM('Template Setup'!$C$8),FIND("-",TRIM('Template Setup'!$C$8))+1,10)),0))</f>
        <v/>
      </c>
      <c r="Q672" s="9" t="str">
        <f>IF($A672="","",$A672&amp;"-"&amp;'Template Setup'!$C$16)</f>
        <v/>
      </c>
      <c r="R672" s="24" t="str">
        <f t="shared" si="41"/>
        <v/>
      </c>
      <c r="S672" s="24"/>
      <c r="T672" s="24" t="str">
        <f t="shared" si="42"/>
        <v/>
      </c>
      <c r="U672" s="6" t="str">
        <f t="shared" si="44"/>
        <v/>
      </c>
    </row>
    <row r="673" spans="1:21">
      <c r="A673" s="11"/>
      <c r="B673" s="11"/>
      <c r="C673" s="11"/>
      <c r="D673" s="11" t="str">
        <f>IF($A673="","",_xlfn.TEXTJOIN(", ",TRUE,IF($G673&gt;0,'Template Setup'!$C$4,""),IF($H673&gt;0,'Template Setup'!$C$5,""),IF($I673&gt;0,'Template Setup'!$C$6,""),IF($J673&gt;0,'Template Setup'!$C$7,""),IF($K673&gt;0,'Template Setup'!$C$8,"")))</f>
        <v/>
      </c>
      <c r="E673" s="6" t="str" cm="1">
        <f t="array" ref="E673">IF($A673="","",_xlfn.LET(_xlpm.sheets,CHOOSE({1,2,3,4,5},'Template Setup'!$C$4,'Template Setup'!$C$5,'Template Setup'!$C$6,'Template Setup'!$C$7,'Template Setup'!$C$8),_xlpm.nums,CHOOSE({1,2,3,4,5},$L673,$M673,$N673,$O673,$P673),_xlpm.qtys,CHOOSE({1,2,3,4,5},$G673,$H673,$I673,$J673,$K673),_xlpm.validNums,_xlfn._xlws.FILTER(_xlpm.nums,_xlpm.qtys&gt;0),_xlpm.validSheets,_xlfn._xlws.FILTER(_xlpm.sheets,_xlpm.qtys&gt;0),_xlpm.mx,IFERROR(MAX(_xlpm.validNums),0),IF(_xlpm.mx=0,"",INDEX(_xlpm.validSheets,MATCH(_xlpm.mx,_xlpm.validNums,0))&amp;" (+"&amp;$R673&amp;")")))</f>
        <v/>
      </c>
      <c r="F673" s="11" t="str">
        <f t="shared" si="43"/>
        <v/>
      </c>
      <c r="G673" s="12" t="str">
        <f ca="1">IF($A673="","",IFERROR(SUMIF(INDIRECT("'"&amp;'Template Setup'!$C$4&amp;"'!C:C"),$A673,INDIRECT("'"&amp;'Template Setup'!$C$4&amp;"'!A:A")),0))</f>
        <v/>
      </c>
      <c r="H673" s="12" t="str">
        <f ca="1">IF($A673="","",IFERROR(SUMIF(INDIRECT("'"&amp;'Template Setup'!$C$5&amp;"'!C:C"),$A673,INDIRECT("'"&amp;'Template Setup'!$C$5&amp;"'!A:A")),0))</f>
        <v/>
      </c>
      <c r="I673" s="12" t="str">
        <f ca="1">IF($A673="","",IFERROR(SUMIF(INDIRECT("'"&amp;'Template Setup'!$C$6&amp;"'!C:C"),$A673,INDIRECT("'"&amp;'Template Setup'!$C$6&amp;"'!A:A")),0))</f>
        <v/>
      </c>
      <c r="J673" s="12" t="str">
        <f ca="1">IF($A673="","",IFERROR(SUMIF(INDIRECT("'"&amp;'Template Setup'!$C$7&amp;"'!C:C"),$A673,INDIRECT("'"&amp;'Template Setup'!$C$7&amp;"'!A:A")),0))</f>
        <v/>
      </c>
      <c r="K673" s="12" t="str">
        <f ca="1">IF($A673="","",IFERROR(SUMIF(INDIRECT("'"&amp;'Template Setup'!$C$8&amp;"'!C:C"),$A673,INDIRECT("'"&amp;'Template Setup'!$C$8&amp;"'!A:A")),0))</f>
        <v/>
      </c>
      <c r="L673" s="11" t="str">
        <f>IF($A673="","",IFERROR(VALUE(MID(TRIM('Template Setup'!$C$4),FIND("-",TRIM('Template Setup'!$C$4))+1,10)),0))</f>
        <v/>
      </c>
      <c r="M673" s="11" t="str">
        <f>IF($A673="","",IFERROR(VALUE(MID(TRIM('Template Setup'!$C$5),FIND("-",TRIM('Template Setup'!$C$5))+1,10)),0))</f>
        <v/>
      </c>
      <c r="N673" s="11" t="str">
        <f>IF($A673="","",IFERROR(VALUE(MID(TRIM('Template Setup'!$C$6),FIND("-",TRIM('Template Setup'!$C$6))+1,10)),0))</f>
        <v/>
      </c>
      <c r="O673" s="11" t="str">
        <f>IF($A673="","",IFERROR(VALUE(MID(TRIM('Template Setup'!$C$7),FIND("-",TRIM('Template Setup'!$C$7))+1,10)),0))</f>
        <v/>
      </c>
      <c r="P673" s="11" t="str">
        <f>IF($A673="","",IFERROR(VALUE(MID(TRIM('Template Setup'!$C$8),FIND("-",TRIM('Template Setup'!$C$8))+1,10)),0))</f>
        <v/>
      </c>
      <c r="Q673" s="9" t="str">
        <f>IF($A673="","",$A673&amp;"-"&amp;'Template Setup'!$C$16)</f>
        <v/>
      </c>
      <c r="R673" s="24" t="str">
        <f t="shared" si="41"/>
        <v/>
      </c>
      <c r="S673" s="24"/>
      <c r="T673" s="24" t="str">
        <f t="shared" si="42"/>
        <v/>
      </c>
      <c r="U673" s="6" t="str">
        <f t="shared" si="44"/>
        <v/>
      </c>
    </row>
    <row r="674" spans="1:21">
      <c r="A674" s="11"/>
      <c r="B674" s="11"/>
      <c r="C674" s="11"/>
      <c r="D674" s="11" t="str">
        <f>IF($A674="","",_xlfn.TEXTJOIN(", ",TRUE,IF($G674&gt;0,'Template Setup'!$C$4,""),IF($H674&gt;0,'Template Setup'!$C$5,""),IF($I674&gt;0,'Template Setup'!$C$6,""),IF($J674&gt;0,'Template Setup'!$C$7,""),IF($K674&gt;0,'Template Setup'!$C$8,"")))</f>
        <v/>
      </c>
      <c r="E674" s="6" t="str" cm="1">
        <f t="array" ref="E674">IF($A674="","",_xlfn.LET(_xlpm.sheets,CHOOSE({1,2,3,4,5},'Template Setup'!$C$4,'Template Setup'!$C$5,'Template Setup'!$C$6,'Template Setup'!$C$7,'Template Setup'!$C$8),_xlpm.nums,CHOOSE({1,2,3,4,5},$L674,$M674,$N674,$O674,$P674),_xlpm.qtys,CHOOSE({1,2,3,4,5},$G674,$H674,$I674,$J674,$K674),_xlpm.validNums,_xlfn._xlws.FILTER(_xlpm.nums,_xlpm.qtys&gt;0),_xlpm.validSheets,_xlfn._xlws.FILTER(_xlpm.sheets,_xlpm.qtys&gt;0),_xlpm.mx,IFERROR(MAX(_xlpm.validNums),0),IF(_xlpm.mx=0,"",INDEX(_xlpm.validSheets,MATCH(_xlpm.mx,_xlpm.validNums,0))&amp;" (+"&amp;$R674&amp;")")))</f>
        <v/>
      </c>
      <c r="F674" s="11" t="str">
        <f t="shared" si="43"/>
        <v/>
      </c>
      <c r="G674" s="12" t="str">
        <f ca="1">IF($A674="","",IFERROR(SUMIF(INDIRECT("'"&amp;'Template Setup'!$C$4&amp;"'!C:C"),$A674,INDIRECT("'"&amp;'Template Setup'!$C$4&amp;"'!A:A")),0))</f>
        <v/>
      </c>
      <c r="H674" s="12" t="str">
        <f ca="1">IF($A674="","",IFERROR(SUMIF(INDIRECT("'"&amp;'Template Setup'!$C$5&amp;"'!C:C"),$A674,INDIRECT("'"&amp;'Template Setup'!$C$5&amp;"'!A:A")),0))</f>
        <v/>
      </c>
      <c r="I674" s="12" t="str">
        <f ca="1">IF($A674="","",IFERROR(SUMIF(INDIRECT("'"&amp;'Template Setup'!$C$6&amp;"'!C:C"),$A674,INDIRECT("'"&amp;'Template Setup'!$C$6&amp;"'!A:A")),0))</f>
        <v/>
      </c>
      <c r="J674" s="12" t="str">
        <f ca="1">IF($A674="","",IFERROR(SUMIF(INDIRECT("'"&amp;'Template Setup'!$C$7&amp;"'!C:C"),$A674,INDIRECT("'"&amp;'Template Setup'!$C$7&amp;"'!A:A")),0))</f>
        <v/>
      </c>
      <c r="K674" s="12" t="str">
        <f ca="1">IF($A674="","",IFERROR(SUMIF(INDIRECT("'"&amp;'Template Setup'!$C$8&amp;"'!C:C"),$A674,INDIRECT("'"&amp;'Template Setup'!$C$8&amp;"'!A:A")),0))</f>
        <v/>
      </c>
      <c r="L674" s="11" t="str">
        <f>IF($A674="","",IFERROR(VALUE(MID(TRIM('Template Setup'!$C$4),FIND("-",TRIM('Template Setup'!$C$4))+1,10)),0))</f>
        <v/>
      </c>
      <c r="M674" s="11" t="str">
        <f>IF($A674="","",IFERROR(VALUE(MID(TRIM('Template Setup'!$C$5),FIND("-",TRIM('Template Setup'!$C$5))+1,10)),0))</f>
        <v/>
      </c>
      <c r="N674" s="11" t="str">
        <f>IF($A674="","",IFERROR(VALUE(MID(TRIM('Template Setup'!$C$6),FIND("-",TRIM('Template Setup'!$C$6))+1,10)),0))</f>
        <v/>
      </c>
      <c r="O674" s="11" t="str">
        <f>IF($A674="","",IFERROR(VALUE(MID(TRIM('Template Setup'!$C$7),FIND("-",TRIM('Template Setup'!$C$7))+1,10)),0))</f>
        <v/>
      </c>
      <c r="P674" s="11" t="str">
        <f>IF($A674="","",IFERROR(VALUE(MID(TRIM('Template Setup'!$C$8),FIND("-",TRIM('Template Setup'!$C$8))+1,10)),0))</f>
        <v/>
      </c>
      <c r="Q674" s="9" t="str">
        <f>IF($A674="","",$A674&amp;"-"&amp;'Template Setup'!$C$16)</f>
        <v/>
      </c>
      <c r="R674" s="24" t="str">
        <f t="shared" si="41"/>
        <v/>
      </c>
      <c r="S674" s="24"/>
      <c r="T674" s="24" t="str">
        <f t="shared" si="42"/>
        <v/>
      </c>
      <c r="U674" s="6" t="str">
        <f t="shared" si="44"/>
        <v/>
      </c>
    </row>
    <row r="675" spans="1:21">
      <c r="A675" s="11"/>
      <c r="B675" s="11"/>
      <c r="C675" s="11"/>
      <c r="D675" s="11" t="str">
        <f>IF($A675="","",_xlfn.TEXTJOIN(", ",TRUE,IF($G675&gt;0,'Template Setup'!$C$4,""),IF($H675&gt;0,'Template Setup'!$C$5,""),IF($I675&gt;0,'Template Setup'!$C$6,""),IF($J675&gt;0,'Template Setup'!$C$7,""),IF($K675&gt;0,'Template Setup'!$C$8,"")))</f>
        <v/>
      </c>
      <c r="E675" s="6" t="str" cm="1">
        <f t="array" ref="E675">IF($A675="","",_xlfn.LET(_xlpm.sheets,CHOOSE({1,2,3,4,5},'Template Setup'!$C$4,'Template Setup'!$C$5,'Template Setup'!$C$6,'Template Setup'!$C$7,'Template Setup'!$C$8),_xlpm.nums,CHOOSE({1,2,3,4,5},$L675,$M675,$N675,$O675,$P675),_xlpm.qtys,CHOOSE({1,2,3,4,5},$G675,$H675,$I675,$J675,$K675),_xlpm.validNums,_xlfn._xlws.FILTER(_xlpm.nums,_xlpm.qtys&gt;0),_xlpm.validSheets,_xlfn._xlws.FILTER(_xlpm.sheets,_xlpm.qtys&gt;0),_xlpm.mx,IFERROR(MAX(_xlpm.validNums),0),IF(_xlpm.mx=0,"",INDEX(_xlpm.validSheets,MATCH(_xlpm.mx,_xlpm.validNums,0))&amp;" (+"&amp;$R675&amp;")")))</f>
        <v/>
      </c>
      <c r="F675" s="11" t="str">
        <f t="shared" si="43"/>
        <v/>
      </c>
      <c r="G675" s="12" t="str">
        <f ca="1">IF($A675="","",IFERROR(SUMIF(INDIRECT("'"&amp;'Template Setup'!$C$4&amp;"'!C:C"),$A675,INDIRECT("'"&amp;'Template Setup'!$C$4&amp;"'!A:A")),0))</f>
        <v/>
      </c>
      <c r="H675" s="12" t="str">
        <f ca="1">IF($A675="","",IFERROR(SUMIF(INDIRECT("'"&amp;'Template Setup'!$C$5&amp;"'!C:C"),$A675,INDIRECT("'"&amp;'Template Setup'!$C$5&amp;"'!A:A")),0))</f>
        <v/>
      </c>
      <c r="I675" s="12" t="str">
        <f ca="1">IF($A675="","",IFERROR(SUMIF(INDIRECT("'"&amp;'Template Setup'!$C$6&amp;"'!C:C"),$A675,INDIRECT("'"&amp;'Template Setup'!$C$6&amp;"'!A:A")),0))</f>
        <v/>
      </c>
      <c r="J675" s="12" t="str">
        <f ca="1">IF($A675="","",IFERROR(SUMIF(INDIRECT("'"&amp;'Template Setup'!$C$7&amp;"'!C:C"),$A675,INDIRECT("'"&amp;'Template Setup'!$C$7&amp;"'!A:A")),0))</f>
        <v/>
      </c>
      <c r="K675" s="12" t="str">
        <f ca="1">IF($A675="","",IFERROR(SUMIF(INDIRECT("'"&amp;'Template Setup'!$C$8&amp;"'!C:C"),$A675,INDIRECT("'"&amp;'Template Setup'!$C$8&amp;"'!A:A")),0))</f>
        <v/>
      </c>
      <c r="L675" s="11" t="str">
        <f>IF($A675="","",IFERROR(VALUE(MID(TRIM('Template Setup'!$C$4),FIND("-",TRIM('Template Setup'!$C$4))+1,10)),0))</f>
        <v/>
      </c>
      <c r="M675" s="11" t="str">
        <f>IF($A675="","",IFERROR(VALUE(MID(TRIM('Template Setup'!$C$5),FIND("-",TRIM('Template Setup'!$C$5))+1,10)),0))</f>
        <v/>
      </c>
      <c r="N675" s="11" t="str">
        <f>IF($A675="","",IFERROR(VALUE(MID(TRIM('Template Setup'!$C$6),FIND("-",TRIM('Template Setup'!$C$6))+1,10)),0))</f>
        <v/>
      </c>
      <c r="O675" s="11" t="str">
        <f>IF($A675="","",IFERROR(VALUE(MID(TRIM('Template Setup'!$C$7),FIND("-",TRIM('Template Setup'!$C$7))+1,10)),0))</f>
        <v/>
      </c>
      <c r="P675" s="11" t="str">
        <f>IF($A675="","",IFERROR(VALUE(MID(TRIM('Template Setup'!$C$8),FIND("-",TRIM('Template Setup'!$C$8))+1,10)),0))</f>
        <v/>
      </c>
      <c r="Q675" s="9" t="str">
        <f>IF($A675="","",$A675&amp;"-"&amp;'Template Setup'!$C$16)</f>
        <v/>
      </c>
      <c r="R675" s="24" t="str">
        <f t="shared" si="41"/>
        <v/>
      </c>
      <c r="S675" s="24"/>
      <c r="T675" s="24" t="str">
        <f t="shared" si="42"/>
        <v/>
      </c>
      <c r="U675" s="6" t="str">
        <f t="shared" si="44"/>
        <v/>
      </c>
    </row>
    <row r="676" spans="1:21">
      <c r="A676" s="11"/>
      <c r="B676" s="11"/>
      <c r="C676" s="11"/>
      <c r="D676" s="11" t="str">
        <f>IF($A676="","",_xlfn.TEXTJOIN(", ",TRUE,IF($G676&gt;0,'Template Setup'!$C$4,""),IF($H676&gt;0,'Template Setup'!$C$5,""),IF($I676&gt;0,'Template Setup'!$C$6,""),IF($J676&gt;0,'Template Setup'!$C$7,""),IF($K676&gt;0,'Template Setup'!$C$8,"")))</f>
        <v/>
      </c>
      <c r="E676" s="6" t="str" cm="1">
        <f t="array" ref="E676">IF($A676="","",_xlfn.LET(_xlpm.sheets,CHOOSE({1,2,3,4,5},'Template Setup'!$C$4,'Template Setup'!$C$5,'Template Setup'!$C$6,'Template Setup'!$C$7,'Template Setup'!$C$8),_xlpm.nums,CHOOSE({1,2,3,4,5},$L676,$M676,$N676,$O676,$P676),_xlpm.qtys,CHOOSE({1,2,3,4,5},$G676,$H676,$I676,$J676,$K676),_xlpm.validNums,_xlfn._xlws.FILTER(_xlpm.nums,_xlpm.qtys&gt;0),_xlpm.validSheets,_xlfn._xlws.FILTER(_xlpm.sheets,_xlpm.qtys&gt;0),_xlpm.mx,IFERROR(MAX(_xlpm.validNums),0),IF(_xlpm.mx=0,"",INDEX(_xlpm.validSheets,MATCH(_xlpm.mx,_xlpm.validNums,0))&amp;" (+"&amp;$R676&amp;")")))</f>
        <v/>
      </c>
      <c r="F676" s="11" t="str">
        <f t="shared" si="43"/>
        <v/>
      </c>
      <c r="G676" s="12" t="str">
        <f ca="1">IF($A676="","",IFERROR(SUMIF(INDIRECT("'"&amp;'Template Setup'!$C$4&amp;"'!C:C"),$A676,INDIRECT("'"&amp;'Template Setup'!$C$4&amp;"'!A:A")),0))</f>
        <v/>
      </c>
      <c r="H676" s="12" t="str">
        <f ca="1">IF($A676="","",IFERROR(SUMIF(INDIRECT("'"&amp;'Template Setup'!$C$5&amp;"'!C:C"),$A676,INDIRECT("'"&amp;'Template Setup'!$C$5&amp;"'!A:A")),0))</f>
        <v/>
      </c>
      <c r="I676" s="12" t="str">
        <f ca="1">IF($A676="","",IFERROR(SUMIF(INDIRECT("'"&amp;'Template Setup'!$C$6&amp;"'!C:C"),$A676,INDIRECT("'"&amp;'Template Setup'!$C$6&amp;"'!A:A")),0))</f>
        <v/>
      </c>
      <c r="J676" s="12" t="str">
        <f ca="1">IF($A676="","",IFERROR(SUMIF(INDIRECT("'"&amp;'Template Setup'!$C$7&amp;"'!C:C"),$A676,INDIRECT("'"&amp;'Template Setup'!$C$7&amp;"'!A:A")),0))</f>
        <v/>
      </c>
      <c r="K676" s="12" t="str">
        <f ca="1">IF($A676="","",IFERROR(SUMIF(INDIRECT("'"&amp;'Template Setup'!$C$8&amp;"'!C:C"),$A676,INDIRECT("'"&amp;'Template Setup'!$C$8&amp;"'!A:A")),0))</f>
        <v/>
      </c>
      <c r="L676" s="11" t="str">
        <f>IF($A676="","",IFERROR(VALUE(MID(TRIM('Template Setup'!$C$4),FIND("-",TRIM('Template Setup'!$C$4))+1,10)),0))</f>
        <v/>
      </c>
      <c r="M676" s="11" t="str">
        <f>IF($A676="","",IFERROR(VALUE(MID(TRIM('Template Setup'!$C$5),FIND("-",TRIM('Template Setup'!$C$5))+1,10)),0))</f>
        <v/>
      </c>
      <c r="N676" s="11" t="str">
        <f>IF($A676="","",IFERROR(VALUE(MID(TRIM('Template Setup'!$C$6),FIND("-",TRIM('Template Setup'!$C$6))+1,10)),0))</f>
        <v/>
      </c>
      <c r="O676" s="11" t="str">
        <f>IF($A676="","",IFERROR(VALUE(MID(TRIM('Template Setup'!$C$7),FIND("-",TRIM('Template Setup'!$C$7))+1,10)),0))</f>
        <v/>
      </c>
      <c r="P676" s="11" t="str">
        <f>IF($A676="","",IFERROR(VALUE(MID(TRIM('Template Setup'!$C$8),FIND("-",TRIM('Template Setup'!$C$8))+1,10)),0))</f>
        <v/>
      </c>
      <c r="Q676" s="9" t="str">
        <f>IF($A676="","",$A676&amp;"-"&amp;'Template Setup'!$C$16)</f>
        <v/>
      </c>
      <c r="R676" s="24" t="str">
        <f t="shared" si="41"/>
        <v/>
      </c>
      <c r="S676" s="24"/>
      <c r="T676" s="24" t="str">
        <f t="shared" si="42"/>
        <v/>
      </c>
      <c r="U676" s="6" t="str">
        <f t="shared" si="44"/>
        <v/>
      </c>
    </row>
    <row r="677" spans="1:21">
      <c r="A677" s="11"/>
      <c r="B677" s="11"/>
      <c r="C677" s="11"/>
      <c r="D677" s="11" t="str">
        <f>IF($A677="","",_xlfn.TEXTJOIN(", ",TRUE,IF($G677&gt;0,'Template Setup'!$C$4,""),IF($H677&gt;0,'Template Setup'!$C$5,""),IF($I677&gt;0,'Template Setup'!$C$6,""),IF($J677&gt;0,'Template Setup'!$C$7,""),IF($K677&gt;0,'Template Setup'!$C$8,"")))</f>
        <v/>
      </c>
      <c r="E677" s="6" t="str" cm="1">
        <f t="array" ref="E677">IF($A677="","",_xlfn.LET(_xlpm.sheets,CHOOSE({1,2,3,4,5},'Template Setup'!$C$4,'Template Setup'!$C$5,'Template Setup'!$C$6,'Template Setup'!$C$7,'Template Setup'!$C$8),_xlpm.nums,CHOOSE({1,2,3,4,5},$L677,$M677,$N677,$O677,$P677),_xlpm.qtys,CHOOSE({1,2,3,4,5},$G677,$H677,$I677,$J677,$K677),_xlpm.validNums,_xlfn._xlws.FILTER(_xlpm.nums,_xlpm.qtys&gt;0),_xlpm.validSheets,_xlfn._xlws.FILTER(_xlpm.sheets,_xlpm.qtys&gt;0),_xlpm.mx,IFERROR(MAX(_xlpm.validNums),0),IF(_xlpm.mx=0,"",INDEX(_xlpm.validSheets,MATCH(_xlpm.mx,_xlpm.validNums,0))&amp;" (+"&amp;$R677&amp;")")))</f>
        <v/>
      </c>
      <c r="F677" s="11" t="str">
        <f t="shared" si="43"/>
        <v/>
      </c>
      <c r="G677" s="12" t="str">
        <f ca="1">IF($A677="","",IFERROR(SUMIF(INDIRECT("'"&amp;'Template Setup'!$C$4&amp;"'!C:C"),$A677,INDIRECT("'"&amp;'Template Setup'!$C$4&amp;"'!A:A")),0))</f>
        <v/>
      </c>
      <c r="H677" s="12" t="str">
        <f ca="1">IF($A677="","",IFERROR(SUMIF(INDIRECT("'"&amp;'Template Setup'!$C$5&amp;"'!C:C"),$A677,INDIRECT("'"&amp;'Template Setup'!$C$5&amp;"'!A:A")),0))</f>
        <v/>
      </c>
      <c r="I677" s="12" t="str">
        <f ca="1">IF($A677="","",IFERROR(SUMIF(INDIRECT("'"&amp;'Template Setup'!$C$6&amp;"'!C:C"),$A677,INDIRECT("'"&amp;'Template Setup'!$C$6&amp;"'!A:A")),0))</f>
        <v/>
      </c>
      <c r="J677" s="12" t="str">
        <f ca="1">IF($A677="","",IFERROR(SUMIF(INDIRECT("'"&amp;'Template Setup'!$C$7&amp;"'!C:C"),$A677,INDIRECT("'"&amp;'Template Setup'!$C$7&amp;"'!A:A")),0))</f>
        <v/>
      </c>
      <c r="K677" s="12" t="str">
        <f ca="1">IF($A677="","",IFERROR(SUMIF(INDIRECT("'"&amp;'Template Setup'!$C$8&amp;"'!C:C"),$A677,INDIRECT("'"&amp;'Template Setup'!$C$8&amp;"'!A:A")),0))</f>
        <v/>
      </c>
      <c r="L677" s="11" t="str">
        <f>IF($A677="","",IFERROR(VALUE(MID(TRIM('Template Setup'!$C$4),FIND("-",TRIM('Template Setup'!$C$4))+1,10)),0))</f>
        <v/>
      </c>
      <c r="M677" s="11" t="str">
        <f>IF($A677="","",IFERROR(VALUE(MID(TRIM('Template Setup'!$C$5),FIND("-",TRIM('Template Setup'!$C$5))+1,10)),0))</f>
        <v/>
      </c>
      <c r="N677" s="11" t="str">
        <f>IF($A677="","",IFERROR(VALUE(MID(TRIM('Template Setup'!$C$6),FIND("-",TRIM('Template Setup'!$C$6))+1,10)),0))</f>
        <v/>
      </c>
      <c r="O677" s="11" t="str">
        <f>IF($A677="","",IFERROR(VALUE(MID(TRIM('Template Setup'!$C$7),FIND("-",TRIM('Template Setup'!$C$7))+1,10)),0))</f>
        <v/>
      </c>
      <c r="P677" s="11" t="str">
        <f>IF($A677="","",IFERROR(VALUE(MID(TRIM('Template Setup'!$C$8),FIND("-",TRIM('Template Setup'!$C$8))+1,10)),0))</f>
        <v/>
      </c>
      <c r="Q677" s="9" t="str">
        <f>IF($A677="","",$A677&amp;"-"&amp;'Template Setup'!$C$16)</f>
        <v/>
      </c>
      <c r="R677" s="24" t="str">
        <f t="shared" si="41"/>
        <v/>
      </c>
      <c r="S677" s="24"/>
      <c r="T677" s="24" t="str">
        <f t="shared" si="42"/>
        <v/>
      </c>
      <c r="U677" s="6" t="str">
        <f t="shared" si="44"/>
        <v/>
      </c>
    </row>
    <row r="678" spans="1:21">
      <c r="A678" s="11"/>
      <c r="B678" s="11"/>
      <c r="C678" s="11"/>
      <c r="D678" s="11" t="str">
        <f>IF($A678="","",_xlfn.TEXTJOIN(", ",TRUE,IF($G678&gt;0,'Template Setup'!$C$4,""),IF($H678&gt;0,'Template Setup'!$C$5,""),IF($I678&gt;0,'Template Setup'!$C$6,""),IF($J678&gt;0,'Template Setup'!$C$7,""),IF($K678&gt;0,'Template Setup'!$C$8,"")))</f>
        <v/>
      </c>
      <c r="E678" s="6" t="str" cm="1">
        <f t="array" ref="E678">IF($A678="","",_xlfn.LET(_xlpm.sheets,CHOOSE({1,2,3,4,5},'Template Setup'!$C$4,'Template Setup'!$C$5,'Template Setup'!$C$6,'Template Setup'!$C$7,'Template Setup'!$C$8),_xlpm.nums,CHOOSE({1,2,3,4,5},$L678,$M678,$N678,$O678,$P678),_xlpm.qtys,CHOOSE({1,2,3,4,5},$G678,$H678,$I678,$J678,$K678),_xlpm.validNums,_xlfn._xlws.FILTER(_xlpm.nums,_xlpm.qtys&gt;0),_xlpm.validSheets,_xlfn._xlws.FILTER(_xlpm.sheets,_xlpm.qtys&gt;0),_xlpm.mx,IFERROR(MAX(_xlpm.validNums),0),IF(_xlpm.mx=0,"",INDEX(_xlpm.validSheets,MATCH(_xlpm.mx,_xlpm.validNums,0))&amp;" (+"&amp;$R678&amp;")")))</f>
        <v/>
      </c>
      <c r="F678" s="11" t="str">
        <f t="shared" si="43"/>
        <v/>
      </c>
      <c r="G678" s="12" t="str">
        <f ca="1">IF($A678="","",IFERROR(SUMIF(INDIRECT("'"&amp;'Template Setup'!$C$4&amp;"'!C:C"),$A678,INDIRECT("'"&amp;'Template Setup'!$C$4&amp;"'!A:A")),0))</f>
        <v/>
      </c>
      <c r="H678" s="12" t="str">
        <f ca="1">IF($A678="","",IFERROR(SUMIF(INDIRECT("'"&amp;'Template Setup'!$C$5&amp;"'!C:C"),$A678,INDIRECT("'"&amp;'Template Setup'!$C$5&amp;"'!A:A")),0))</f>
        <v/>
      </c>
      <c r="I678" s="12" t="str">
        <f ca="1">IF($A678="","",IFERROR(SUMIF(INDIRECT("'"&amp;'Template Setup'!$C$6&amp;"'!C:C"),$A678,INDIRECT("'"&amp;'Template Setup'!$C$6&amp;"'!A:A")),0))</f>
        <v/>
      </c>
      <c r="J678" s="12" t="str">
        <f ca="1">IF($A678="","",IFERROR(SUMIF(INDIRECT("'"&amp;'Template Setup'!$C$7&amp;"'!C:C"),$A678,INDIRECT("'"&amp;'Template Setup'!$C$7&amp;"'!A:A")),0))</f>
        <v/>
      </c>
      <c r="K678" s="12" t="str">
        <f ca="1">IF($A678="","",IFERROR(SUMIF(INDIRECT("'"&amp;'Template Setup'!$C$8&amp;"'!C:C"),$A678,INDIRECT("'"&amp;'Template Setup'!$C$8&amp;"'!A:A")),0))</f>
        <v/>
      </c>
      <c r="L678" s="11" t="str">
        <f>IF($A678="","",IFERROR(VALUE(MID(TRIM('Template Setup'!$C$4),FIND("-",TRIM('Template Setup'!$C$4))+1,10)),0))</f>
        <v/>
      </c>
      <c r="M678" s="11" t="str">
        <f>IF($A678="","",IFERROR(VALUE(MID(TRIM('Template Setup'!$C$5),FIND("-",TRIM('Template Setup'!$C$5))+1,10)),0))</f>
        <v/>
      </c>
      <c r="N678" s="11" t="str">
        <f>IF($A678="","",IFERROR(VALUE(MID(TRIM('Template Setup'!$C$6),FIND("-",TRIM('Template Setup'!$C$6))+1,10)),0))</f>
        <v/>
      </c>
      <c r="O678" s="11" t="str">
        <f>IF($A678="","",IFERROR(VALUE(MID(TRIM('Template Setup'!$C$7),FIND("-",TRIM('Template Setup'!$C$7))+1,10)),0))</f>
        <v/>
      </c>
      <c r="P678" s="11" t="str">
        <f>IF($A678="","",IFERROR(VALUE(MID(TRIM('Template Setup'!$C$8),FIND("-",TRIM('Template Setup'!$C$8))+1,10)),0))</f>
        <v/>
      </c>
      <c r="Q678" s="9" t="str">
        <f>IF($A678="","",$A678&amp;"-"&amp;'Template Setup'!$C$16)</f>
        <v/>
      </c>
      <c r="R678" s="24" t="str">
        <f t="shared" si="41"/>
        <v/>
      </c>
      <c r="S678" s="24"/>
      <c r="T678" s="24" t="str">
        <f t="shared" si="42"/>
        <v/>
      </c>
      <c r="U678" s="6" t="str">
        <f t="shared" si="44"/>
        <v/>
      </c>
    </row>
    <row r="679" spans="1:21">
      <c r="A679" s="11"/>
      <c r="B679" s="11"/>
      <c r="C679" s="11"/>
      <c r="D679" s="11" t="str">
        <f>IF($A679="","",_xlfn.TEXTJOIN(", ",TRUE,IF($G679&gt;0,'Template Setup'!$C$4,""),IF($H679&gt;0,'Template Setup'!$C$5,""),IF($I679&gt;0,'Template Setup'!$C$6,""),IF($J679&gt;0,'Template Setup'!$C$7,""),IF($K679&gt;0,'Template Setup'!$C$8,"")))</f>
        <v/>
      </c>
      <c r="E679" s="6" t="str" cm="1">
        <f t="array" ref="E679">IF($A679="","",_xlfn.LET(_xlpm.sheets,CHOOSE({1,2,3,4,5},'Template Setup'!$C$4,'Template Setup'!$C$5,'Template Setup'!$C$6,'Template Setup'!$C$7,'Template Setup'!$C$8),_xlpm.nums,CHOOSE({1,2,3,4,5},$L679,$M679,$N679,$O679,$P679),_xlpm.qtys,CHOOSE({1,2,3,4,5},$G679,$H679,$I679,$J679,$K679),_xlpm.validNums,_xlfn._xlws.FILTER(_xlpm.nums,_xlpm.qtys&gt;0),_xlpm.validSheets,_xlfn._xlws.FILTER(_xlpm.sheets,_xlpm.qtys&gt;0),_xlpm.mx,IFERROR(MAX(_xlpm.validNums),0),IF(_xlpm.mx=0,"",INDEX(_xlpm.validSheets,MATCH(_xlpm.mx,_xlpm.validNums,0))&amp;" (+"&amp;$R679&amp;")")))</f>
        <v/>
      </c>
      <c r="F679" s="11" t="str">
        <f t="shared" si="43"/>
        <v/>
      </c>
      <c r="G679" s="12" t="str">
        <f ca="1">IF($A679="","",IFERROR(SUMIF(INDIRECT("'"&amp;'Template Setup'!$C$4&amp;"'!C:C"),$A679,INDIRECT("'"&amp;'Template Setup'!$C$4&amp;"'!A:A")),0))</f>
        <v/>
      </c>
      <c r="H679" s="12" t="str">
        <f ca="1">IF($A679="","",IFERROR(SUMIF(INDIRECT("'"&amp;'Template Setup'!$C$5&amp;"'!C:C"),$A679,INDIRECT("'"&amp;'Template Setup'!$C$5&amp;"'!A:A")),0))</f>
        <v/>
      </c>
      <c r="I679" s="12" t="str">
        <f ca="1">IF($A679="","",IFERROR(SUMIF(INDIRECT("'"&amp;'Template Setup'!$C$6&amp;"'!C:C"),$A679,INDIRECT("'"&amp;'Template Setup'!$C$6&amp;"'!A:A")),0))</f>
        <v/>
      </c>
      <c r="J679" s="12" t="str">
        <f ca="1">IF($A679="","",IFERROR(SUMIF(INDIRECT("'"&amp;'Template Setup'!$C$7&amp;"'!C:C"),$A679,INDIRECT("'"&amp;'Template Setup'!$C$7&amp;"'!A:A")),0))</f>
        <v/>
      </c>
      <c r="K679" s="12" t="str">
        <f ca="1">IF($A679="","",IFERROR(SUMIF(INDIRECT("'"&amp;'Template Setup'!$C$8&amp;"'!C:C"),$A679,INDIRECT("'"&amp;'Template Setup'!$C$8&amp;"'!A:A")),0))</f>
        <v/>
      </c>
      <c r="L679" s="11" t="str">
        <f>IF($A679="","",IFERROR(VALUE(MID(TRIM('Template Setup'!$C$4),FIND("-",TRIM('Template Setup'!$C$4))+1,10)),0))</f>
        <v/>
      </c>
      <c r="M679" s="11" t="str">
        <f>IF($A679="","",IFERROR(VALUE(MID(TRIM('Template Setup'!$C$5),FIND("-",TRIM('Template Setup'!$C$5))+1,10)),0))</f>
        <v/>
      </c>
      <c r="N679" s="11" t="str">
        <f>IF($A679="","",IFERROR(VALUE(MID(TRIM('Template Setup'!$C$6),FIND("-",TRIM('Template Setup'!$C$6))+1,10)),0))</f>
        <v/>
      </c>
      <c r="O679" s="11" t="str">
        <f>IF($A679="","",IFERROR(VALUE(MID(TRIM('Template Setup'!$C$7),FIND("-",TRIM('Template Setup'!$C$7))+1,10)),0))</f>
        <v/>
      </c>
      <c r="P679" s="11" t="str">
        <f>IF($A679="","",IFERROR(VALUE(MID(TRIM('Template Setup'!$C$8),FIND("-",TRIM('Template Setup'!$C$8))+1,10)),0))</f>
        <v/>
      </c>
      <c r="Q679" s="9" t="str">
        <f>IF($A679="","",$A679&amp;"-"&amp;'Template Setup'!$C$16)</f>
        <v/>
      </c>
      <c r="R679" s="24" t="str">
        <f t="shared" si="41"/>
        <v/>
      </c>
      <c r="S679" s="24"/>
      <c r="T679" s="24" t="str">
        <f t="shared" si="42"/>
        <v/>
      </c>
      <c r="U679" s="6" t="str">
        <f t="shared" si="44"/>
        <v/>
      </c>
    </row>
    <row r="680" spans="1:21">
      <c r="A680" s="11"/>
      <c r="B680" s="11"/>
      <c r="C680" s="11"/>
      <c r="D680" s="11" t="str">
        <f>IF($A680="","",_xlfn.TEXTJOIN(", ",TRUE,IF($G680&gt;0,'Template Setup'!$C$4,""),IF($H680&gt;0,'Template Setup'!$C$5,""),IF($I680&gt;0,'Template Setup'!$C$6,""),IF($J680&gt;0,'Template Setup'!$C$7,""),IF($K680&gt;0,'Template Setup'!$C$8,"")))</f>
        <v/>
      </c>
      <c r="E680" s="6" t="str" cm="1">
        <f t="array" ref="E680">IF($A680="","",_xlfn.LET(_xlpm.sheets,CHOOSE({1,2,3,4,5},'Template Setup'!$C$4,'Template Setup'!$C$5,'Template Setup'!$C$6,'Template Setup'!$C$7,'Template Setup'!$C$8),_xlpm.nums,CHOOSE({1,2,3,4,5},$L680,$M680,$N680,$O680,$P680),_xlpm.qtys,CHOOSE({1,2,3,4,5},$G680,$H680,$I680,$J680,$K680),_xlpm.validNums,_xlfn._xlws.FILTER(_xlpm.nums,_xlpm.qtys&gt;0),_xlpm.validSheets,_xlfn._xlws.FILTER(_xlpm.sheets,_xlpm.qtys&gt;0),_xlpm.mx,IFERROR(MAX(_xlpm.validNums),0),IF(_xlpm.mx=0,"",INDEX(_xlpm.validSheets,MATCH(_xlpm.mx,_xlpm.validNums,0))&amp;" (+"&amp;$R680&amp;")")))</f>
        <v/>
      </c>
      <c r="F680" s="11" t="str">
        <f t="shared" si="43"/>
        <v/>
      </c>
      <c r="G680" s="12" t="str">
        <f ca="1">IF($A680="","",IFERROR(SUMIF(INDIRECT("'"&amp;'Template Setup'!$C$4&amp;"'!C:C"),$A680,INDIRECT("'"&amp;'Template Setup'!$C$4&amp;"'!A:A")),0))</f>
        <v/>
      </c>
      <c r="H680" s="12" t="str">
        <f ca="1">IF($A680="","",IFERROR(SUMIF(INDIRECT("'"&amp;'Template Setup'!$C$5&amp;"'!C:C"),$A680,INDIRECT("'"&amp;'Template Setup'!$C$5&amp;"'!A:A")),0))</f>
        <v/>
      </c>
      <c r="I680" s="12" t="str">
        <f ca="1">IF($A680="","",IFERROR(SUMIF(INDIRECT("'"&amp;'Template Setup'!$C$6&amp;"'!C:C"),$A680,INDIRECT("'"&amp;'Template Setup'!$C$6&amp;"'!A:A")),0))</f>
        <v/>
      </c>
      <c r="J680" s="12" t="str">
        <f ca="1">IF($A680="","",IFERROR(SUMIF(INDIRECT("'"&amp;'Template Setup'!$C$7&amp;"'!C:C"),$A680,INDIRECT("'"&amp;'Template Setup'!$C$7&amp;"'!A:A")),0))</f>
        <v/>
      </c>
      <c r="K680" s="12" t="str">
        <f ca="1">IF($A680="","",IFERROR(SUMIF(INDIRECT("'"&amp;'Template Setup'!$C$8&amp;"'!C:C"),$A680,INDIRECT("'"&amp;'Template Setup'!$C$8&amp;"'!A:A")),0))</f>
        <v/>
      </c>
      <c r="L680" s="11" t="str">
        <f>IF($A680="","",IFERROR(VALUE(MID(TRIM('Template Setup'!$C$4),FIND("-",TRIM('Template Setup'!$C$4))+1,10)),0))</f>
        <v/>
      </c>
      <c r="M680" s="11" t="str">
        <f>IF($A680="","",IFERROR(VALUE(MID(TRIM('Template Setup'!$C$5),FIND("-",TRIM('Template Setup'!$C$5))+1,10)),0))</f>
        <v/>
      </c>
      <c r="N680" s="11" t="str">
        <f>IF($A680="","",IFERROR(VALUE(MID(TRIM('Template Setup'!$C$6),FIND("-",TRIM('Template Setup'!$C$6))+1,10)),0))</f>
        <v/>
      </c>
      <c r="O680" s="11" t="str">
        <f>IF($A680="","",IFERROR(VALUE(MID(TRIM('Template Setup'!$C$7),FIND("-",TRIM('Template Setup'!$C$7))+1,10)),0))</f>
        <v/>
      </c>
      <c r="P680" s="11" t="str">
        <f>IF($A680="","",IFERROR(VALUE(MID(TRIM('Template Setup'!$C$8),FIND("-",TRIM('Template Setup'!$C$8))+1,10)),0))</f>
        <v/>
      </c>
      <c r="Q680" s="9" t="str">
        <f>IF($A680="","",$A680&amp;"-"&amp;'Template Setup'!$C$16)</f>
        <v/>
      </c>
      <c r="R680" s="24" t="str">
        <f t="shared" si="41"/>
        <v/>
      </c>
      <c r="S680" s="24"/>
      <c r="T680" s="24" t="str">
        <f t="shared" si="42"/>
        <v/>
      </c>
      <c r="U680" s="6" t="str">
        <f t="shared" si="44"/>
        <v/>
      </c>
    </row>
    <row r="681" spans="1:21">
      <c r="A681" s="11"/>
      <c r="B681" s="11"/>
      <c r="C681" s="11"/>
      <c r="D681" s="11" t="str">
        <f>IF($A681="","",_xlfn.TEXTJOIN(", ",TRUE,IF($G681&gt;0,'Template Setup'!$C$4,""),IF($H681&gt;0,'Template Setup'!$C$5,""),IF($I681&gt;0,'Template Setup'!$C$6,""),IF($J681&gt;0,'Template Setup'!$C$7,""),IF($K681&gt;0,'Template Setup'!$C$8,"")))</f>
        <v/>
      </c>
      <c r="E681" s="6" t="str" cm="1">
        <f t="array" ref="E681">IF($A681="","",_xlfn.LET(_xlpm.sheets,CHOOSE({1,2,3,4,5},'Template Setup'!$C$4,'Template Setup'!$C$5,'Template Setup'!$C$6,'Template Setup'!$C$7,'Template Setup'!$C$8),_xlpm.nums,CHOOSE({1,2,3,4,5},$L681,$M681,$N681,$O681,$P681),_xlpm.qtys,CHOOSE({1,2,3,4,5},$G681,$H681,$I681,$J681,$K681),_xlpm.validNums,_xlfn._xlws.FILTER(_xlpm.nums,_xlpm.qtys&gt;0),_xlpm.validSheets,_xlfn._xlws.FILTER(_xlpm.sheets,_xlpm.qtys&gt;0),_xlpm.mx,IFERROR(MAX(_xlpm.validNums),0),IF(_xlpm.mx=0,"",INDEX(_xlpm.validSheets,MATCH(_xlpm.mx,_xlpm.validNums,0))&amp;" (+"&amp;$R681&amp;")")))</f>
        <v/>
      </c>
      <c r="F681" s="11" t="str">
        <f t="shared" si="43"/>
        <v/>
      </c>
      <c r="G681" s="12" t="str">
        <f ca="1">IF($A681="","",IFERROR(SUMIF(INDIRECT("'"&amp;'Template Setup'!$C$4&amp;"'!C:C"),$A681,INDIRECT("'"&amp;'Template Setup'!$C$4&amp;"'!A:A")),0))</f>
        <v/>
      </c>
      <c r="H681" s="12" t="str">
        <f ca="1">IF($A681="","",IFERROR(SUMIF(INDIRECT("'"&amp;'Template Setup'!$C$5&amp;"'!C:C"),$A681,INDIRECT("'"&amp;'Template Setup'!$C$5&amp;"'!A:A")),0))</f>
        <v/>
      </c>
      <c r="I681" s="12" t="str">
        <f ca="1">IF($A681="","",IFERROR(SUMIF(INDIRECT("'"&amp;'Template Setup'!$C$6&amp;"'!C:C"),$A681,INDIRECT("'"&amp;'Template Setup'!$C$6&amp;"'!A:A")),0))</f>
        <v/>
      </c>
      <c r="J681" s="12" t="str">
        <f ca="1">IF($A681="","",IFERROR(SUMIF(INDIRECT("'"&amp;'Template Setup'!$C$7&amp;"'!C:C"),$A681,INDIRECT("'"&amp;'Template Setup'!$C$7&amp;"'!A:A")),0))</f>
        <v/>
      </c>
      <c r="K681" s="12" t="str">
        <f ca="1">IF($A681="","",IFERROR(SUMIF(INDIRECT("'"&amp;'Template Setup'!$C$8&amp;"'!C:C"),$A681,INDIRECT("'"&amp;'Template Setup'!$C$8&amp;"'!A:A")),0))</f>
        <v/>
      </c>
      <c r="L681" s="11" t="str">
        <f>IF($A681="","",IFERROR(VALUE(MID(TRIM('Template Setup'!$C$4),FIND("-",TRIM('Template Setup'!$C$4))+1,10)),0))</f>
        <v/>
      </c>
      <c r="M681" s="11" t="str">
        <f>IF($A681="","",IFERROR(VALUE(MID(TRIM('Template Setup'!$C$5),FIND("-",TRIM('Template Setup'!$C$5))+1,10)),0))</f>
        <v/>
      </c>
      <c r="N681" s="11" t="str">
        <f>IF($A681="","",IFERROR(VALUE(MID(TRIM('Template Setup'!$C$6),FIND("-",TRIM('Template Setup'!$C$6))+1,10)),0))</f>
        <v/>
      </c>
      <c r="O681" s="11" t="str">
        <f>IF($A681="","",IFERROR(VALUE(MID(TRIM('Template Setup'!$C$7),FIND("-",TRIM('Template Setup'!$C$7))+1,10)),0))</f>
        <v/>
      </c>
      <c r="P681" s="11" t="str">
        <f>IF($A681="","",IFERROR(VALUE(MID(TRIM('Template Setup'!$C$8),FIND("-",TRIM('Template Setup'!$C$8))+1,10)),0))</f>
        <v/>
      </c>
      <c r="Q681" s="9" t="str">
        <f>IF($A681="","",$A681&amp;"-"&amp;'Template Setup'!$C$16)</f>
        <v/>
      </c>
      <c r="R681" s="24" t="str">
        <f t="shared" si="41"/>
        <v/>
      </c>
      <c r="S681" s="24"/>
      <c r="T681" s="24" t="str">
        <f t="shared" si="42"/>
        <v/>
      </c>
      <c r="U681" s="6" t="str">
        <f t="shared" si="44"/>
        <v/>
      </c>
    </row>
    <row r="682" spans="1:21">
      <c r="A682" s="11"/>
      <c r="B682" s="11"/>
      <c r="C682" s="11"/>
      <c r="D682" s="11" t="str">
        <f>IF($A682="","",_xlfn.TEXTJOIN(", ",TRUE,IF($G682&gt;0,'Template Setup'!$C$4,""),IF($H682&gt;0,'Template Setup'!$C$5,""),IF($I682&gt;0,'Template Setup'!$C$6,""),IF($J682&gt;0,'Template Setup'!$C$7,""),IF($K682&gt;0,'Template Setup'!$C$8,"")))</f>
        <v/>
      </c>
      <c r="E682" s="6" t="str" cm="1">
        <f t="array" ref="E682">IF($A682="","",_xlfn.LET(_xlpm.sheets,CHOOSE({1,2,3,4,5},'Template Setup'!$C$4,'Template Setup'!$C$5,'Template Setup'!$C$6,'Template Setup'!$C$7,'Template Setup'!$C$8),_xlpm.nums,CHOOSE({1,2,3,4,5},$L682,$M682,$N682,$O682,$P682),_xlpm.qtys,CHOOSE({1,2,3,4,5},$G682,$H682,$I682,$J682,$K682),_xlpm.validNums,_xlfn._xlws.FILTER(_xlpm.nums,_xlpm.qtys&gt;0),_xlpm.validSheets,_xlfn._xlws.FILTER(_xlpm.sheets,_xlpm.qtys&gt;0),_xlpm.mx,IFERROR(MAX(_xlpm.validNums),0),IF(_xlpm.mx=0,"",INDEX(_xlpm.validSheets,MATCH(_xlpm.mx,_xlpm.validNums,0))&amp;" (+"&amp;$R682&amp;")")))</f>
        <v/>
      </c>
      <c r="F682" s="11" t="str">
        <f t="shared" si="43"/>
        <v/>
      </c>
      <c r="G682" s="12" t="str">
        <f ca="1">IF($A682="","",IFERROR(SUMIF(INDIRECT("'"&amp;'Template Setup'!$C$4&amp;"'!C:C"),$A682,INDIRECT("'"&amp;'Template Setup'!$C$4&amp;"'!A:A")),0))</f>
        <v/>
      </c>
      <c r="H682" s="12" t="str">
        <f ca="1">IF($A682="","",IFERROR(SUMIF(INDIRECT("'"&amp;'Template Setup'!$C$5&amp;"'!C:C"),$A682,INDIRECT("'"&amp;'Template Setup'!$C$5&amp;"'!A:A")),0))</f>
        <v/>
      </c>
      <c r="I682" s="12" t="str">
        <f ca="1">IF($A682="","",IFERROR(SUMIF(INDIRECT("'"&amp;'Template Setup'!$C$6&amp;"'!C:C"),$A682,INDIRECT("'"&amp;'Template Setup'!$C$6&amp;"'!A:A")),0))</f>
        <v/>
      </c>
      <c r="J682" s="12" t="str">
        <f ca="1">IF($A682="","",IFERROR(SUMIF(INDIRECT("'"&amp;'Template Setup'!$C$7&amp;"'!C:C"),$A682,INDIRECT("'"&amp;'Template Setup'!$C$7&amp;"'!A:A")),0))</f>
        <v/>
      </c>
      <c r="K682" s="12" t="str">
        <f ca="1">IF($A682="","",IFERROR(SUMIF(INDIRECT("'"&amp;'Template Setup'!$C$8&amp;"'!C:C"),$A682,INDIRECT("'"&amp;'Template Setup'!$C$8&amp;"'!A:A")),0))</f>
        <v/>
      </c>
      <c r="L682" s="11" t="str">
        <f>IF($A682="","",IFERROR(VALUE(MID(TRIM('Template Setup'!$C$4),FIND("-",TRIM('Template Setup'!$C$4))+1,10)),0))</f>
        <v/>
      </c>
      <c r="M682" s="11" t="str">
        <f>IF($A682="","",IFERROR(VALUE(MID(TRIM('Template Setup'!$C$5),FIND("-",TRIM('Template Setup'!$C$5))+1,10)),0))</f>
        <v/>
      </c>
      <c r="N682" s="11" t="str">
        <f>IF($A682="","",IFERROR(VALUE(MID(TRIM('Template Setup'!$C$6),FIND("-",TRIM('Template Setup'!$C$6))+1,10)),0))</f>
        <v/>
      </c>
      <c r="O682" s="11" t="str">
        <f>IF($A682="","",IFERROR(VALUE(MID(TRIM('Template Setup'!$C$7),FIND("-",TRIM('Template Setup'!$C$7))+1,10)),0))</f>
        <v/>
      </c>
      <c r="P682" s="11" t="str">
        <f>IF($A682="","",IFERROR(VALUE(MID(TRIM('Template Setup'!$C$8),FIND("-",TRIM('Template Setup'!$C$8))+1,10)),0))</f>
        <v/>
      </c>
      <c r="Q682" s="9" t="str">
        <f>IF($A682="","",$A682&amp;"-"&amp;'Template Setup'!$C$16)</f>
        <v/>
      </c>
      <c r="R682" s="24" t="str">
        <f t="shared" si="41"/>
        <v/>
      </c>
      <c r="S682" s="24"/>
      <c r="T682" s="24" t="str">
        <f t="shared" si="42"/>
        <v/>
      </c>
      <c r="U682" s="6" t="str">
        <f t="shared" si="44"/>
        <v/>
      </c>
    </row>
    <row r="683" spans="1:21">
      <c r="A683" s="11"/>
      <c r="B683" s="11"/>
      <c r="C683" s="11"/>
      <c r="D683" s="11" t="str">
        <f>IF($A683="","",_xlfn.TEXTJOIN(", ",TRUE,IF($G683&gt;0,'Template Setup'!$C$4,""),IF($H683&gt;0,'Template Setup'!$C$5,""),IF($I683&gt;0,'Template Setup'!$C$6,""),IF($J683&gt;0,'Template Setup'!$C$7,""),IF($K683&gt;0,'Template Setup'!$C$8,"")))</f>
        <v/>
      </c>
      <c r="E683" s="6" t="str" cm="1">
        <f t="array" ref="E683">IF($A683="","",_xlfn.LET(_xlpm.sheets,CHOOSE({1,2,3,4,5},'Template Setup'!$C$4,'Template Setup'!$C$5,'Template Setup'!$C$6,'Template Setup'!$C$7,'Template Setup'!$C$8),_xlpm.nums,CHOOSE({1,2,3,4,5},$L683,$M683,$N683,$O683,$P683),_xlpm.qtys,CHOOSE({1,2,3,4,5},$G683,$H683,$I683,$J683,$K683),_xlpm.validNums,_xlfn._xlws.FILTER(_xlpm.nums,_xlpm.qtys&gt;0),_xlpm.validSheets,_xlfn._xlws.FILTER(_xlpm.sheets,_xlpm.qtys&gt;0),_xlpm.mx,IFERROR(MAX(_xlpm.validNums),0),IF(_xlpm.mx=0,"",INDEX(_xlpm.validSheets,MATCH(_xlpm.mx,_xlpm.validNums,0))&amp;" (+"&amp;$R683&amp;")")))</f>
        <v/>
      </c>
      <c r="F683" s="11" t="str">
        <f t="shared" si="43"/>
        <v/>
      </c>
      <c r="G683" s="12" t="str">
        <f ca="1">IF($A683="","",IFERROR(SUMIF(INDIRECT("'"&amp;'Template Setup'!$C$4&amp;"'!C:C"),$A683,INDIRECT("'"&amp;'Template Setup'!$C$4&amp;"'!A:A")),0))</f>
        <v/>
      </c>
      <c r="H683" s="12" t="str">
        <f ca="1">IF($A683="","",IFERROR(SUMIF(INDIRECT("'"&amp;'Template Setup'!$C$5&amp;"'!C:C"),$A683,INDIRECT("'"&amp;'Template Setup'!$C$5&amp;"'!A:A")),0))</f>
        <v/>
      </c>
      <c r="I683" s="12" t="str">
        <f ca="1">IF($A683="","",IFERROR(SUMIF(INDIRECT("'"&amp;'Template Setup'!$C$6&amp;"'!C:C"),$A683,INDIRECT("'"&amp;'Template Setup'!$C$6&amp;"'!A:A")),0))</f>
        <v/>
      </c>
      <c r="J683" s="12" t="str">
        <f ca="1">IF($A683="","",IFERROR(SUMIF(INDIRECT("'"&amp;'Template Setup'!$C$7&amp;"'!C:C"),$A683,INDIRECT("'"&amp;'Template Setup'!$C$7&amp;"'!A:A")),0))</f>
        <v/>
      </c>
      <c r="K683" s="12" t="str">
        <f ca="1">IF($A683="","",IFERROR(SUMIF(INDIRECT("'"&amp;'Template Setup'!$C$8&amp;"'!C:C"),$A683,INDIRECT("'"&amp;'Template Setup'!$C$8&amp;"'!A:A")),0))</f>
        <v/>
      </c>
      <c r="L683" s="11" t="str">
        <f>IF($A683="","",IFERROR(VALUE(MID(TRIM('Template Setup'!$C$4),FIND("-",TRIM('Template Setup'!$C$4))+1,10)),0))</f>
        <v/>
      </c>
      <c r="M683" s="11" t="str">
        <f>IF($A683="","",IFERROR(VALUE(MID(TRIM('Template Setup'!$C$5),FIND("-",TRIM('Template Setup'!$C$5))+1,10)),0))</f>
        <v/>
      </c>
      <c r="N683" s="11" t="str">
        <f>IF($A683="","",IFERROR(VALUE(MID(TRIM('Template Setup'!$C$6),FIND("-",TRIM('Template Setup'!$C$6))+1,10)),0))</f>
        <v/>
      </c>
      <c r="O683" s="11" t="str">
        <f>IF($A683="","",IFERROR(VALUE(MID(TRIM('Template Setup'!$C$7),FIND("-",TRIM('Template Setup'!$C$7))+1,10)),0))</f>
        <v/>
      </c>
      <c r="P683" s="11" t="str">
        <f>IF($A683="","",IFERROR(VALUE(MID(TRIM('Template Setup'!$C$8),FIND("-",TRIM('Template Setup'!$C$8))+1,10)),0))</f>
        <v/>
      </c>
      <c r="Q683" s="9" t="str">
        <f>IF($A683="","",$A683&amp;"-"&amp;'Template Setup'!$C$16)</f>
        <v/>
      </c>
      <c r="R683" s="24" t="str">
        <f t="shared" si="41"/>
        <v/>
      </c>
      <c r="S683" s="24"/>
      <c r="T683" s="24" t="str">
        <f t="shared" si="42"/>
        <v/>
      </c>
      <c r="U683" s="6" t="str">
        <f t="shared" si="44"/>
        <v/>
      </c>
    </row>
    <row r="684" spans="1:21">
      <c r="A684" s="11"/>
      <c r="B684" s="11"/>
      <c r="C684" s="11"/>
      <c r="D684" s="11" t="str">
        <f>IF($A684="","",_xlfn.TEXTJOIN(", ",TRUE,IF($G684&gt;0,'Template Setup'!$C$4,""),IF($H684&gt;0,'Template Setup'!$C$5,""),IF($I684&gt;0,'Template Setup'!$C$6,""),IF($J684&gt;0,'Template Setup'!$C$7,""),IF($K684&gt;0,'Template Setup'!$C$8,"")))</f>
        <v/>
      </c>
      <c r="E684" s="6" t="str" cm="1">
        <f t="array" ref="E684">IF($A684="","",_xlfn.LET(_xlpm.sheets,CHOOSE({1,2,3,4,5},'Template Setup'!$C$4,'Template Setup'!$C$5,'Template Setup'!$C$6,'Template Setup'!$C$7,'Template Setup'!$C$8),_xlpm.nums,CHOOSE({1,2,3,4,5},$L684,$M684,$N684,$O684,$P684),_xlpm.qtys,CHOOSE({1,2,3,4,5},$G684,$H684,$I684,$J684,$K684),_xlpm.validNums,_xlfn._xlws.FILTER(_xlpm.nums,_xlpm.qtys&gt;0),_xlpm.validSheets,_xlfn._xlws.FILTER(_xlpm.sheets,_xlpm.qtys&gt;0),_xlpm.mx,IFERROR(MAX(_xlpm.validNums),0),IF(_xlpm.mx=0,"",INDEX(_xlpm.validSheets,MATCH(_xlpm.mx,_xlpm.validNums,0))&amp;" (+"&amp;$R684&amp;")")))</f>
        <v/>
      </c>
      <c r="F684" s="11" t="str">
        <f t="shared" si="43"/>
        <v/>
      </c>
      <c r="G684" s="12" t="str">
        <f ca="1">IF($A684="","",IFERROR(SUMIF(INDIRECT("'"&amp;'Template Setup'!$C$4&amp;"'!C:C"),$A684,INDIRECT("'"&amp;'Template Setup'!$C$4&amp;"'!A:A")),0))</f>
        <v/>
      </c>
      <c r="H684" s="12" t="str">
        <f ca="1">IF($A684="","",IFERROR(SUMIF(INDIRECT("'"&amp;'Template Setup'!$C$5&amp;"'!C:C"),$A684,INDIRECT("'"&amp;'Template Setup'!$C$5&amp;"'!A:A")),0))</f>
        <v/>
      </c>
      <c r="I684" s="12" t="str">
        <f ca="1">IF($A684="","",IFERROR(SUMIF(INDIRECT("'"&amp;'Template Setup'!$C$6&amp;"'!C:C"),$A684,INDIRECT("'"&amp;'Template Setup'!$C$6&amp;"'!A:A")),0))</f>
        <v/>
      </c>
      <c r="J684" s="12" t="str">
        <f ca="1">IF($A684="","",IFERROR(SUMIF(INDIRECT("'"&amp;'Template Setup'!$C$7&amp;"'!C:C"),$A684,INDIRECT("'"&amp;'Template Setup'!$C$7&amp;"'!A:A")),0))</f>
        <v/>
      </c>
      <c r="K684" s="12" t="str">
        <f ca="1">IF($A684="","",IFERROR(SUMIF(INDIRECT("'"&amp;'Template Setup'!$C$8&amp;"'!C:C"),$A684,INDIRECT("'"&amp;'Template Setup'!$C$8&amp;"'!A:A")),0))</f>
        <v/>
      </c>
      <c r="L684" s="11" t="str">
        <f>IF($A684="","",IFERROR(VALUE(MID(TRIM('Template Setup'!$C$4),FIND("-",TRIM('Template Setup'!$C$4))+1,10)),0))</f>
        <v/>
      </c>
      <c r="M684" s="11" t="str">
        <f>IF($A684="","",IFERROR(VALUE(MID(TRIM('Template Setup'!$C$5),FIND("-",TRIM('Template Setup'!$C$5))+1,10)),0))</f>
        <v/>
      </c>
      <c r="N684" s="11" t="str">
        <f>IF($A684="","",IFERROR(VALUE(MID(TRIM('Template Setup'!$C$6),FIND("-",TRIM('Template Setup'!$C$6))+1,10)),0))</f>
        <v/>
      </c>
      <c r="O684" s="11" t="str">
        <f>IF($A684="","",IFERROR(VALUE(MID(TRIM('Template Setup'!$C$7),FIND("-",TRIM('Template Setup'!$C$7))+1,10)),0))</f>
        <v/>
      </c>
      <c r="P684" s="11" t="str">
        <f>IF($A684="","",IFERROR(VALUE(MID(TRIM('Template Setup'!$C$8),FIND("-",TRIM('Template Setup'!$C$8))+1,10)),0))</f>
        <v/>
      </c>
      <c r="Q684" s="9" t="str">
        <f>IF($A684="","",$A684&amp;"-"&amp;'Template Setup'!$C$16)</f>
        <v/>
      </c>
      <c r="R684" s="24" t="str">
        <f t="shared" si="41"/>
        <v/>
      </c>
      <c r="S684" s="24"/>
      <c r="T684" s="24" t="str">
        <f t="shared" si="42"/>
        <v/>
      </c>
      <c r="U684" s="6" t="str">
        <f t="shared" si="44"/>
        <v/>
      </c>
    </row>
    <row r="685" spans="1:21">
      <c r="A685" s="11"/>
      <c r="B685" s="11"/>
      <c r="C685" s="11"/>
      <c r="D685" s="11" t="str">
        <f>IF($A685="","",_xlfn.TEXTJOIN(", ",TRUE,IF($G685&gt;0,'Template Setup'!$C$4,""),IF($H685&gt;0,'Template Setup'!$C$5,""),IF($I685&gt;0,'Template Setup'!$C$6,""),IF($J685&gt;0,'Template Setup'!$C$7,""),IF($K685&gt;0,'Template Setup'!$C$8,"")))</f>
        <v/>
      </c>
      <c r="E685" s="6" t="str" cm="1">
        <f t="array" ref="E685">IF($A685="","",_xlfn.LET(_xlpm.sheets,CHOOSE({1,2,3,4,5},'Template Setup'!$C$4,'Template Setup'!$C$5,'Template Setup'!$C$6,'Template Setup'!$C$7,'Template Setup'!$C$8),_xlpm.nums,CHOOSE({1,2,3,4,5},$L685,$M685,$N685,$O685,$P685),_xlpm.qtys,CHOOSE({1,2,3,4,5},$G685,$H685,$I685,$J685,$K685),_xlpm.validNums,_xlfn._xlws.FILTER(_xlpm.nums,_xlpm.qtys&gt;0),_xlpm.validSheets,_xlfn._xlws.FILTER(_xlpm.sheets,_xlpm.qtys&gt;0),_xlpm.mx,IFERROR(MAX(_xlpm.validNums),0),IF(_xlpm.mx=0,"",INDEX(_xlpm.validSheets,MATCH(_xlpm.mx,_xlpm.validNums,0))&amp;" (+"&amp;$R685&amp;")")))</f>
        <v/>
      </c>
      <c r="F685" s="11" t="str">
        <f t="shared" si="43"/>
        <v/>
      </c>
      <c r="G685" s="12" t="str">
        <f ca="1">IF($A685="","",IFERROR(SUMIF(INDIRECT("'"&amp;'Template Setup'!$C$4&amp;"'!C:C"),$A685,INDIRECT("'"&amp;'Template Setup'!$C$4&amp;"'!A:A")),0))</f>
        <v/>
      </c>
      <c r="H685" s="12" t="str">
        <f ca="1">IF($A685="","",IFERROR(SUMIF(INDIRECT("'"&amp;'Template Setup'!$C$5&amp;"'!C:C"),$A685,INDIRECT("'"&amp;'Template Setup'!$C$5&amp;"'!A:A")),0))</f>
        <v/>
      </c>
      <c r="I685" s="12" t="str">
        <f ca="1">IF($A685="","",IFERROR(SUMIF(INDIRECT("'"&amp;'Template Setup'!$C$6&amp;"'!C:C"),$A685,INDIRECT("'"&amp;'Template Setup'!$C$6&amp;"'!A:A")),0))</f>
        <v/>
      </c>
      <c r="J685" s="12" t="str">
        <f ca="1">IF($A685="","",IFERROR(SUMIF(INDIRECT("'"&amp;'Template Setup'!$C$7&amp;"'!C:C"),$A685,INDIRECT("'"&amp;'Template Setup'!$C$7&amp;"'!A:A")),0))</f>
        <v/>
      </c>
      <c r="K685" s="12" t="str">
        <f ca="1">IF($A685="","",IFERROR(SUMIF(INDIRECT("'"&amp;'Template Setup'!$C$8&amp;"'!C:C"),$A685,INDIRECT("'"&amp;'Template Setup'!$C$8&amp;"'!A:A")),0))</f>
        <v/>
      </c>
      <c r="L685" s="11" t="str">
        <f>IF($A685="","",IFERROR(VALUE(MID(TRIM('Template Setup'!$C$4),FIND("-",TRIM('Template Setup'!$C$4))+1,10)),0))</f>
        <v/>
      </c>
      <c r="M685" s="11" t="str">
        <f>IF($A685="","",IFERROR(VALUE(MID(TRIM('Template Setup'!$C$5),FIND("-",TRIM('Template Setup'!$C$5))+1,10)),0))</f>
        <v/>
      </c>
      <c r="N685" s="11" t="str">
        <f>IF($A685="","",IFERROR(VALUE(MID(TRIM('Template Setup'!$C$6),FIND("-",TRIM('Template Setup'!$C$6))+1,10)),0))</f>
        <v/>
      </c>
      <c r="O685" s="11" t="str">
        <f>IF($A685="","",IFERROR(VALUE(MID(TRIM('Template Setup'!$C$7),FIND("-",TRIM('Template Setup'!$C$7))+1,10)),0))</f>
        <v/>
      </c>
      <c r="P685" s="11" t="str">
        <f>IF($A685="","",IFERROR(VALUE(MID(TRIM('Template Setup'!$C$8),FIND("-",TRIM('Template Setup'!$C$8))+1,10)),0))</f>
        <v/>
      </c>
      <c r="Q685" s="9" t="str">
        <f>IF($A685="","",$A685&amp;"-"&amp;'Template Setup'!$C$16)</f>
        <v/>
      </c>
      <c r="R685" s="24" t="str">
        <f t="shared" si="41"/>
        <v/>
      </c>
      <c r="S685" s="24"/>
      <c r="T685" s="24" t="str">
        <f t="shared" si="42"/>
        <v/>
      </c>
      <c r="U685" s="6" t="str">
        <f t="shared" si="44"/>
        <v/>
      </c>
    </row>
    <row r="686" spans="1:21">
      <c r="A686" s="11"/>
      <c r="B686" s="11"/>
      <c r="C686" s="11"/>
      <c r="D686" s="11" t="str">
        <f>IF($A686="","",_xlfn.TEXTJOIN(", ",TRUE,IF($G686&gt;0,'Template Setup'!$C$4,""),IF($H686&gt;0,'Template Setup'!$C$5,""),IF($I686&gt;0,'Template Setup'!$C$6,""),IF($J686&gt;0,'Template Setup'!$C$7,""),IF($K686&gt;0,'Template Setup'!$C$8,"")))</f>
        <v/>
      </c>
      <c r="E686" s="6" t="str" cm="1">
        <f t="array" ref="E686">IF($A686="","",_xlfn.LET(_xlpm.sheets,CHOOSE({1,2,3,4,5},'Template Setup'!$C$4,'Template Setup'!$C$5,'Template Setup'!$C$6,'Template Setup'!$C$7,'Template Setup'!$C$8),_xlpm.nums,CHOOSE({1,2,3,4,5},$L686,$M686,$N686,$O686,$P686),_xlpm.qtys,CHOOSE({1,2,3,4,5},$G686,$H686,$I686,$J686,$K686),_xlpm.validNums,_xlfn._xlws.FILTER(_xlpm.nums,_xlpm.qtys&gt;0),_xlpm.validSheets,_xlfn._xlws.FILTER(_xlpm.sheets,_xlpm.qtys&gt;0),_xlpm.mx,IFERROR(MAX(_xlpm.validNums),0),IF(_xlpm.mx=0,"",INDEX(_xlpm.validSheets,MATCH(_xlpm.mx,_xlpm.validNums,0))&amp;" (+"&amp;$R686&amp;")")))</f>
        <v/>
      </c>
      <c r="F686" s="11" t="str">
        <f t="shared" si="43"/>
        <v/>
      </c>
      <c r="G686" s="12" t="str">
        <f ca="1">IF($A686="","",IFERROR(SUMIF(INDIRECT("'"&amp;'Template Setup'!$C$4&amp;"'!C:C"),$A686,INDIRECT("'"&amp;'Template Setup'!$C$4&amp;"'!A:A")),0))</f>
        <v/>
      </c>
      <c r="H686" s="12" t="str">
        <f ca="1">IF($A686="","",IFERROR(SUMIF(INDIRECT("'"&amp;'Template Setup'!$C$5&amp;"'!C:C"),$A686,INDIRECT("'"&amp;'Template Setup'!$C$5&amp;"'!A:A")),0))</f>
        <v/>
      </c>
      <c r="I686" s="12" t="str">
        <f ca="1">IF($A686="","",IFERROR(SUMIF(INDIRECT("'"&amp;'Template Setup'!$C$6&amp;"'!C:C"),$A686,INDIRECT("'"&amp;'Template Setup'!$C$6&amp;"'!A:A")),0))</f>
        <v/>
      </c>
      <c r="J686" s="12" t="str">
        <f ca="1">IF($A686="","",IFERROR(SUMIF(INDIRECT("'"&amp;'Template Setup'!$C$7&amp;"'!C:C"),$A686,INDIRECT("'"&amp;'Template Setup'!$C$7&amp;"'!A:A")),0))</f>
        <v/>
      </c>
      <c r="K686" s="12" t="str">
        <f ca="1">IF($A686="","",IFERROR(SUMIF(INDIRECT("'"&amp;'Template Setup'!$C$8&amp;"'!C:C"),$A686,INDIRECT("'"&amp;'Template Setup'!$C$8&amp;"'!A:A")),0))</f>
        <v/>
      </c>
      <c r="L686" s="11" t="str">
        <f>IF($A686="","",IFERROR(VALUE(MID(TRIM('Template Setup'!$C$4),FIND("-",TRIM('Template Setup'!$C$4))+1,10)),0))</f>
        <v/>
      </c>
      <c r="M686" s="11" t="str">
        <f>IF($A686="","",IFERROR(VALUE(MID(TRIM('Template Setup'!$C$5),FIND("-",TRIM('Template Setup'!$C$5))+1,10)),0))</f>
        <v/>
      </c>
      <c r="N686" s="11" t="str">
        <f>IF($A686="","",IFERROR(VALUE(MID(TRIM('Template Setup'!$C$6),FIND("-",TRIM('Template Setup'!$C$6))+1,10)),0))</f>
        <v/>
      </c>
      <c r="O686" s="11" t="str">
        <f>IF($A686="","",IFERROR(VALUE(MID(TRIM('Template Setup'!$C$7),FIND("-",TRIM('Template Setup'!$C$7))+1,10)),0))</f>
        <v/>
      </c>
      <c r="P686" s="11" t="str">
        <f>IF($A686="","",IFERROR(VALUE(MID(TRIM('Template Setup'!$C$8),FIND("-",TRIM('Template Setup'!$C$8))+1,10)),0))</f>
        <v/>
      </c>
      <c r="Q686" s="9" t="str">
        <f>IF($A686="","",$A686&amp;"-"&amp;'Template Setup'!$C$16)</f>
        <v/>
      </c>
      <c r="R686" s="24" t="str">
        <f t="shared" si="41"/>
        <v/>
      </c>
      <c r="S686" s="24"/>
      <c r="T686" s="24" t="str">
        <f t="shared" si="42"/>
        <v/>
      </c>
      <c r="U686" s="6" t="str">
        <f t="shared" si="44"/>
        <v/>
      </c>
    </row>
    <row r="687" spans="1:21">
      <c r="A687" s="11"/>
      <c r="B687" s="11"/>
      <c r="C687" s="11"/>
      <c r="D687" s="11" t="str">
        <f>IF($A687="","",_xlfn.TEXTJOIN(", ",TRUE,IF($G687&gt;0,'Template Setup'!$C$4,""),IF($H687&gt;0,'Template Setup'!$C$5,""),IF($I687&gt;0,'Template Setup'!$C$6,""),IF($J687&gt;0,'Template Setup'!$C$7,""),IF($K687&gt;0,'Template Setup'!$C$8,"")))</f>
        <v/>
      </c>
      <c r="E687" s="6" t="str" cm="1">
        <f t="array" ref="E687">IF($A687="","",_xlfn.LET(_xlpm.sheets,CHOOSE({1,2,3,4,5},'Template Setup'!$C$4,'Template Setup'!$C$5,'Template Setup'!$C$6,'Template Setup'!$C$7,'Template Setup'!$C$8),_xlpm.nums,CHOOSE({1,2,3,4,5},$L687,$M687,$N687,$O687,$P687),_xlpm.qtys,CHOOSE({1,2,3,4,5},$G687,$H687,$I687,$J687,$K687),_xlpm.validNums,_xlfn._xlws.FILTER(_xlpm.nums,_xlpm.qtys&gt;0),_xlpm.validSheets,_xlfn._xlws.FILTER(_xlpm.sheets,_xlpm.qtys&gt;0),_xlpm.mx,IFERROR(MAX(_xlpm.validNums),0),IF(_xlpm.mx=0,"",INDEX(_xlpm.validSheets,MATCH(_xlpm.mx,_xlpm.validNums,0))&amp;" (+"&amp;$R687&amp;")")))</f>
        <v/>
      </c>
      <c r="F687" s="11" t="str">
        <f t="shared" si="43"/>
        <v/>
      </c>
      <c r="G687" s="12" t="str">
        <f ca="1">IF($A687="","",IFERROR(SUMIF(INDIRECT("'"&amp;'Template Setup'!$C$4&amp;"'!C:C"),$A687,INDIRECT("'"&amp;'Template Setup'!$C$4&amp;"'!A:A")),0))</f>
        <v/>
      </c>
      <c r="H687" s="12" t="str">
        <f ca="1">IF($A687="","",IFERROR(SUMIF(INDIRECT("'"&amp;'Template Setup'!$C$5&amp;"'!C:C"),$A687,INDIRECT("'"&amp;'Template Setup'!$C$5&amp;"'!A:A")),0))</f>
        <v/>
      </c>
      <c r="I687" s="12" t="str">
        <f ca="1">IF($A687="","",IFERROR(SUMIF(INDIRECT("'"&amp;'Template Setup'!$C$6&amp;"'!C:C"),$A687,INDIRECT("'"&amp;'Template Setup'!$C$6&amp;"'!A:A")),0))</f>
        <v/>
      </c>
      <c r="J687" s="12" t="str">
        <f ca="1">IF($A687="","",IFERROR(SUMIF(INDIRECT("'"&amp;'Template Setup'!$C$7&amp;"'!C:C"),$A687,INDIRECT("'"&amp;'Template Setup'!$C$7&amp;"'!A:A")),0))</f>
        <v/>
      </c>
      <c r="K687" s="12" t="str">
        <f ca="1">IF($A687="","",IFERROR(SUMIF(INDIRECT("'"&amp;'Template Setup'!$C$8&amp;"'!C:C"),$A687,INDIRECT("'"&amp;'Template Setup'!$C$8&amp;"'!A:A")),0))</f>
        <v/>
      </c>
      <c r="L687" s="11" t="str">
        <f>IF($A687="","",IFERROR(VALUE(MID(TRIM('Template Setup'!$C$4),FIND("-",TRIM('Template Setup'!$C$4))+1,10)),0))</f>
        <v/>
      </c>
      <c r="M687" s="11" t="str">
        <f>IF($A687="","",IFERROR(VALUE(MID(TRIM('Template Setup'!$C$5),FIND("-",TRIM('Template Setup'!$C$5))+1,10)),0))</f>
        <v/>
      </c>
      <c r="N687" s="11" t="str">
        <f>IF($A687="","",IFERROR(VALUE(MID(TRIM('Template Setup'!$C$6),FIND("-",TRIM('Template Setup'!$C$6))+1,10)),0))</f>
        <v/>
      </c>
      <c r="O687" s="11" t="str">
        <f>IF($A687="","",IFERROR(VALUE(MID(TRIM('Template Setup'!$C$7),FIND("-",TRIM('Template Setup'!$C$7))+1,10)),0))</f>
        <v/>
      </c>
      <c r="P687" s="11" t="str">
        <f>IF($A687="","",IFERROR(VALUE(MID(TRIM('Template Setup'!$C$8),FIND("-",TRIM('Template Setup'!$C$8))+1,10)),0))</f>
        <v/>
      </c>
      <c r="Q687" s="9" t="str">
        <f>IF($A687="","",$A687&amp;"-"&amp;'Template Setup'!$C$16)</f>
        <v/>
      </c>
      <c r="R687" s="24" t="str">
        <f t="shared" si="41"/>
        <v/>
      </c>
      <c r="S687" s="24"/>
      <c r="T687" s="24" t="str">
        <f t="shared" si="42"/>
        <v/>
      </c>
      <c r="U687" s="6" t="str">
        <f t="shared" si="44"/>
        <v/>
      </c>
    </row>
    <row r="688" spans="1:21">
      <c r="A688" s="11"/>
      <c r="B688" s="11"/>
      <c r="C688" s="11"/>
      <c r="D688" s="11" t="str">
        <f>IF($A688="","",_xlfn.TEXTJOIN(", ",TRUE,IF($G688&gt;0,'Template Setup'!$C$4,""),IF($H688&gt;0,'Template Setup'!$C$5,""),IF($I688&gt;0,'Template Setup'!$C$6,""),IF($J688&gt;0,'Template Setup'!$C$7,""),IF($K688&gt;0,'Template Setup'!$C$8,"")))</f>
        <v/>
      </c>
      <c r="E688" s="6" t="str" cm="1">
        <f t="array" ref="E688">IF($A688="","",_xlfn.LET(_xlpm.sheets,CHOOSE({1,2,3,4,5},'Template Setup'!$C$4,'Template Setup'!$C$5,'Template Setup'!$C$6,'Template Setup'!$C$7,'Template Setup'!$C$8),_xlpm.nums,CHOOSE({1,2,3,4,5},$L688,$M688,$N688,$O688,$P688),_xlpm.qtys,CHOOSE({1,2,3,4,5},$G688,$H688,$I688,$J688,$K688),_xlpm.validNums,_xlfn._xlws.FILTER(_xlpm.nums,_xlpm.qtys&gt;0),_xlpm.validSheets,_xlfn._xlws.FILTER(_xlpm.sheets,_xlpm.qtys&gt;0),_xlpm.mx,IFERROR(MAX(_xlpm.validNums),0),IF(_xlpm.mx=0,"",INDEX(_xlpm.validSheets,MATCH(_xlpm.mx,_xlpm.validNums,0))&amp;" (+"&amp;$R688&amp;")")))</f>
        <v/>
      </c>
      <c r="F688" s="11" t="str">
        <f t="shared" si="43"/>
        <v/>
      </c>
      <c r="G688" s="12" t="str">
        <f ca="1">IF($A688="","",IFERROR(SUMIF(INDIRECT("'"&amp;'Template Setup'!$C$4&amp;"'!C:C"),$A688,INDIRECT("'"&amp;'Template Setup'!$C$4&amp;"'!A:A")),0))</f>
        <v/>
      </c>
      <c r="H688" s="12" t="str">
        <f ca="1">IF($A688="","",IFERROR(SUMIF(INDIRECT("'"&amp;'Template Setup'!$C$5&amp;"'!C:C"),$A688,INDIRECT("'"&amp;'Template Setup'!$C$5&amp;"'!A:A")),0))</f>
        <v/>
      </c>
      <c r="I688" s="12" t="str">
        <f ca="1">IF($A688="","",IFERROR(SUMIF(INDIRECT("'"&amp;'Template Setup'!$C$6&amp;"'!C:C"),$A688,INDIRECT("'"&amp;'Template Setup'!$C$6&amp;"'!A:A")),0))</f>
        <v/>
      </c>
      <c r="J688" s="12" t="str">
        <f ca="1">IF($A688="","",IFERROR(SUMIF(INDIRECT("'"&amp;'Template Setup'!$C$7&amp;"'!C:C"),$A688,INDIRECT("'"&amp;'Template Setup'!$C$7&amp;"'!A:A")),0))</f>
        <v/>
      </c>
      <c r="K688" s="12" t="str">
        <f ca="1">IF($A688="","",IFERROR(SUMIF(INDIRECT("'"&amp;'Template Setup'!$C$8&amp;"'!C:C"),$A688,INDIRECT("'"&amp;'Template Setup'!$C$8&amp;"'!A:A")),0))</f>
        <v/>
      </c>
      <c r="L688" s="11" t="str">
        <f>IF($A688="","",IFERROR(VALUE(MID(TRIM('Template Setup'!$C$4),FIND("-",TRIM('Template Setup'!$C$4))+1,10)),0))</f>
        <v/>
      </c>
      <c r="M688" s="11" t="str">
        <f>IF($A688="","",IFERROR(VALUE(MID(TRIM('Template Setup'!$C$5),FIND("-",TRIM('Template Setup'!$C$5))+1,10)),0))</f>
        <v/>
      </c>
      <c r="N688" s="11" t="str">
        <f>IF($A688="","",IFERROR(VALUE(MID(TRIM('Template Setup'!$C$6),FIND("-",TRIM('Template Setup'!$C$6))+1,10)),0))</f>
        <v/>
      </c>
      <c r="O688" s="11" t="str">
        <f>IF($A688="","",IFERROR(VALUE(MID(TRIM('Template Setup'!$C$7),FIND("-",TRIM('Template Setup'!$C$7))+1,10)),0))</f>
        <v/>
      </c>
      <c r="P688" s="11" t="str">
        <f>IF($A688="","",IFERROR(VALUE(MID(TRIM('Template Setup'!$C$8),FIND("-",TRIM('Template Setup'!$C$8))+1,10)),0))</f>
        <v/>
      </c>
      <c r="Q688" s="9" t="str">
        <f>IF($A688="","",$A688&amp;"-"&amp;'Template Setup'!$C$16)</f>
        <v/>
      </c>
      <c r="R688" s="24" t="str">
        <f t="shared" si="41"/>
        <v/>
      </c>
      <c r="S688" s="24"/>
      <c r="T688" s="24" t="str">
        <f t="shared" si="42"/>
        <v/>
      </c>
      <c r="U688" s="6" t="str">
        <f t="shared" si="44"/>
        <v/>
      </c>
    </row>
    <row r="689" spans="1:21">
      <c r="A689" s="11"/>
      <c r="B689" s="11"/>
      <c r="C689" s="11"/>
      <c r="D689" s="11" t="str">
        <f>IF($A689="","",_xlfn.TEXTJOIN(", ",TRUE,IF($G689&gt;0,'Template Setup'!$C$4,""),IF($H689&gt;0,'Template Setup'!$C$5,""),IF($I689&gt;0,'Template Setup'!$C$6,""),IF($J689&gt;0,'Template Setup'!$C$7,""),IF($K689&gt;0,'Template Setup'!$C$8,"")))</f>
        <v/>
      </c>
      <c r="E689" s="6" t="str" cm="1">
        <f t="array" ref="E689">IF($A689="","",_xlfn.LET(_xlpm.sheets,CHOOSE({1,2,3,4,5},'Template Setup'!$C$4,'Template Setup'!$C$5,'Template Setup'!$C$6,'Template Setup'!$C$7,'Template Setup'!$C$8),_xlpm.nums,CHOOSE({1,2,3,4,5},$L689,$M689,$N689,$O689,$P689),_xlpm.qtys,CHOOSE({1,2,3,4,5},$G689,$H689,$I689,$J689,$K689),_xlpm.validNums,_xlfn._xlws.FILTER(_xlpm.nums,_xlpm.qtys&gt;0),_xlpm.validSheets,_xlfn._xlws.FILTER(_xlpm.sheets,_xlpm.qtys&gt;0),_xlpm.mx,IFERROR(MAX(_xlpm.validNums),0),IF(_xlpm.mx=0,"",INDEX(_xlpm.validSheets,MATCH(_xlpm.mx,_xlpm.validNums,0))&amp;" (+"&amp;$R689&amp;")")))</f>
        <v/>
      </c>
      <c r="F689" s="11" t="str">
        <f t="shared" si="43"/>
        <v/>
      </c>
      <c r="G689" s="12" t="str">
        <f ca="1">IF($A689="","",IFERROR(SUMIF(INDIRECT("'"&amp;'Template Setup'!$C$4&amp;"'!C:C"),$A689,INDIRECT("'"&amp;'Template Setup'!$C$4&amp;"'!A:A")),0))</f>
        <v/>
      </c>
      <c r="H689" s="12" t="str">
        <f ca="1">IF($A689="","",IFERROR(SUMIF(INDIRECT("'"&amp;'Template Setup'!$C$5&amp;"'!C:C"),$A689,INDIRECT("'"&amp;'Template Setup'!$C$5&amp;"'!A:A")),0))</f>
        <v/>
      </c>
      <c r="I689" s="12" t="str">
        <f ca="1">IF($A689="","",IFERROR(SUMIF(INDIRECT("'"&amp;'Template Setup'!$C$6&amp;"'!C:C"),$A689,INDIRECT("'"&amp;'Template Setup'!$C$6&amp;"'!A:A")),0))</f>
        <v/>
      </c>
      <c r="J689" s="12" t="str">
        <f ca="1">IF($A689="","",IFERROR(SUMIF(INDIRECT("'"&amp;'Template Setup'!$C$7&amp;"'!C:C"),$A689,INDIRECT("'"&amp;'Template Setup'!$C$7&amp;"'!A:A")),0))</f>
        <v/>
      </c>
      <c r="K689" s="12" t="str">
        <f ca="1">IF($A689="","",IFERROR(SUMIF(INDIRECT("'"&amp;'Template Setup'!$C$8&amp;"'!C:C"),$A689,INDIRECT("'"&amp;'Template Setup'!$C$8&amp;"'!A:A")),0))</f>
        <v/>
      </c>
      <c r="L689" s="11" t="str">
        <f>IF($A689="","",IFERROR(VALUE(MID(TRIM('Template Setup'!$C$4),FIND("-",TRIM('Template Setup'!$C$4))+1,10)),0))</f>
        <v/>
      </c>
      <c r="M689" s="11" t="str">
        <f>IF($A689="","",IFERROR(VALUE(MID(TRIM('Template Setup'!$C$5),FIND("-",TRIM('Template Setup'!$C$5))+1,10)),0))</f>
        <v/>
      </c>
      <c r="N689" s="11" t="str">
        <f>IF($A689="","",IFERROR(VALUE(MID(TRIM('Template Setup'!$C$6),FIND("-",TRIM('Template Setup'!$C$6))+1,10)),0))</f>
        <v/>
      </c>
      <c r="O689" s="11" t="str">
        <f>IF($A689="","",IFERROR(VALUE(MID(TRIM('Template Setup'!$C$7),FIND("-",TRIM('Template Setup'!$C$7))+1,10)),0))</f>
        <v/>
      </c>
      <c r="P689" s="11" t="str">
        <f>IF($A689="","",IFERROR(VALUE(MID(TRIM('Template Setup'!$C$8),FIND("-",TRIM('Template Setup'!$C$8))+1,10)),0))</f>
        <v/>
      </c>
      <c r="Q689" s="9" t="str">
        <f>IF($A689="","",$A689&amp;"-"&amp;'Template Setup'!$C$16)</f>
        <v/>
      </c>
      <c r="R689" s="24" t="str">
        <f t="shared" si="41"/>
        <v/>
      </c>
      <c r="S689" s="24"/>
      <c r="T689" s="24" t="str">
        <f t="shared" si="42"/>
        <v/>
      </c>
      <c r="U689" s="6" t="str">
        <f t="shared" si="44"/>
        <v/>
      </c>
    </row>
    <row r="690" spans="1:21">
      <c r="A690" s="11"/>
      <c r="B690" s="11"/>
      <c r="C690" s="11"/>
      <c r="D690" s="11" t="str">
        <f>IF($A690="","",_xlfn.TEXTJOIN(", ",TRUE,IF($G690&gt;0,'Template Setup'!$C$4,""),IF($H690&gt;0,'Template Setup'!$C$5,""),IF($I690&gt;0,'Template Setup'!$C$6,""),IF($J690&gt;0,'Template Setup'!$C$7,""),IF($K690&gt;0,'Template Setup'!$C$8,"")))</f>
        <v/>
      </c>
      <c r="E690" s="6" t="str" cm="1">
        <f t="array" ref="E690">IF($A690="","",_xlfn.LET(_xlpm.sheets,CHOOSE({1,2,3,4,5},'Template Setup'!$C$4,'Template Setup'!$C$5,'Template Setup'!$C$6,'Template Setup'!$C$7,'Template Setup'!$C$8),_xlpm.nums,CHOOSE({1,2,3,4,5},$L690,$M690,$N690,$O690,$P690),_xlpm.qtys,CHOOSE({1,2,3,4,5},$G690,$H690,$I690,$J690,$K690),_xlpm.validNums,_xlfn._xlws.FILTER(_xlpm.nums,_xlpm.qtys&gt;0),_xlpm.validSheets,_xlfn._xlws.FILTER(_xlpm.sheets,_xlpm.qtys&gt;0),_xlpm.mx,IFERROR(MAX(_xlpm.validNums),0),IF(_xlpm.mx=0,"",INDEX(_xlpm.validSheets,MATCH(_xlpm.mx,_xlpm.validNums,0))&amp;" (+"&amp;$R690&amp;")")))</f>
        <v/>
      </c>
      <c r="F690" s="11" t="str">
        <f t="shared" si="43"/>
        <v/>
      </c>
      <c r="G690" s="12" t="str">
        <f ca="1">IF($A690="","",IFERROR(SUMIF(INDIRECT("'"&amp;'Template Setup'!$C$4&amp;"'!C:C"),$A690,INDIRECT("'"&amp;'Template Setup'!$C$4&amp;"'!A:A")),0))</f>
        <v/>
      </c>
      <c r="H690" s="12" t="str">
        <f ca="1">IF($A690="","",IFERROR(SUMIF(INDIRECT("'"&amp;'Template Setup'!$C$5&amp;"'!C:C"),$A690,INDIRECT("'"&amp;'Template Setup'!$C$5&amp;"'!A:A")),0))</f>
        <v/>
      </c>
      <c r="I690" s="12" t="str">
        <f ca="1">IF($A690="","",IFERROR(SUMIF(INDIRECT("'"&amp;'Template Setup'!$C$6&amp;"'!C:C"),$A690,INDIRECT("'"&amp;'Template Setup'!$C$6&amp;"'!A:A")),0))</f>
        <v/>
      </c>
      <c r="J690" s="12" t="str">
        <f ca="1">IF($A690="","",IFERROR(SUMIF(INDIRECT("'"&amp;'Template Setup'!$C$7&amp;"'!C:C"),$A690,INDIRECT("'"&amp;'Template Setup'!$C$7&amp;"'!A:A")),0))</f>
        <v/>
      </c>
      <c r="K690" s="12" t="str">
        <f ca="1">IF($A690="","",IFERROR(SUMIF(INDIRECT("'"&amp;'Template Setup'!$C$8&amp;"'!C:C"),$A690,INDIRECT("'"&amp;'Template Setup'!$C$8&amp;"'!A:A")),0))</f>
        <v/>
      </c>
      <c r="L690" s="11" t="str">
        <f>IF($A690="","",IFERROR(VALUE(MID(TRIM('Template Setup'!$C$4),FIND("-",TRIM('Template Setup'!$C$4))+1,10)),0))</f>
        <v/>
      </c>
      <c r="M690" s="11" t="str">
        <f>IF($A690="","",IFERROR(VALUE(MID(TRIM('Template Setup'!$C$5),FIND("-",TRIM('Template Setup'!$C$5))+1,10)),0))</f>
        <v/>
      </c>
      <c r="N690" s="11" t="str">
        <f>IF($A690="","",IFERROR(VALUE(MID(TRIM('Template Setup'!$C$6),FIND("-",TRIM('Template Setup'!$C$6))+1,10)),0))</f>
        <v/>
      </c>
      <c r="O690" s="11" t="str">
        <f>IF($A690="","",IFERROR(VALUE(MID(TRIM('Template Setup'!$C$7),FIND("-",TRIM('Template Setup'!$C$7))+1,10)),0))</f>
        <v/>
      </c>
      <c r="P690" s="11" t="str">
        <f>IF($A690="","",IFERROR(VALUE(MID(TRIM('Template Setup'!$C$8),FIND("-",TRIM('Template Setup'!$C$8))+1,10)),0))</f>
        <v/>
      </c>
      <c r="Q690" s="9" t="str">
        <f>IF($A690="","",$A690&amp;"-"&amp;'Template Setup'!$C$16)</f>
        <v/>
      </c>
      <c r="R690" s="24" t="str">
        <f t="shared" si="41"/>
        <v/>
      </c>
      <c r="S690" s="24"/>
      <c r="T690" s="24" t="str">
        <f t="shared" si="42"/>
        <v/>
      </c>
      <c r="U690" s="6" t="str">
        <f t="shared" si="44"/>
        <v/>
      </c>
    </row>
    <row r="691" spans="1:21">
      <c r="A691" s="11"/>
      <c r="B691" s="11"/>
      <c r="C691" s="11"/>
      <c r="D691" s="11" t="str">
        <f>IF($A691="","",_xlfn.TEXTJOIN(", ",TRUE,IF($G691&gt;0,'Template Setup'!$C$4,""),IF($H691&gt;0,'Template Setup'!$C$5,""),IF($I691&gt;0,'Template Setup'!$C$6,""),IF($J691&gt;0,'Template Setup'!$C$7,""),IF($K691&gt;0,'Template Setup'!$C$8,"")))</f>
        <v/>
      </c>
      <c r="E691" s="6" t="str" cm="1">
        <f t="array" ref="E691">IF($A691="","",_xlfn.LET(_xlpm.sheets,CHOOSE({1,2,3,4,5},'Template Setup'!$C$4,'Template Setup'!$C$5,'Template Setup'!$C$6,'Template Setup'!$C$7,'Template Setup'!$C$8),_xlpm.nums,CHOOSE({1,2,3,4,5},$L691,$M691,$N691,$O691,$P691),_xlpm.qtys,CHOOSE({1,2,3,4,5},$G691,$H691,$I691,$J691,$K691),_xlpm.validNums,_xlfn._xlws.FILTER(_xlpm.nums,_xlpm.qtys&gt;0),_xlpm.validSheets,_xlfn._xlws.FILTER(_xlpm.sheets,_xlpm.qtys&gt;0),_xlpm.mx,IFERROR(MAX(_xlpm.validNums),0),IF(_xlpm.mx=0,"",INDEX(_xlpm.validSheets,MATCH(_xlpm.mx,_xlpm.validNums,0))&amp;" (+"&amp;$R691&amp;")")))</f>
        <v/>
      </c>
      <c r="F691" s="11" t="str">
        <f t="shared" si="43"/>
        <v/>
      </c>
      <c r="G691" s="12" t="str">
        <f ca="1">IF($A691="","",IFERROR(SUMIF(INDIRECT("'"&amp;'Template Setup'!$C$4&amp;"'!C:C"),$A691,INDIRECT("'"&amp;'Template Setup'!$C$4&amp;"'!A:A")),0))</f>
        <v/>
      </c>
      <c r="H691" s="12" t="str">
        <f ca="1">IF($A691="","",IFERROR(SUMIF(INDIRECT("'"&amp;'Template Setup'!$C$5&amp;"'!C:C"),$A691,INDIRECT("'"&amp;'Template Setup'!$C$5&amp;"'!A:A")),0))</f>
        <v/>
      </c>
      <c r="I691" s="12" t="str">
        <f ca="1">IF($A691="","",IFERROR(SUMIF(INDIRECT("'"&amp;'Template Setup'!$C$6&amp;"'!C:C"),$A691,INDIRECT("'"&amp;'Template Setup'!$C$6&amp;"'!A:A")),0))</f>
        <v/>
      </c>
      <c r="J691" s="12" t="str">
        <f ca="1">IF($A691="","",IFERROR(SUMIF(INDIRECT("'"&amp;'Template Setup'!$C$7&amp;"'!C:C"),$A691,INDIRECT("'"&amp;'Template Setup'!$C$7&amp;"'!A:A")),0))</f>
        <v/>
      </c>
      <c r="K691" s="12" t="str">
        <f ca="1">IF($A691="","",IFERROR(SUMIF(INDIRECT("'"&amp;'Template Setup'!$C$8&amp;"'!C:C"),$A691,INDIRECT("'"&amp;'Template Setup'!$C$8&amp;"'!A:A")),0))</f>
        <v/>
      </c>
      <c r="L691" s="11" t="str">
        <f>IF($A691="","",IFERROR(VALUE(MID(TRIM('Template Setup'!$C$4),FIND("-",TRIM('Template Setup'!$C$4))+1,10)),0))</f>
        <v/>
      </c>
      <c r="M691" s="11" t="str">
        <f>IF($A691="","",IFERROR(VALUE(MID(TRIM('Template Setup'!$C$5),FIND("-",TRIM('Template Setup'!$C$5))+1,10)),0))</f>
        <v/>
      </c>
      <c r="N691" s="11" t="str">
        <f>IF($A691="","",IFERROR(VALUE(MID(TRIM('Template Setup'!$C$6),FIND("-",TRIM('Template Setup'!$C$6))+1,10)),0))</f>
        <v/>
      </c>
      <c r="O691" s="11" t="str">
        <f>IF($A691="","",IFERROR(VALUE(MID(TRIM('Template Setup'!$C$7),FIND("-",TRIM('Template Setup'!$C$7))+1,10)),0))</f>
        <v/>
      </c>
      <c r="P691" s="11" t="str">
        <f>IF($A691="","",IFERROR(VALUE(MID(TRIM('Template Setup'!$C$8),FIND("-",TRIM('Template Setup'!$C$8))+1,10)),0))</f>
        <v/>
      </c>
      <c r="Q691" s="9" t="str">
        <f>IF($A691="","",$A691&amp;"-"&amp;'Template Setup'!$C$16)</f>
        <v/>
      </c>
      <c r="R691" s="24" t="str">
        <f t="shared" si="41"/>
        <v/>
      </c>
      <c r="S691" s="24"/>
      <c r="T691" s="24" t="str">
        <f t="shared" si="42"/>
        <v/>
      </c>
      <c r="U691" s="6" t="str">
        <f t="shared" si="44"/>
        <v/>
      </c>
    </row>
    <row r="692" spans="1:21">
      <c r="A692" s="11"/>
      <c r="B692" s="11"/>
      <c r="C692" s="11"/>
      <c r="D692" s="11" t="str">
        <f>IF($A692="","",_xlfn.TEXTJOIN(", ",TRUE,IF($G692&gt;0,'Template Setup'!$C$4,""),IF($H692&gt;0,'Template Setup'!$C$5,""),IF($I692&gt;0,'Template Setup'!$C$6,""),IF($J692&gt;0,'Template Setup'!$C$7,""),IF($K692&gt;0,'Template Setup'!$C$8,"")))</f>
        <v/>
      </c>
      <c r="E692" s="6" t="str" cm="1">
        <f t="array" ref="E692">IF($A692="","",_xlfn.LET(_xlpm.sheets,CHOOSE({1,2,3,4,5},'Template Setup'!$C$4,'Template Setup'!$C$5,'Template Setup'!$C$6,'Template Setup'!$C$7,'Template Setup'!$C$8),_xlpm.nums,CHOOSE({1,2,3,4,5},$L692,$M692,$N692,$O692,$P692),_xlpm.qtys,CHOOSE({1,2,3,4,5},$G692,$H692,$I692,$J692,$K692),_xlpm.validNums,_xlfn._xlws.FILTER(_xlpm.nums,_xlpm.qtys&gt;0),_xlpm.validSheets,_xlfn._xlws.FILTER(_xlpm.sheets,_xlpm.qtys&gt;0),_xlpm.mx,IFERROR(MAX(_xlpm.validNums),0),IF(_xlpm.mx=0,"",INDEX(_xlpm.validSheets,MATCH(_xlpm.mx,_xlpm.validNums,0))&amp;" (+"&amp;$R692&amp;")")))</f>
        <v/>
      </c>
      <c r="F692" s="11" t="str">
        <f t="shared" si="43"/>
        <v/>
      </c>
      <c r="G692" s="12" t="str">
        <f ca="1">IF($A692="","",IFERROR(SUMIF(INDIRECT("'"&amp;'Template Setup'!$C$4&amp;"'!C:C"),$A692,INDIRECT("'"&amp;'Template Setup'!$C$4&amp;"'!A:A")),0))</f>
        <v/>
      </c>
      <c r="H692" s="12" t="str">
        <f ca="1">IF($A692="","",IFERROR(SUMIF(INDIRECT("'"&amp;'Template Setup'!$C$5&amp;"'!C:C"),$A692,INDIRECT("'"&amp;'Template Setup'!$C$5&amp;"'!A:A")),0))</f>
        <v/>
      </c>
      <c r="I692" s="12" t="str">
        <f ca="1">IF($A692="","",IFERROR(SUMIF(INDIRECT("'"&amp;'Template Setup'!$C$6&amp;"'!C:C"),$A692,INDIRECT("'"&amp;'Template Setup'!$C$6&amp;"'!A:A")),0))</f>
        <v/>
      </c>
      <c r="J692" s="12" t="str">
        <f ca="1">IF($A692="","",IFERROR(SUMIF(INDIRECT("'"&amp;'Template Setup'!$C$7&amp;"'!C:C"),$A692,INDIRECT("'"&amp;'Template Setup'!$C$7&amp;"'!A:A")),0))</f>
        <v/>
      </c>
      <c r="K692" s="12" t="str">
        <f ca="1">IF($A692="","",IFERROR(SUMIF(INDIRECT("'"&amp;'Template Setup'!$C$8&amp;"'!C:C"),$A692,INDIRECT("'"&amp;'Template Setup'!$C$8&amp;"'!A:A")),0))</f>
        <v/>
      </c>
      <c r="L692" s="11" t="str">
        <f>IF($A692="","",IFERROR(VALUE(MID(TRIM('Template Setup'!$C$4),FIND("-",TRIM('Template Setup'!$C$4))+1,10)),0))</f>
        <v/>
      </c>
      <c r="M692" s="11" t="str">
        <f>IF($A692="","",IFERROR(VALUE(MID(TRIM('Template Setup'!$C$5),FIND("-",TRIM('Template Setup'!$C$5))+1,10)),0))</f>
        <v/>
      </c>
      <c r="N692" s="11" t="str">
        <f>IF($A692="","",IFERROR(VALUE(MID(TRIM('Template Setup'!$C$6),FIND("-",TRIM('Template Setup'!$C$6))+1,10)),0))</f>
        <v/>
      </c>
      <c r="O692" s="11" t="str">
        <f>IF($A692="","",IFERROR(VALUE(MID(TRIM('Template Setup'!$C$7),FIND("-",TRIM('Template Setup'!$C$7))+1,10)),0))</f>
        <v/>
      </c>
      <c r="P692" s="11" t="str">
        <f>IF($A692="","",IFERROR(VALUE(MID(TRIM('Template Setup'!$C$8),FIND("-",TRIM('Template Setup'!$C$8))+1,10)),0))</f>
        <v/>
      </c>
      <c r="Q692" s="9" t="str">
        <f>IF($A692="","",$A692&amp;"-"&amp;'Template Setup'!$C$16)</f>
        <v/>
      </c>
      <c r="R692" s="24" t="str">
        <f t="shared" si="41"/>
        <v/>
      </c>
      <c r="S692" s="24"/>
      <c r="T692" s="24" t="str">
        <f t="shared" si="42"/>
        <v/>
      </c>
      <c r="U692" s="6" t="str">
        <f t="shared" si="44"/>
        <v/>
      </c>
    </row>
    <row r="693" spans="1:21">
      <c r="A693" s="11"/>
      <c r="B693" s="11"/>
      <c r="C693" s="11"/>
      <c r="D693" s="11" t="str">
        <f>IF($A693="","",_xlfn.TEXTJOIN(", ",TRUE,IF($G693&gt;0,'Template Setup'!$C$4,""),IF($H693&gt;0,'Template Setup'!$C$5,""),IF($I693&gt;0,'Template Setup'!$C$6,""),IF($J693&gt;0,'Template Setup'!$C$7,""),IF($K693&gt;0,'Template Setup'!$C$8,"")))</f>
        <v/>
      </c>
      <c r="E693" s="6" t="str" cm="1">
        <f t="array" ref="E693">IF($A693="","",_xlfn.LET(_xlpm.sheets,CHOOSE({1,2,3,4,5},'Template Setup'!$C$4,'Template Setup'!$C$5,'Template Setup'!$C$6,'Template Setup'!$C$7,'Template Setup'!$C$8),_xlpm.nums,CHOOSE({1,2,3,4,5},$L693,$M693,$N693,$O693,$P693),_xlpm.qtys,CHOOSE({1,2,3,4,5},$G693,$H693,$I693,$J693,$K693),_xlpm.validNums,_xlfn._xlws.FILTER(_xlpm.nums,_xlpm.qtys&gt;0),_xlpm.validSheets,_xlfn._xlws.FILTER(_xlpm.sheets,_xlpm.qtys&gt;0),_xlpm.mx,IFERROR(MAX(_xlpm.validNums),0),IF(_xlpm.mx=0,"",INDEX(_xlpm.validSheets,MATCH(_xlpm.mx,_xlpm.validNums,0))&amp;" (+"&amp;$R693&amp;")")))</f>
        <v/>
      </c>
      <c r="F693" s="11" t="str">
        <f t="shared" si="43"/>
        <v/>
      </c>
      <c r="G693" s="12" t="str">
        <f ca="1">IF($A693="","",IFERROR(SUMIF(INDIRECT("'"&amp;'Template Setup'!$C$4&amp;"'!C:C"),$A693,INDIRECT("'"&amp;'Template Setup'!$C$4&amp;"'!A:A")),0))</f>
        <v/>
      </c>
      <c r="H693" s="12" t="str">
        <f ca="1">IF($A693="","",IFERROR(SUMIF(INDIRECT("'"&amp;'Template Setup'!$C$5&amp;"'!C:C"),$A693,INDIRECT("'"&amp;'Template Setup'!$C$5&amp;"'!A:A")),0))</f>
        <v/>
      </c>
      <c r="I693" s="12" t="str">
        <f ca="1">IF($A693="","",IFERROR(SUMIF(INDIRECT("'"&amp;'Template Setup'!$C$6&amp;"'!C:C"),$A693,INDIRECT("'"&amp;'Template Setup'!$C$6&amp;"'!A:A")),0))</f>
        <v/>
      </c>
      <c r="J693" s="12" t="str">
        <f ca="1">IF($A693="","",IFERROR(SUMIF(INDIRECT("'"&amp;'Template Setup'!$C$7&amp;"'!C:C"),$A693,INDIRECT("'"&amp;'Template Setup'!$C$7&amp;"'!A:A")),0))</f>
        <v/>
      </c>
      <c r="K693" s="12" t="str">
        <f ca="1">IF($A693="","",IFERROR(SUMIF(INDIRECT("'"&amp;'Template Setup'!$C$8&amp;"'!C:C"),$A693,INDIRECT("'"&amp;'Template Setup'!$C$8&amp;"'!A:A")),0))</f>
        <v/>
      </c>
      <c r="L693" s="11" t="str">
        <f>IF($A693="","",IFERROR(VALUE(MID(TRIM('Template Setup'!$C$4),FIND("-",TRIM('Template Setup'!$C$4))+1,10)),0))</f>
        <v/>
      </c>
      <c r="M693" s="11" t="str">
        <f>IF($A693="","",IFERROR(VALUE(MID(TRIM('Template Setup'!$C$5),FIND("-",TRIM('Template Setup'!$C$5))+1,10)),0))</f>
        <v/>
      </c>
      <c r="N693" s="11" t="str">
        <f>IF($A693="","",IFERROR(VALUE(MID(TRIM('Template Setup'!$C$6),FIND("-",TRIM('Template Setup'!$C$6))+1,10)),0))</f>
        <v/>
      </c>
      <c r="O693" s="11" t="str">
        <f>IF($A693="","",IFERROR(VALUE(MID(TRIM('Template Setup'!$C$7),FIND("-",TRIM('Template Setup'!$C$7))+1,10)),0))</f>
        <v/>
      </c>
      <c r="P693" s="11" t="str">
        <f>IF($A693="","",IFERROR(VALUE(MID(TRIM('Template Setup'!$C$8),FIND("-",TRIM('Template Setup'!$C$8))+1,10)),0))</f>
        <v/>
      </c>
      <c r="Q693" s="9" t="str">
        <f>IF($A693="","",$A693&amp;"-"&amp;'Template Setup'!$C$16)</f>
        <v/>
      </c>
      <c r="R693" s="24" t="str">
        <f t="shared" si="41"/>
        <v/>
      </c>
      <c r="S693" s="24"/>
      <c r="T693" s="24" t="str">
        <f t="shared" si="42"/>
        <v/>
      </c>
      <c r="U693" s="6" t="str">
        <f t="shared" si="44"/>
        <v/>
      </c>
    </row>
    <row r="694" spans="1:21">
      <c r="A694" s="11"/>
      <c r="B694" s="11"/>
      <c r="C694" s="11"/>
      <c r="D694" s="11" t="str">
        <f>IF($A694="","",_xlfn.TEXTJOIN(", ",TRUE,IF($G694&gt;0,'Template Setup'!$C$4,""),IF($H694&gt;0,'Template Setup'!$C$5,""),IF($I694&gt;0,'Template Setup'!$C$6,""),IF($J694&gt;0,'Template Setup'!$C$7,""),IF($K694&gt;0,'Template Setup'!$C$8,"")))</f>
        <v/>
      </c>
      <c r="E694" s="6" t="str" cm="1">
        <f t="array" ref="E694">IF($A694="","",_xlfn.LET(_xlpm.sheets,CHOOSE({1,2,3,4,5},'Template Setup'!$C$4,'Template Setup'!$C$5,'Template Setup'!$C$6,'Template Setup'!$C$7,'Template Setup'!$C$8),_xlpm.nums,CHOOSE({1,2,3,4,5},$L694,$M694,$N694,$O694,$P694),_xlpm.qtys,CHOOSE({1,2,3,4,5},$G694,$H694,$I694,$J694,$K694),_xlpm.validNums,_xlfn._xlws.FILTER(_xlpm.nums,_xlpm.qtys&gt;0),_xlpm.validSheets,_xlfn._xlws.FILTER(_xlpm.sheets,_xlpm.qtys&gt;0),_xlpm.mx,IFERROR(MAX(_xlpm.validNums),0),IF(_xlpm.mx=0,"",INDEX(_xlpm.validSheets,MATCH(_xlpm.mx,_xlpm.validNums,0))&amp;" (+"&amp;$R694&amp;")")))</f>
        <v/>
      </c>
      <c r="F694" s="11" t="str">
        <f t="shared" si="43"/>
        <v/>
      </c>
      <c r="G694" s="12" t="str">
        <f ca="1">IF($A694="","",IFERROR(SUMIF(INDIRECT("'"&amp;'Template Setup'!$C$4&amp;"'!C:C"),$A694,INDIRECT("'"&amp;'Template Setup'!$C$4&amp;"'!A:A")),0))</f>
        <v/>
      </c>
      <c r="H694" s="12" t="str">
        <f ca="1">IF($A694="","",IFERROR(SUMIF(INDIRECT("'"&amp;'Template Setup'!$C$5&amp;"'!C:C"),$A694,INDIRECT("'"&amp;'Template Setup'!$C$5&amp;"'!A:A")),0))</f>
        <v/>
      </c>
      <c r="I694" s="12" t="str">
        <f ca="1">IF($A694="","",IFERROR(SUMIF(INDIRECT("'"&amp;'Template Setup'!$C$6&amp;"'!C:C"),$A694,INDIRECT("'"&amp;'Template Setup'!$C$6&amp;"'!A:A")),0))</f>
        <v/>
      </c>
      <c r="J694" s="12" t="str">
        <f ca="1">IF($A694="","",IFERROR(SUMIF(INDIRECT("'"&amp;'Template Setup'!$C$7&amp;"'!C:C"),$A694,INDIRECT("'"&amp;'Template Setup'!$C$7&amp;"'!A:A")),0))</f>
        <v/>
      </c>
      <c r="K694" s="12" t="str">
        <f ca="1">IF($A694="","",IFERROR(SUMIF(INDIRECT("'"&amp;'Template Setup'!$C$8&amp;"'!C:C"),$A694,INDIRECT("'"&amp;'Template Setup'!$C$8&amp;"'!A:A")),0))</f>
        <v/>
      </c>
      <c r="L694" s="11" t="str">
        <f>IF($A694="","",IFERROR(VALUE(MID(TRIM('Template Setup'!$C$4),FIND("-",TRIM('Template Setup'!$C$4))+1,10)),0))</f>
        <v/>
      </c>
      <c r="M694" s="11" t="str">
        <f>IF($A694="","",IFERROR(VALUE(MID(TRIM('Template Setup'!$C$5),FIND("-",TRIM('Template Setup'!$C$5))+1,10)),0))</f>
        <v/>
      </c>
      <c r="N694" s="11" t="str">
        <f>IF($A694="","",IFERROR(VALUE(MID(TRIM('Template Setup'!$C$6),FIND("-",TRIM('Template Setup'!$C$6))+1,10)),0))</f>
        <v/>
      </c>
      <c r="O694" s="11" t="str">
        <f>IF($A694="","",IFERROR(VALUE(MID(TRIM('Template Setup'!$C$7),FIND("-",TRIM('Template Setup'!$C$7))+1,10)),0))</f>
        <v/>
      </c>
      <c r="P694" s="11" t="str">
        <f>IF($A694="","",IFERROR(VALUE(MID(TRIM('Template Setup'!$C$8),FIND("-",TRIM('Template Setup'!$C$8))+1,10)),0))</f>
        <v/>
      </c>
      <c r="Q694" s="9" t="str">
        <f>IF($A694="","",$A694&amp;"-"&amp;'Template Setup'!$C$16)</f>
        <v/>
      </c>
      <c r="R694" s="24" t="str">
        <f t="shared" si="41"/>
        <v/>
      </c>
      <c r="S694" s="24"/>
      <c r="T694" s="24" t="str">
        <f t="shared" si="42"/>
        <v/>
      </c>
      <c r="U694" s="6" t="str">
        <f t="shared" si="44"/>
        <v/>
      </c>
    </row>
    <row r="695" spans="1:21">
      <c r="A695" s="11"/>
      <c r="B695" s="11"/>
      <c r="C695" s="11"/>
      <c r="D695" s="11" t="str">
        <f>IF($A695="","",_xlfn.TEXTJOIN(", ",TRUE,IF($G695&gt;0,'Template Setup'!$C$4,""),IF($H695&gt;0,'Template Setup'!$C$5,""),IF($I695&gt;0,'Template Setup'!$C$6,""),IF($J695&gt;0,'Template Setup'!$C$7,""),IF($K695&gt;0,'Template Setup'!$C$8,"")))</f>
        <v/>
      </c>
      <c r="E695" s="6" t="str" cm="1">
        <f t="array" ref="E695">IF($A695="","",_xlfn.LET(_xlpm.sheets,CHOOSE({1,2,3,4,5},'Template Setup'!$C$4,'Template Setup'!$C$5,'Template Setup'!$C$6,'Template Setup'!$C$7,'Template Setup'!$C$8),_xlpm.nums,CHOOSE({1,2,3,4,5},$L695,$M695,$N695,$O695,$P695),_xlpm.qtys,CHOOSE({1,2,3,4,5},$G695,$H695,$I695,$J695,$K695),_xlpm.validNums,_xlfn._xlws.FILTER(_xlpm.nums,_xlpm.qtys&gt;0),_xlpm.validSheets,_xlfn._xlws.FILTER(_xlpm.sheets,_xlpm.qtys&gt;0),_xlpm.mx,IFERROR(MAX(_xlpm.validNums),0),IF(_xlpm.mx=0,"",INDEX(_xlpm.validSheets,MATCH(_xlpm.mx,_xlpm.validNums,0))&amp;" (+"&amp;$R695&amp;")")))</f>
        <v/>
      </c>
      <c r="F695" s="11" t="str">
        <f t="shared" si="43"/>
        <v/>
      </c>
      <c r="G695" s="12" t="str">
        <f ca="1">IF($A695="","",IFERROR(SUMIF(INDIRECT("'"&amp;'Template Setup'!$C$4&amp;"'!C:C"),$A695,INDIRECT("'"&amp;'Template Setup'!$C$4&amp;"'!A:A")),0))</f>
        <v/>
      </c>
      <c r="H695" s="12" t="str">
        <f ca="1">IF($A695="","",IFERROR(SUMIF(INDIRECT("'"&amp;'Template Setup'!$C$5&amp;"'!C:C"),$A695,INDIRECT("'"&amp;'Template Setup'!$C$5&amp;"'!A:A")),0))</f>
        <v/>
      </c>
      <c r="I695" s="12" t="str">
        <f ca="1">IF($A695="","",IFERROR(SUMIF(INDIRECT("'"&amp;'Template Setup'!$C$6&amp;"'!C:C"),$A695,INDIRECT("'"&amp;'Template Setup'!$C$6&amp;"'!A:A")),0))</f>
        <v/>
      </c>
      <c r="J695" s="12" t="str">
        <f ca="1">IF($A695="","",IFERROR(SUMIF(INDIRECT("'"&amp;'Template Setup'!$C$7&amp;"'!C:C"),$A695,INDIRECT("'"&amp;'Template Setup'!$C$7&amp;"'!A:A")),0))</f>
        <v/>
      </c>
      <c r="K695" s="12" t="str">
        <f ca="1">IF($A695="","",IFERROR(SUMIF(INDIRECT("'"&amp;'Template Setup'!$C$8&amp;"'!C:C"),$A695,INDIRECT("'"&amp;'Template Setup'!$C$8&amp;"'!A:A")),0))</f>
        <v/>
      </c>
      <c r="L695" s="11" t="str">
        <f>IF($A695="","",IFERROR(VALUE(MID(TRIM('Template Setup'!$C$4),FIND("-",TRIM('Template Setup'!$C$4))+1,10)),0))</f>
        <v/>
      </c>
      <c r="M695" s="11" t="str">
        <f>IF($A695="","",IFERROR(VALUE(MID(TRIM('Template Setup'!$C$5),FIND("-",TRIM('Template Setup'!$C$5))+1,10)),0))</f>
        <v/>
      </c>
      <c r="N695" s="11" t="str">
        <f>IF($A695="","",IFERROR(VALUE(MID(TRIM('Template Setup'!$C$6),FIND("-",TRIM('Template Setup'!$C$6))+1,10)),0))</f>
        <v/>
      </c>
      <c r="O695" s="11" t="str">
        <f>IF($A695="","",IFERROR(VALUE(MID(TRIM('Template Setup'!$C$7),FIND("-",TRIM('Template Setup'!$C$7))+1,10)),0))</f>
        <v/>
      </c>
      <c r="P695" s="11" t="str">
        <f>IF($A695="","",IFERROR(VALUE(MID(TRIM('Template Setup'!$C$8),FIND("-",TRIM('Template Setup'!$C$8))+1,10)),0))</f>
        <v/>
      </c>
      <c r="Q695" s="9" t="str">
        <f>IF($A695="","",$A695&amp;"-"&amp;'Template Setup'!$C$16)</f>
        <v/>
      </c>
      <c r="R695" s="24" t="str">
        <f t="shared" si="41"/>
        <v/>
      </c>
      <c r="S695" s="24"/>
      <c r="T695" s="24" t="str">
        <f t="shared" si="42"/>
        <v/>
      </c>
      <c r="U695" s="6" t="str">
        <f t="shared" si="44"/>
        <v/>
      </c>
    </row>
    <row r="696" spans="1:21">
      <c r="A696" s="11"/>
      <c r="B696" s="11"/>
      <c r="C696" s="11"/>
      <c r="D696" s="11" t="str">
        <f>IF($A696="","",_xlfn.TEXTJOIN(", ",TRUE,IF($G696&gt;0,'Template Setup'!$C$4,""),IF($H696&gt;0,'Template Setup'!$C$5,""),IF($I696&gt;0,'Template Setup'!$C$6,""),IF($J696&gt;0,'Template Setup'!$C$7,""),IF($K696&gt;0,'Template Setup'!$C$8,"")))</f>
        <v/>
      </c>
      <c r="E696" s="6" t="str" cm="1">
        <f t="array" ref="E696">IF($A696="","",_xlfn.LET(_xlpm.sheets,CHOOSE({1,2,3,4,5},'Template Setup'!$C$4,'Template Setup'!$C$5,'Template Setup'!$C$6,'Template Setup'!$C$7,'Template Setup'!$C$8),_xlpm.nums,CHOOSE({1,2,3,4,5},$L696,$M696,$N696,$O696,$P696),_xlpm.qtys,CHOOSE({1,2,3,4,5},$G696,$H696,$I696,$J696,$K696),_xlpm.validNums,_xlfn._xlws.FILTER(_xlpm.nums,_xlpm.qtys&gt;0),_xlpm.validSheets,_xlfn._xlws.FILTER(_xlpm.sheets,_xlpm.qtys&gt;0),_xlpm.mx,IFERROR(MAX(_xlpm.validNums),0),IF(_xlpm.mx=0,"",INDEX(_xlpm.validSheets,MATCH(_xlpm.mx,_xlpm.validNums,0))&amp;" (+"&amp;$R696&amp;")")))</f>
        <v/>
      </c>
      <c r="F696" s="11" t="str">
        <f t="shared" si="43"/>
        <v/>
      </c>
      <c r="G696" s="12" t="str">
        <f ca="1">IF($A696="","",IFERROR(SUMIF(INDIRECT("'"&amp;'Template Setup'!$C$4&amp;"'!C:C"),$A696,INDIRECT("'"&amp;'Template Setup'!$C$4&amp;"'!A:A")),0))</f>
        <v/>
      </c>
      <c r="H696" s="12" t="str">
        <f ca="1">IF($A696="","",IFERROR(SUMIF(INDIRECT("'"&amp;'Template Setup'!$C$5&amp;"'!C:C"),$A696,INDIRECT("'"&amp;'Template Setup'!$C$5&amp;"'!A:A")),0))</f>
        <v/>
      </c>
      <c r="I696" s="12" t="str">
        <f ca="1">IF($A696="","",IFERROR(SUMIF(INDIRECT("'"&amp;'Template Setup'!$C$6&amp;"'!C:C"),$A696,INDIRECT("'"&amp;'Template Setup'!$C$6&amp;"'!A:A")),0))</f>
        <v/>
      </c>
      <c r="J696" s="12" t="str">
        <f ca="1">IF($A696="","",IFERROR(SUMIF(INDIRECT("'"&amp;'Template Setup'!$C$7&amp;"'!C:C"),$A696,INDIRECT("'"&amp;'Template Setup'!$C$7&amp;"'!A:A")),0))</f>
        <v/>
      </c>
      <c r="K696" s="12" t="str">
        <f ca="1">IF($A696="","",IFERROR(SUMIF(INDIRECT("'"&amp;'Template Setup'!$C$8&amp;"'!C:C"),$A696,INDIRECT("'"&amp;'Template Setup'!$C$8&amp;"'!A:A")),0))</f>
        <v/>
      </c>
      <c r="L696" s="11" t="str">
        <f>IF($A696="","",IFERROR(VALUE(MID(TRIM('Template Setup'!$C$4),FIND("-",TRIM('Template Setup'!$C$4))+1,10)),0))</f>
        <v/>
      </c>
      <c r="M696" s="11" t="str">
        <f>IF($A696="","",IFERROR(VALUE(MID(TRIM('Template Setup'!$C$5),FIND("-",TRIM('Template Setup'!$C$5))+1,10)),0))</f>
        <v/>
      </c>
      <c r="N696" s="11" t="str">
        <f>IF($A696="","",IFERROR(VALUE(MID(TRIM('Template Setup'!$C$6),FIND("-",TRIM('Template Setup'!$C$6))+1,10)),0))</f>
        <v/>
      </c>
      <c r="O696" s="11" t="str">
        <f>IF($A696="","",IFERROR(VALUE(MID(TRIM('Template Setup'!$C$7),FIND("-",TRIM('Template Setup'!$C$7))+1,10)),0))</f>
        <v/>
      </c>
      <c r="P696" s="11" t="str">
        <f>IF($A696="","",IFERROR(VALUE(MID(TRIM('Template Setup'!$C$8),FIND("-",TRIM('Template Setup'!$C$8))+1,10)),0))</f>
        <v/>
      </c>
      <c r="Q696" s="9" t="str">
        <f>IF($A696="","",$A696&amp;"-"&amp;'Template Setup'!$C$16)</f>
        <v/>
      </c>
      <c r="R696" s="24" t="str">
        <f t="shared" si="41"/>
        <v/>
      </c>
      <c r="S696" s="24"/>
      <c r="T696" s="24" t="str">
        <f t="shared" si="42"/>
        <v/>
      </c>
      <c r="U696" s="6" t="str">
        <f t="shared" si="44"/>
        <v/>
      </c>
    </row>
    <row r="697" spans="1:21">
      <c r="A697" s="11"/>
      <c r="B697" s="11"/>
      <c r="C697" s="11"/>
      <c r="D697" s="11" t="str">
        <f>IF($A697="","",_xlfn.TEXTJOIN(", ",TRUE,IF($G697&gt;0,'Template Setup'!$C$4,""),IF($H697&gt;0,'Template Setup'!$C$5,""),IF($I697&gt;0,'Template Setup'!$C$6,""),IF($J697&gt;0,'Template Setup'!$C$7,""),IF($K697&gt;0,'Template Setup'!$C$8,"")))</f>
        <v/>
      </c>
      <c r="E697" s="6" t="str" cm="1">
        <f t="array" ref="E697">IF($A697="","",_xlfn.LET(_xlpm.sheets,CHOOSE({1,2,3,4,5},'Template Setup'!$C$4,'Template Setup'!$C$5,'Template Setup'!$C$6,'Template Setup'!$C$7,'Template Setup'!$C$8),_xlpm.nums,CHOOSE({1,2,3,4,5},$L697,$M697,$N697,$O697,$P697),_xlpm.qtys,CHOOSE({1,2,3,4,5},$G697,$H697,$I697,$J697,$K697),_xlpm.validNums,_xlfn._xlws.FILTER(_xlpm.nums,_xlpm.qtys&gt;0),_xlpm.validSheets,_xlfn._xlws.FILTER(_xlpm.sheets,_xlpm.qtys&gt;0),_xlpm.mx,IFERROR(MAX(_xlpm.validNums),0),IF(_xlpm.mx=0,"",INDEX(_xlpm.validSheets,MATCH(_xlpm.mx,_xlpm.validNums,0))&amp;" (+"&amp;$R697&amp;")")))</f>
        <v/>
      </c>
      <c r="F697" s="11" t="str">
        <f t="shared" si="43"/>
        <v/>
      </c>
      <c r="G697" s="12" t="str">
        <f ca="1">IF($A697="","",IFERROR(SUMIF(INDIRECT("'"&amp;'Template Setup'!$C$4&amp;"'!C:C"),$A697,INDIRECT("'"&amp;'Template Setup'!$C$4&amp;"'!A:A")),0))</f>
        <v/>
      </c>
      <c r="H697" s="12" t="str">
        <f ca="1">IF($A697="","",IFERROR(SUMIF(INDIRECT("'"&amp;'Template Setup'!$C$5&amp;"'!C:C"),$A697,INDIRECT("'"&amp;'Template Setup'!$C$5&amp;"'!A:A")),0))</f>
        <v/>
      </c>
      <c r="I697" s="12" t="str">
        <f ca="1">IF($A697="","",IFERROR(SUMIF(INDIRECT("'"&amp;'Template Setup'!$C$6&amp;"'!C:C"),$A697,INDIRECT("'"&amp;'Template Setup'!$C$6&amp;"'!A:A")),0))</f>
        <v/>
      </c>
      <c r="J697" s="12" t="str">
        <f ca="1">IF($A697="","",IFERROR(SUMIF(INDIRECT("'"&amp;'Template Setup'!$C$7&amp;"'!C:C"),$A697,INDIRECT("'"&amp;'Template Setup'!$C$7&amp;"'!A:A")),0))</f>
        <v/>
      </c>
      <c r="K697" s="12" t="str">
        <f ca="1">IF($A697="","",IFERROR(SUMIF(INDIRECT("'"&amp;'Template Setup'!$C$8&amp;"'!C:C"),$A697,INDIRECT("'"&amp;'Template Setup'!$C$8&amp;"'!A:A")),0))</f>
        <v/>
      </c>
      <c r="L697" s="11" t="str">
        <f>IF($A697="","",IFERROR(VALUE(MID(TRIM('Template Setup'!$C$4),FIND("-",TRIM('Template Setup'!$C$4))+1,10)),0))</f>
        <v/>
      </c>
      <c r="M697" s="11" t="str">
        <f>IF($A697="","",IFERROR(VALUE(MID(TRIM('Template Setup'!$C$5),FIND("-",TRIM('Template Setup'!$C$5))+1,10)),0))</f>
        <v/>
      </c>
      <c r="N697" s="11" t="str">
        <f>IF($A697="","",IFERROR(VALUE(MID(TRIM('Template Setup'!$C$6),FIND("-",TRIM('Template Setup'!$C$6))+1,10)),0))</f>
        <v/>
      </c>
      <c r="O697" s="11" t="str">
        <f>IF($A697="","",IFERROR(VALUE(MID(TRIM('Template Setup'!$C$7),FIND("-",TRIM('Template Setup'!$C$7))+1,10)),0))</f>
        <v/>
      </c>
      <c r="P697" s="11" t="str">
        <f>IF($A697="","",IFERROR(VALUE(MID(TRIM('Template Setup'!$C$8),FIND("-",TRIM('Template Setup'!$C$8))+1,10)),0))</f>
        <v/>
      </c>
      <c r="Q697" s="9" t="str">
        <f>IF($A697="","",$A697&amp;"-"&amp;'Template Setup'!$C$16)</f>
        <v/>
      </c>
      <c r="R697" s="24" t="str">
        <f t="shared" si="41"/>
        <v/>
      </c>
      <c r="S697" s="24"/>
      <c r="T697" s="24" t="str">
        <f t="shared" si="42"/>
        <v/>
      </c>
      <c r="U697" s="6" t="str">
        <f t="shared" si="44"/>
        <v/>
      </c>
    </row>
    <row r="698" spans="1:21">
      <c r="A698" s="11"/>
      <c r="B698" s="11"/>
      <c r="C698" s="11"/>
      <c r="D698" s="11" t="str">
        <f>IF($A698="","",_xlfn.TEXTJOIN(", ",TRUE,IF($G698&gt;0,'Template Setup'!$C$4,""),IF($H698&gt;0,'Template Setup'!$C$5,""),IF($I698&gt;0,'Template Setup'!$C$6,""),IF($J698&gt;0,'Template Setup'!$C$7,""),IF($K698&gt;0,'Template Setup'!$C$8,"")))</f>
        <v/>
      </c>
      <c r="E698" s="6" t="str" cm="1">
        <f t="array" ref="E698">IF($A698="","",_xlfn.LET(_xlpm.sheets,CHOOSE({1,2,3,4,5},'Template Setup'!$C$4,'Template Setup'!$C$5,'Template Setup'!$C$6,'Template Setup'!$C$7,'Template Setup'!$C$8),_xlpm.nums,CHOOSE({1,2,3,4,5},$L698,$M698,$N698,$O698,$P698),_xlpm.qtys,CHOOSE({1,2,3,4,5},$G698,$H698,$I698,$J698,$K698),_xlpm.validNums,_xlfn._xlws.FILTER(_xlpm.nums,_xlpm.qtys&gt;0),_xlpm.validSheets,_xlfn._xlws.FILTER(_xlpm.sheets,_xlpm.qtys&gt;0),_xlpm.mx,IFERROR(MAX(_xlpm.validNums),0),IF(_xlpm.mx=0,"",INDEX(_xlpm.validSheets,MATCH(_xlpm.mx,_xlpm.validNums,0))&amp;" (+"&amp;$R698&amp;")")))</f>
        <v/>
      </c>
      <c r="F698" s="11" t="str">
        <f t="shared" si="43"/>
        <v/>
      </c>
      <c r="G698" s="12" t="str">
        <f ca="1">IF($A698="","",IFERROR(SUMIF(INDIRECT("'"&amp;'Template Setup'!$C$4&amp;"'!C:C"),$A698,INDIRECT("'"&amp;'Template Setup'!$C$4&amp;"'!A:A")),0))</f>
        <v/>
      </c>
      <c r="H698" s="12" t="str">
        <f ca="1">IF($A698="","",IFERROR(SUMIF(INDIRECT("'"&amp;'Template Setup'!$C$5&amp;"'!C:C"),$A698,INDIRECT("'"&amp;'Template Setup'!$C$5&amp;"'!A:A")),0))</f>
        <v/>
      </c>
      <c r="I698" s="12" t="str">
        <f ca="1">IF($A698="","",IFERROR(SUMIF(INDIRECT("'"&amp;'Template Setup'!$C$6&amp;"'!C:C"),$A698,INDIRECT("'"&amp;'Template Setup'!$C$6&amp;"'!A:A")),0))</f>
        <v/>
      </c>
      <c r="J698" s="12" t="str">
        <f ca="1">IF($A698="","",IFERROR(SUMIF(INDIRECT("'"&amp;'Template Setup'!$C$7&amp;"'!C:C"),$A698,INDIRECT("'"&amp;'Template Setup'!$C$7&amp;"'!A:A")),0))</f>
        <v/>
      </c>
      <c r="K698" s="12" t="str">
        <f ca="1">IF($A698="","",IFERROR(SUMIF(INDIRECT("'"&amp;'Template Setup'!$C$8&amp;"'!C:C"),$A698,INDIRECT("'"&amp;'Template Setup'!$C$8&amp;"'!A:A")),0))</f>
        <v/>
      </c>
      <c r="L698" s="11" t="str">
        <f>IF($A698="","",IFERROR(VALUE(MID(TRIM('Template Setup'!$C$4),FIND("-",TRIM('Template Setup'!$C$4))+1,10)),0))</f>
        <v/>
      </c>
      <c r="M698" s="11" t="str">
        <f>IF($A698="","",IFERROR(VALUE(MID(TRIM('Template Setup'!$C$5),FIND("-",TRIM('Template Setup'!$C$5))+1,10)),0))</f>
        <v/>
      </c>
      <c r="N698" s="11" t="str">
        <f>IF($A698="","",IFERROR(VALUE(MID(TRIM('Template Setup'!$C$6),FIND("-",TRIM('Template Setup'!$C$6))+1,10)),0))</f>
        <v/>
      </c>
      <c r="O698" s="11" t="str">
        <f>IF($A698="","",IFERROR(VALUE(MID(TRIM('Template Setup'!$C$7),FIND("-",TRIM('Template Setup'!$C$7))+1,10)),0))</f>
        <v/>
      </c>
      <c r="P698" s="11" t="str">
        <f>IF($A698="","",IFERROR(VALUE(MID(TRIM('Template Setup'!$C$8),FIND("-",TRIM('Template Setup'!$C$8))+1,10)),0))</f>
        <v/>
      </c>
      <c r="Q698" s="9" t="str">
        <f>IF($A698="","",$A698&amp;"-"&amp;'Template Setup'!$C$16)</f>
        <v/>
      </c>
      <c r="R698" s="24" t="str">
        <f t="shared" si="41"/>
        <v/>
      </c>
      <c r="S698" s="24"/>
      <c r="T698" s="24" t="str">
        <f t="shared" si="42"/>
        <v/>
      </c>
      <c r="U698" s="6" t="str">
        <f t="shared" si="44"/>
        <v/>
      </c>
    </row>
    <row r="699" spans="1:21">
      <c r="A699" s="11"/>
      <c r="B699" s="11"/>
      <c r="C699" s="11"/>
      <c r="D699" s="11" t="str">
        <f>IF($A699="","",_xlfn.TEXTJOIN(", ",TRUE,IF($G699&gt;0,'Template Setup'!$C$4,""),IF($H699&gt;0,'Template Setup'!$C$5,""),IF($I699&gt;0,'Template Setup'!$C$6,""),IF($J699&gt;0,'Template Setup'!$C$7,""),IF($K699&gt;0,'Template Setup'!$C$8,"")))</f>
        <v/>
      </c>
      <c r="E699" s="6" t="str" cm="1">
        <f t="array" ref="E699">IF($A699="","",_xlfn.LET(_xlpm.sheets,CHOOSE({1,2,3,4,5},'Template Setup'!$C$4,'Template Setup'!$C$5,'Template Setup'!$C$6,'Template Setup'!$C$7,'Template Setup'!$C$8),_xlpm.nums,CHOOSE({1,2,3,4,5},$L699,$M699,$N699,$O699,$P699),_xlpm.qtys,CHOOSE({1,2,3,4,5},$G699,$H699,$I699,$J699,$K699),_xlpm.validNums,_xlfn._xlws.FILTER(_xlpm.nums,_xlpm.qtys&gt;0),_xlpm.validSheets,_xlfn._xlws.FILTER(_xlpm.sheets,_xlpm.qtys&gt;0),_xlpm.mx,IFERROR(MAX(_xlpm.validNums),0),IF(_xlpm.mx=0,"",INDEX(_xlpm.validSheets,MATCH(_xlpm.mx,_xlpm.validNums,0))&amp;" (+"&amp;$R699&amp;")")))</f>
        <v/>
      </c>
      <c r="F699" s="11" t="str">
        <f t="shared" si="43"/>
        <v/>
      </c>
      <c r="G699" s="12" t="str">
        <f ca="1">IF($A699="","",IFERROR(SUMIF(INDIRECT("'"&amp;'Template Setup'!$C$4&amp;"'!C:C"),$A699,INDIRECT("'"&amp;'Template Setup'!$C$4&amp;"'!A:A")),0))</f>
        <v/>
      </c>
      <c r="H699" s="12" t="str">
        <f ca="1">IF($A699="","",IFERROR(SUMIF(INDIRECT("'"&amp;'Template Setup'!$C$5&amp;"'!C:C"),$A699,INDIRECT("'"&amp;'Template Setup'!$C$5&amp;"'!A:A")),0))</f>
        <v/>
      </c>
      <c r="I699" s="12" t="str">
        <f ca="1">IF($A699="","",IFERROR(SUMIF(INDIRECT("'"&amp;'Template Setup'!$C$6&amp;"'!C:C"),$A699,INDIRECT("'"&amp;'Template Setup'!$C$6&amp;"'!A:A")),0))</f>
        <v/>
      </c>
      <c r="J699" s="12" t="str">
        <f ca="1">IF($A699="","",IFERROR(SUMIF(INDIRECT("'"&amp;'Template Setup'!$C$7&amp;"'!C:C"),$A699,INDIRECT("'"&amp;'Template Setup'!$C$7&amp;"'!A:A")),0))</f>
        <v/>
      </c>
      <c r="K699" s="12" t="str">
        <f ca="1">IF($A699="","",IFERROR(SUMIF(INDIRECT("'"&amp;'Template Setup'!$C$8&amp;"'!C:C"),$A699,INDIRECT("'"&amp;'Template Setup'!$C$8&amp;"'!A:A")),0))</f>
        <v/>
      </c>
      <c r="L699" s="11" t="str">
        <f>IF($A699="","",IFERROR(VALUE(MID(TRIM('Template Setup'!$C$4),FIND("-",TRIM('Template Setup'!$C$4))+1,10)),0))</f>
        <v/>
      </c>
      <c r="M699" s="11" t="str">
        <f>IF($A699="","",IFERROR(VALUE(MID(TRIM('Template Setup'!$C$5),FIND("-",TRIM('Template Setup'!$C$5))+1,10)),0))</f>
        <v/>
      </c>
      <c r="N699" s="11" t="str">
        <f>IF($A699="","",IFERROR(VALUE(MID(TRIM('Template Setup'!$C$6),FIND("-",TRIM('Template Setup'!$C$6))+1,10)),0))</f>
        <v/>
      </c>
      <c r="O699" s="11" t="str">
        <f>IF($A699="","",IFERROR(VALUE(MID(TRIM('Template Setup'!$C$7),FIND("-",TRIM('Template Setup'!$C$7))+1,10)),0))</f>
        <v/>
      </c>
      <c r="P699" s="11" t="str">
        <f>IF($A699="","",IFERROR(VALUE(MID(TRIM('Template Setup'!$C$8),FIND("-",TRIM('Template Setup'!$C$8))+1,10)),0))</f>
        <v/>
      </c>
      <c r="Q699" s="9" t="str">
        <f>IF($A699="","",$A699&amp;"-"&amp;'Template Setup'!$C$16)</f>
        <v/>
      </c>
      <c r="R699" s="24" t="str">
        <f t="shared" si="41"/>
        <v/>
      </c>
      <c r="S699" s="24"/>
      <c r="T699" s="24" t="str">
        <f t="shared" si="42"/>
        <v/>
      </c>
      <c r="U699" s="6" t="str">
        <f t="shared" si="44"/>
        <v/>
      </c>
    </row>
    <row r="700" spans="1:21">
      <c r="A700" s="11"/>
      <c r="B700" s="11"/>
      <c r="C700" s="11"/>
      <c r="D700" s="11" t="str">
        <f>IF($A700="","",_xlfn.TEXTJOIN(", ",TRUE,IF($G700&gt;0,'Template Setup'!$C$4,""),IF($H700&gt;0,'Template Setup'!$C$5,""),IF($I700&gt;0,'Template Setup'!$C$6,""),IF($J700&gt;0,'Template Setup'!$C$7,""),IF($K700&gt;0,'Template Setup'!$C$8,"")))</f>
        <v/>
      </c>
      <c r="E700" s="6" t="str" cm="1">
        <f t="array" ref="E700">IF($A700="","",_xlfn.LET(_xlpm.sheets,CHOOSE({1,2,3,4,5},'Template Setup'!$C$4,'Template Setup'!$C$5,'Template Setup'!$C$6,'Template Setup'!$C$7,'Template Setup'!$C$8),_xlpm.nums,CHOOSE({1,2,3,4,5},$L700,$M700,$N700,$O700,$P700),_xlpm.qtys,CHOOSE({1,2,3,4,5},$G700,$H700,$I700,$J700,$K700),_xlpm.validNums,_xlfn._xlws.FILTER(_xlpm.nums,_xlpm.qtys&gt;0),_xlpm.validSheets,_xlfn._xlws.FILTER(_xlpm.sheets,_xlpm.qtys&gt;0),_xlpm.mx,IFERROR(MAX(_xlpm.validNums),0),IF(_xlpm.mx=0,"",INDEX(_xlpm.validSheets,MATCH(_xlpm.mx,_xlpm.validNums,0))&amp;" (+"&amp;$R700&amp;")")))</f>
        <v/>
      </c>
      <c r="F700" s="11" t="str">
        <f t="shared" si="43"/>
        <v/>
      </c>
      <c r="G700" s="12" t="str">
        <f ca="1">IF($A700="","",IFERROR(SUMIF(INDIRECT("'"&amp;'Template Setup'!$C$4&amp;"'!C:C"),$A700,INDIRECT("'"&amp;'Template Setup'!$C$4&amp;"'!A:A")),0))</f>
        <v/>
      </c>
      <c r="H700" s="12" t="str">
        <f ca="1">IF($A700="","",IFERROR(SUMIF(INDIRECT("'"&amp;'Template Setup'!$C$5&amp;"'!C:C"),$A700,INDIRECT("'"&amp;'Template Setup'!$C$5&amp;"'!A:A")),0))</f>
        <v/>
      </c>
      <c r="I700" s="12" t="str">
        <f ca="1">IF($A700="","",IFERROR(SUMIF(INDIRECT("'"&amp;'Template Setup'!$C$6&amp;"'!C:C"),$A700,INDIRECT("'"&amp;'Template Setup'!$C$6&amp;"'!A:A")),0))</f>
        <v/>
      </c>
      <c r="J700" s="12" t="str">
        <f ca="1">IF($A700="","",IFERROR(SUMIF(INDIRECT("'"&amp;'Template Setup'!$C$7&amp;"'!C:C"),$A700,INDIRECT("'"&amp;'Template Setup'!$C$7&amp;"'!A:A")),0))</f>
        <v/>
      </c>
      <c r="K700" s="12" t="str">
        <f ca="1">IF($A700="","",IFERROR(SUMIF(INDIRECT("'"&amp;'Template Setup'!$C$8&amp;"'!C:C"),$A700,INDIRECT("'"&amp;'Template Setup'!$C$8&amp;"'!A:A")),0))</f>
        <v/>
      </c>
      <c r="L700" s="11" t="str">
        <f>IF($A700="","",IFERROR(VALUE(MID(TRIM('Template Setup'!$C$4),FIND("-",TRIM('Template Setup'!$C$4))+1,10)),0))</f>
        <v/>
      </c>
      <c r="M700" s="11" t="str">
        <f>IF($A700="","",IFERROR(VALUE(MID(TRIM('Template Setup'!$C$5),FIND("-",TRIM('Template Setup'!$C$5))+1,10)),0))</f>
        <v/>
      </c>
      <c r="N700" s="11" t="str">
        <f>IF($A700="","",IFERROR(VALUE(MID(TRIM('Template Setup'!$C$6),FIND("-",TRIM('Template Setup'!$C$6))+1,10)),0))</f>
        <v/>
      </c>
      <c r="O700" s="11" t="str">
        <f>IF($A700="","",IFERROR(VALUE(MID(TRIM('Template Setup'!$C$7),FIND("-",TRIM('Template Setup'!$C$7))+1,10)),0))</f>
        <v/>
      </c>
      <c r="P700" s="11" t="str">
        <f>IF($A700="","",IFERROR(VALUE(MID(TRIM('Template Setup'!$C$8),FIND("-",TRIM('Template Setup'!$C$8))+1,10)),0))</f>
        <v/>
      </c>
      <c r="Q700" s="9" t="str">
        <f>IF($A700="","",$A700&amp;"-"&amp;'Template Setup'!$C$16)</f>
        <v/>
      </c>
      <c r="R700" s="24" t="str">
        <f t="shared" si="41"/>
        <v/>
      </c>
      <c r="S700" s="24"/>
      <c r="T700" s="24" t="str">
        <f t="shared" si="42"/>
        <v/>
      </c>
      <c r="U700" s="6" t="str">
        <f t="shared" si="44"/>
        <v/>
      </c>
    </row>
    <row r="701" spans="1:21">
      <c r="A701" s="11"/>
      <c r="B701" s="11"/>
      <c r="C701" s="11"/>
      <c r="D701" s="11" t="str">
        <f>IF($A701="","",_xlfn.TEXTJOIN(", ",TRUE,IF($G701&gt;0,'Template Setup'!$C$4,""),IF($H701&gt;0,'Template Setup'!$C$5,""),IF($I701&gt;0,'Template Setup'!$C$6,""),IF($J701&gt;0,'Template Setup'!$C$7,""),IF($K701&gt;0,'Template Setup'!$C$8,"")))</f>
        <v/>
      </c>
      <c r="E701" s="6" t="str" cm="1">
        <f t="array" ref="E701">IF($A701="","",_xlfn.LET(_xlpm.sheets,CHOOSE({1,2,3,4,5},'Template Setup'!$C$4,'Template Setup'!$C$5,'Template Setup'!$C$6,'Template Setup'!$C$7,'Template Setup'!$C$8),_xlpm.nums,CHOOSE({1,2,3,4,5},$L701,$M701,$N701,$O701,$P701),_xlpm.qtys,CHOOSE({1,2,3,4,5},$G701,$H701,$I701,$J701,$K701),_xlpm.validNums,_xlfn._xlws.FILTER(_xlpm.nums,_xlpm.qtys&gt;0),_xlpm.validSheets,_xlfn._xlws.FILTER(_xlpm.sheets,_xlpm.qtys&gt;0),_xlpm.mx,IFERROR(MAX(_xlpm.validNums),0),IF(_xlpm.mx=0,"",INDEX(_xlpm.validSheets,MATCH(_xlpm.mx,_xlpm.validNums,0))&amp;" (+"&amp;$R701&amp;")")))</f>
        <v/>
      </c>
      <c r="F701" s="11" t="str">
        <f t="shared" si="43"/>
        <v/>
      </c>
      <c r="G701" s="12" t="str">
        <f ca="1">IF($A701="","",IFERROR(SUMIF(INDIRECT("'"&amp;'Template Setup'!$C$4&amp;"'!C:C"),$A701,INDIRECT("'"&amp;'Template Setup'!$C$4&amp;"'!A:A")),0))</f>
        <v/>
      </c>
      <c r="H701" s="12" t="str">
        <f ca="1">IF($A701="","",IFERROR(SUMIF(INDIRECT("'"&amp;'Template Setup'!$C$5&amp;"'!C:C"),$A701,INDIRECT("'"&amp;'Template Setup'!$C$5&amp;"'!A:A")),0))</f>
        <v/>
      </c>
      <c r="I701" s="12" t="str">
        <f ca="1">IF($A701="","",IFERROR(SUMIF(INDIRECT("'"&amp;'Template Setup'!$C$6&amp;"'!C:C"),$A701,INDIRECT("'"&amp;'Template Setup'!$C$6&amp;"'!A:A")),0))</f>
        <v/>
      </c>
      <c r="J701" s="12" t="str">
        <f ca="1">IF($A701="","",IFERROR(SUMIF(INDIRECT("'"&amp;'Template Setup'!$C$7&amp;"'!C:C"),$A701,INDIRECT("'"&amp;'Template Setup'!$C$7&amp;"'!A:A")),0))</f>
        <v/>
      </c>
      <c r="K701" s="12" t="str">
        <f ca="1">IF($A701="","",IFERROR(SUMIF(INDIRECT("'"&amp;'Template Setup'!$C$8&amp;"'!C:C"),$A701,INDIRECT("'"&amp;'Template Setup'!$C$8&amp;"'!A:A")),0))</f>
        <v/>
      </c>
      <c r="L701" s="11" t="str">
        <f>IF($A701="","",IFERROR(VALUE(MID(TRIM('Template Setup'!$C$4),FIND("-",TRIM('Template Setup'!$C$4))+1,10)),0))</f>
        <v/>
      </c>
      <c r="M701" s="11" t="str">
        <f>IF($A701="","",IFERROR(VALUE(MID(TRIM('Template Setup'!$C$5),FIND("-",TRIM('Template Setup'!$C$5))+1,10)),0))</f>
        <v/>
      </c>
      <c r="N701" s="11" t="str">
        <f>IF($A701="","",IFERROR(VALUE(MID(TRIM('Template Setup'!$C$6),FIND("-",TRIM('Template Setup'!$C$6))+1,10)),0))</f>
        <v/>
      </c>
      <c r="O701" s="11" t="str">
        <f>IF($A701="","",IFERROR(VALUE(MID(TRIM('Template Setup'!$C$7),FIND("-",TRIM('Template Setup'!$C$7))+1,10)),0))</f>
        <v/>
      </c>
      <c r="P701" s="11" t="str">
        <f>IF($A701="","",IFERROR(VALUE(MID(TRIM('Template Setup'!$C$8),FIND("-",TRIM('Template Setup'!$C$8))+1,10)),0))</f>
        <v/>
      </c>
      <c r="Q701" s="9" t="str">
        <f>IF($A701="","",$A701&amp;"-"&amp;'Template Setup'!$C$16)</f>
        <v/>
      </c>
      <c r="R701" s="24" t="str">
        <f t="shared" si="41"/>
        <v/>
      </c>
      <c r="S701" s="24"/>
      <c r="T701" s="24" t="str">
        <f t="shared" si="42"/>
        <v/>
      </c>
      <c r="U701" s="6" t="str">
        <f t="shared" si="44"/>
        <v/>
      </c>
    </row>
    <row r="702" spans="1:21">
      <c r="A702" s="11"/>
      <c r="B702" s="11"/>
      <c r="C702" s="11"/>
      <c r="D702" s="11" t="str">
        <f>IF($A702="","",_xlfn.TEXTJOIN(", ",TRUE,IF($G702&gt;0,'Template Setup'!$C$4,""),IF($H702&gt;0,'Template Setup'!$C$5,""),IF($I702&gt;0,'Template Setup'!$C$6,""),IF($J702&gt;0,'Template Setup'!$C$7,""),IF($K702&gt;0,'Template Setup'!$C$8,"")))</f>
        <v/>
      </c>
      <c r="E702" s="6" t="str" cm="1">
        <f t="array" ref="E702">IF($A702="","",_xlfn.LET(_xlpm.sheets,CHOOSE({1,2,3,4,5},'Template Setup'!$C$4,'Template Setup'!$C$5,'Template Setup'!$C$6,'Template Setup'!$C$7,'Template Setup'!$C$8),_xlpm.nums,CHOOSE({1,2,3,4,5},$L702,$M702,$N702,$O702,$P702),_xlpm.qtys,CHOOSE({1,2,3,4,5},$G702,$H702,$I702,$J702,$K702),_xlpm.validNums,_xlfn._xlws.FILTER(_xlpm.nums,_xlpm.qtys&gt;0),_xlpm.validSheets,_xlfn._xlws.FILTER(_xlpm.sheets,_xlpm.qtys&gt;0),_xlpm.mx,IFERROR(MAX(_xlpm.validNums),0),IF(_xlpm.mx=0,"",INDEX(_xlpm.validSheets,MATCH(_xlpm.mx,_xlpm.validNums,0))&amp;" (+"&amp;$R702&amp;")")))</f>
        <v/>
      </c>
      <c r="F702" s="11" t="str">
        <f t="shared" si="43"/>
        <v/>
      </c>
      <c r="G702" s="12" t="str">
        <f ca="1">IF($A702="","",IFERROR(SUMIF(INDIRECT("'"&amp;'Template Setup'!$C$4&amp;"'!C:C"),$A702,INDIRECT("'"&amp;'Template Setup'!$C$4&amp;"'!A:A")),0))</f>
        <v/>
      </c>
      <c r="H702" s="12" t="str">
        <f ca="1">IF($A702="","",IFERROR(SUMIF(INDIRECT("'"&amp;'Template Setup'!$C$5&amp;"'!C:C"),$A702,INDIRECT("'"&amp;'Template Setup'!$C$5&amp;"'!A:A")),0))</f>
        <v/>
      </c>
      <c r="I702" s="12" t="str">
        <f ca="1">IF($A702="","",IFERROR(SUMIF(INDIRECT("'"&amp;'Template Setup'!$C$6&amp;"'!C:C"),$A702,INDIRECT("'"&amp;'Template Setup'!$C$6&amp;"'!A:A")),0))</f>
        <v/>
      </c>
      <c r="J702" s="12" t="str">
        <f ca="1">IF($A702="","",IFERROR(SUMIF(INDIRECT("'"&amp;'Template Setup'!$C$7&amp;"'!C:C"),$A702,INDIRECT("'"&amp;'Template Setup'!$C$7&amp;"'!A:A")),0))</f>
        <v/>
      </c>
      <c r="K702" s="12" t="str">
        <f ca="1">IF($A702="","",IFERROR(SUMIF(INDIRECT("'"&amp;'Template Setup'!$C$8&amp;"'!C:C"),$A702,INDIRECT("'"&amp;'Template Setup'!$C$8&amp;"'!A:A")),0))</f>
        <v/>
      </c>
      <c r="L702" s="11" t="str">
        <f>IF($A702="","",IFERROR(VALUE(MID(TRIM('Template Setup'!$C$4),FIND("-",TRIM('Template Setup'!$C$4))+1,10)),0))</f>
        <v/>
      </c>
      <c r="M702" s="11" t="str">
        <f>IF($A702="","",IFERROR(VALUE(MID(TRIM('Template Setup'!$C$5),FIND("-",TRIM('Template Setup'!$C$5))+1,10)),0))</f>
        <v/>
      </c>
      <c r="N702" s="11" t="str">
        <f>IF($A702="","",IFERROR(VALUE(MID(TRIM('Template Setup'!$C$6),FIND("-",TRIM('Template Setup'!$C$6))+1,10)),0))</f>
        <v/>
      </c>
      <c r="O702" s="11" t="str">
        <f>IF($A702="","",IFERROR(VALUE(MID(TRIM('Template Setup'!$C$7),FIND("-",TRIM('Template Setup'!$C$7))+1,10)),0))</f>
        <v/>
      </c>
      <c r="P702" s="11" t="str">
        <f>IF($A702="","",IFERROR(VALUE(MID(TRIM('Template Setup'!$C$8),FIND("-",TRIM('Template Setup'!$C$8))+1,10)),0))</f>
        <v/>
      </c>
      <c r="Q702" s="9" t="str">
        <f>IF($A702="","",$A702&amp;"-"&amp;'Template Setup'!$C$16)</f>
        <v/>
      </c>
      <c r="R702" s="24" t="str">
        <f t="shared" si="41"/>
        <v/>
      </c>
      <c r="S702" s="24"/>
      <c r="T702" s="24" t="str">
        <f t="shared" si="42"/>
        <v/>
      </c>
      <c r="U702" s="6" t="str">
        <f t="shared" si="44"/>
        <v/>
      </c>
    </row>
    <row r="703" spans="1:21">
      <c r="A703" s="11"/>
      <c r="B703" s="11"/>
      <c r="C703" s="11"/>
      <c r="D703" s="11" t="str">
        <f>IF($A703="","",_xlfn.TEXTJOIN(", ",TRUE,IF($G703&gt;0,'Template Setup'!$C$4,""),IF($H703&gt;0,'Template Setup'!$C$5,""),IF($I703&gt;0,'Template Setup'!$C$6,""),IF($J703&gt;0,'Template Setup'!$C$7,""),IF($K703&gt;0,'Template Setup'!$C$8,"")))</f>
        <v/>
      </c>
      <c r="E703" s="6" t="str" cm="1">
        <f t="array" ref="E703">IF($A703="","",_xlfn.LET(_xlpm.sheets,CHOOSE({1,2,3,4,5},'Template Setup'!$C$4,'Template Setup'!$C$5,'Template Setup'!$C$6,'Template Setup'!$C$7,'Template Setup'!$C$8),_xlpm.nums,CHOOSE({1,2,3,4,5},$L703,$M703,$N703,$O703,$P703),_xlpm.qtys,CHOOSE({1,2,3,4,5},$G703,$H703,$I703,$J703,$K703),_xlpm.validNums,_xlfn._xlws.FILTER(_xlpm.nums,_xlpm.qtys&gt;0),_xlpm.validSheets,_xlfn._xlws.FILTER(_xlpm.sheets,_xlpm.qtys&gt;0),_xlpm.mx,IFERROR(MAX(_xlpm.validNums),0),IF(_xlpm.mx=0,"",INDEX(_xlpm.validSheets,MATCH(_xlpm.mx,_xlpm.validNums,0))&amp;" (+"&amp;$R703&amp;")")))</f>
        <v/>
      </c>
      <c r="F703" s="11" t="str">
        <f t="shared" si="43"/>
        <v/>
      </c>
      <c r="G703" s="12" t="str">
        <f ca="1">IF($A703="","",IFERROR(SUMIF(INDIRECT("'"&amp;'Template Setup'!$C$4&amp;"'!C:C"),$A703,INDIRECT("'"&amp;'Template Setup'!$C$4&amp;"'!A:A")),0))</f>
        <v/>
      </c>
      <c r="H703" s="12" t="str">
        <f ca="1">IF($A703="","",IFERROR(SUMIF(INDIRECT("'"&amp;'Template Setup'!$C$5&amp;"'!C:C"),$A703,INDIRECT("'"&amp;'Template Setup'!$C$5&amp;"'!A:A")),0))</f>
        <v/>
      </c>
      <c r="I703" s="12" t="str">
        <f ca="1">IF($A703="","",IFERROR(SUMIF(INDIRECT("'"&amp;'Template Setup'!$C$6&amp;"'!C:C"),$A703,INDIRECT("'"&amp;'Template Setup'!$C$6&amp;"'!A:A")),0))</f>
        <v/>
      </c>
      <c r="J703" s="12" t="str">
        <f ca="1">IF($A703="","",IFERROR(SUMIF(INDIRECT("'"&amp;'Template Setup'!$C$7&amp;"'!C:C"),$A703,INDIRECT("'"&amp;'Template Setup'!$C$7&amp;"'!A:A")),0))</f>
        <v/>
      </c>
      <c r="K703" s="12" t="str">
        <f ca="1">IF($A703="","",IFERROR(SUMIF(INDIRECT("'"&amp;'Template Setup'!$C$8&amp;"'!C:C"),$A703,INDIRECT("'"&amp;'Template Setup'!$C$8&amp;"'!A:A")),0))</f>
        <v/>
      </c>
      <c r="L703" s="11" t="str">
        <f>IF($A703="","",IFERROR(VALUE(MID(TRIM('Template Setup'!$C$4),FIND("-",TRIM('Template Setup'!$C$4))+1,10)),0))</f>
        <v/>
      </c>
      <c r="M703" s="11" t="str">
        <f>IF($A703="","",IFERROR(VALUE(MID(TRIM('Template Setup'!$C$5),FIND("-",TRIM('Template Setup'!$C$5))+1,10)),0))</f>
        <v/>
      </c>
      <c r="N703" s="11" t="str">
        <f>IF($A703="","",IFERROR(VALUE(MID(TRIM('Template Setup'!$C$6),FIND("-",TRIM('Template Setup'!$C$6))+1,10)),0))</f>
        <v/>
      </c>
      <c r="O703" s="11" t="str">
        <f>IF($A703="","",IFERROR(VALUE(MID(TRIM('Template Setup'!$C$7),FIND("-",TRIM('Template Setup'!$C$7))+1,10)),0))</f>
        <v/>
      </c>
      <c r="P703" s="11" t="str">
        <f>IF($A703="","",IFERROR(VALUE(MID(TRIM('Template Setup'!$C$8),FIND("-",TRIM('Template Setup'!$C$8))+1,10)),0))</f>
        <v/>
      </c>
      <c r="Q703" s="9" t="str">
        <f>IF($A703="","",$A703&amp;"-"&amp;'Template Setup'!$C$16)</f>
        <v/>
      </c>
      <c r="R703" s="24" t="str">
        <f t="shared" si="41"/>
        <v/>
      </c>
      <c r="S703" s="24"/>
      <c r="T703" s="24" t="str">
        <f t="shared" si="42"/>
        <v/>
      </c>
      <c r="U703" s="6" t="str">
        <f t="shared" si="44"/>
        <v/>
      </c>
    </row>
    <row r="704" spans="1:21">
      <c r="A704" s="11"/>
      <c r="B704" s="11"/>
      <c r="C704" s="11"/>
      <c r="D704" s="11" t="str">
        <f>IF($A704="","",_xlfn.TEXTJOIN(", ",TRUE,IF($G704&gt;0,'Template Setup'!$C$4,""),IF($H704&gt;0,'Template Setup'!$C$5,""),IF($I704&gt;0,'Template Setup'!$C$6,""),IF($J704&gt;0,'Template Setup'!$C$7,""),IF($K704&gt;0,'Template Setup'!$C$8,"")))</f>
        <v/>
      </c>
      <c r="E704" s="6" t="str" cm="1">
        <f t="array" ref="E704">IF($A704="","",_xlfn.LET(_xlpm.sheets,CHOOSE({1,2,3,4,5},'Template Setup'!$C$4,'Template Setup'!$C$5,'Template Setup'!$C$6,'Template Setup'!$C$7,'Template Setup'!$C$8),_xlpm.nums,CHOOSE({1,2,3,4,5},$L704,$M704,$N704,$O704,$P704),_xlpm.qtys,CHOOSE({1,2,3,4,5},$G704,$H704,$I704,$J704,$K704),_xlpm.validNums,_xlfn._xlws.FILTER(_xlpm.nums,_xlpm.qtys&gt;0),_xlpm.validSheets,_xlfn._xlws.FILTER(_xlpm.sheets,_xlpm.qtys&gt;0),_xlpm.mx,IFERROR(MAX(_xlpm.validNums),0),IF(_xlpm.mx=0,"",INDEX(_xlpm.validSheets,MATCH(_xlpm.mx,_xlpm.validNums,0))&amp;" (+"&amp;$R704&amp;")")))</f>
        <v/>
      </c>
      <c r="F704" s="11" t="str">
        <f t="shared" si="43"/>
        <v/>
      </c>
      <c r="G704" s="12" t="str">
        <f ca="1">IF($A704="","",IFERROR(SUMIF(INDIRECT("'"&amp;'Template Setup'!$C$4&amp;"'!C:C"),$A704,INDIRECT("'"&amp;'Template Setup'!$C$4&amp;"'!A:A")),0))</f>
        <v/>
      </c>
      <c r="H704" s="12" t="str">
        <f ca="1">IF($A704="","",IFERROR(SUMIF(INDIRECT("'"&amp;'Template Setup'!$C$5&amp;"'!C:C"),$A704,INDIRECT("'"&amp;'Template Setup'!$C$5&amp;"'!A:A")),0))</f>
        <v/>
      </c>
      <c r="I704" s="12" t="str">
        <f ca="1">IF($A704="","",IFERROR(SUMIF(INDIRECT("'"&amp;'Template Setup'!$C$6&amp;"'!C:C"),$A704,INDIRECT("'"&amp;'Template Setup'!$C$6&amp;"'!A:A")),0))</f>
        <v/>
      </c>
      <c r="J704" s="12" t="str">
        <f ca="1">IF($A704="","",IFERROR(SUMIF(INDIRECT("'"&amp;'Template Setup'!$C$7&amp;"'!C:C"),$A704,INDIRECT("'"&amp;'Template Setup'!$C$7&amp;"'!A:A")),0))</f>
        <v/>
      </c>
      <c r="K704" s="12" t="str">
        <f ca="1">IF($A704="","",IFERROR(SUMIF(INDIRECT("'"&amp;'Template Setup'!$C$8&amp;"'!C:C"),$A704,INDIRECT("'"&amp;'Template Setup'!$C$8&amp;"'!A:A")),0))</f>
        <v/>
      </c>
      <c r="L704" s="11" t="str">
        <f>IF($A704="","",IFERROR(VALUE(MID(TRIM('Template Setup'!$C$4),FIND("-",TRIM('Template Setup'!$C$4))+1,10)),0))</f>
        <v/>
      </c>
      <c r="M704" s="11" t="str">
        <f>IF($A704="","",IFERROR(VALUE(MID(TRIM('Template Setup'!$C$5),FIND("-",TRIM('Template Setup'!$C$5))+1,10)),0))</f>
        <v/>
      </c>
      <c r="N704" s="11" t="str">
        <f>IF($A704="","",IFERROR(VALUE(MID(TRIM('Template Setup'!$C$6),FIND("-",TRIM('Template Setup'!$C$6))+1,10)),0))</f>
        <v/>
      </c>
      <c r="O704" s="11" t="str">
        <f>IF($A704="","",IFERROR(VALUE(MID(TRIM('Template Setup'!$C$7),FIND("-",TRIM('Template Setup'!$C$7))+1,10)),0))</f>
        <v/>
      </c>
      <c r="P704" s="11" t="str">
        <f>IF($A704="","",IFERROR(VALUE(MID(TRIM('Template Setup'!$C$8),FIND("-",TRIM('Template Setup'!$C$8))+1,10)),0))</f>
        <v/>
      </c>
      <c r="Q704" s="9" t="str">
        <f>IF($A704="","",$A704&amp;"-"&amp;'Template Setup'!$C$16)</f>
        <v/>
      </c>
      <c r="R704" s="24" t="str">
        <f t="shared" si="41"/>
        <v/>
      </c>
      <c r="S704" s="24"/>
      <c r="T704" s="24" t="str">
        <f t="shared" si="42"/>
        <v/>
      </c>
      <c r="U704" s="6" t="str">
        <f t="shared" si="44"/>
        <v/>
      </c>
    </row>
    <row r="705" spans="1:21">
      <c r="A705" s="11"/>
      <c r="B705" s="11"/>
      <c r="C705" s="11"/>
      <c r="D705" s="11" t="str">
        <f>IF($A705="","",_xlfn.TEXTJOIN(", ",TRUE,IF($G705&gt;0,'Template Setup'!$C$4,""),IF($H705&gt;0,'Template Setup'!$C$5,""),IF($I705&gt;0,'Template Setup'!$C$6,""),IF($J705&gt;0,'Template Setup'!$C$7,""),IF($K705&gt;0,'Template Setup'!$C$8,"")))</f>
        <v/>
      </c>
      <c r="E705" s="6" t="str" cm="1">
        <f t="array" ref="E705">IF($A705="","",_xlfn.LET(_xlpm.sheets,CHOOSE({1,2,3,4,5},'Template Setup'!$C$4,'Template Setup'!$C$5,'Template Setup'!$C$6,'Template Setup'!$C$7,'Template Setup'!$C$8),_xlpm.nums,CHOOSE({1,2,3,4,5},$L705,$M705,$N705,$O705,$P705),_xlpm.qtys,CHOOSE({1,2,3,4,5},$G705,$H705,$I705,$J705,$K705),_xlpm.validNums,_xlfn._xlws.FILTER(_xlpm.nums,_xlpm.qtys&gt;0),_xlpm.validSheets,_xlfn._xlws.FILTER(_xlpm.sheets,_xlpm.qtys&gt;0),_xlpm.mx,IFERROR(MAX(_xlpm.validNums),0),IF(_xlpm.mx=0,"",INDEX(_xlpm.validSheets,MATCH(_xlpm.mx,_xlpm.validNums,0))&amp;" (+"&amp;$R705&amp;")")))</f>
        <v/>
      </c>
      <c r="F705" s="11" t="str">
        <f t="shared" si="43"/>
        <v/>
      </c>
      <c r="G705" s="12" t="str">
        <f ca="1">IF($A705="","",IFERROR(SUMIF(INDIRECT("'"&amp;'Template Setup'!$C$4&amp;"'!C:C"),$A705,INDIRECT("'"&amp;'Template Setup'!$C$4&amp;"'!A:A")),0))</f>
        <v/>
      </c>
      <c r="H705" s="12" t="str">
        <f ca="1">IF($A705="","",IFERROR(SUMIF(INDIRECT("'"&amp;'Template Setup'!$C$5&amp;"'!C:C"),$A705,INDIRECT("'"&amp;'Template Setup'!$C$5&amp;"'!A:A")),0))</f>
        <v/>
      </c>
      <c r="I705" s="12" t="str">
        <f ca="1">IF($A705="","",IFERROR(SUMIF(INDIRECT("'"&amp;'Template Setup'!$C$6&amp;"'!C:C"),$A705,INDIRECT("'"&amp;'Template Setup'!$C$6&amp;"'!A:A")),0))</f>
        <v/>
      </c>
      <c r="J705" s="12" t="str">
        <f ca="1">IF($A705="","",IFERROR(SUMIF(INDIRECT("'"&amp;'Template Setup'!$C$7&amp;"'!C:C"),$A705,INDIRECT("'"&amp;'Template Setup'!$C$7&amp;"'!A:A")),0))</f>
        <v/>
      </c>
      <c r="K705" s="12" t="str">
        <f ca="1">IF($A705="","",IFERROR(SUMIF(INDIRECT("'"&amp;'Template Setup'!$C$8&amp;"'!C:C"),$A705,INDIRECT("'"&amp;'Template Setup'!$C$8&amp;"'!A:A")),0))</f>
        <v/>
      </c>
      <c r="L705" s="11" t="str">
        <f>IF($A705="","",IFERROR(VALUE(MID(TRIM('Template Setup'!$C$4),FIND("-",TRIM('Template Setup'!$C$4))+1,10)),0))</f>
        <v/>
      </c>
      <c r="M705" s="11" t="str">
        <f>IF($A705="","",IFERROR(VALUE(MID(TRIM('Template Setup'!$C$5),FIND("-",TRIM('Template Setup'!$C$5))+1,10)),0))</f>
        <v/>
      </c>
      <c r="N705" s="11" t="str">
        <f>IF($A705="","",IFERROR(VALUE(MID(TRIM('Template Setup'!$C$6),FIND("-",TRIM('Template Setup'!$C$6))+1,10)),0))</f>
        <v/>
      </c>
      <c r="O705" s="11" t="str">
        <f>IF($A705="","",IFERROR(VALUE(MID(TRIM('Template Setup'!$C$7),FIND("-",TRIM('Template Setup'!$C$7))+1,10)),0))</f>
        <v/>
      </c>
      <c r="P705" s="11" t="str">
        <f>IF($A705="","",IFERROR(VALUE(MID(TRIM('Template Setup'!$C$8),FIND("-",TRIM('Template Setup'!$C$8))+1,10)),0))</f>
        <v/>
      </c>
      <c r="Q705" s="9" t="str">
        <f>IF($A705="","",$A705&amp;"-"&amp;'Template Setup'!$C$16)</f>
        <v/>
      </c>
      <c r="R705" s="24" t="str">
        <f t="shared" si="41"/>
        <v/>
      </c>
      <c r="S705" s="24"/>
      <c r="T705" s="24" t="str">
        <f t="shared" si="42"/>
        <v/>
      </c>
      <c r="U705" s="6" t="str">
        <f t="shared" si="44"/>
        <v/>
      </c>
    </row>
    <row r="706" spans="1:21">
      <c r="A706" s="11"/>
      <c r="B706" s="11"/>
      <c r="C706" s="11"/>
      <c r="D706" s="11" t="str">
        <f>IF($A706="","",_xlfn.TEXTJOIN(", ",TRUE,IF($G706&gt;0,'Template Setup'!$C$4,""),IF($H706&gt;0,'Template Setup'!$C$5,""),IF($I706&gt;0,'Template Setup'!$C$6,""),IF($J706&gt;0,'Template Setup'!$C$7,""),IF($K706&gt;0,'Template Setup'!$C$8,"")))</f>
        <v/>
      </c>
      <c r="E706" s="6" t="str" cm="1">
        <f t="array" ref="E706">IF($A706="","",_xlfn.LET(_xlpm.sheets,CHOOSE({1,2,3,4,5},'Template Setup'!$C$4,'Template Setup'!$C$5,'Template Setup'!$C$6,'Template Setup'!$C$7,'Template Setup'!$C$8),_xlpm.nums,CHOOSE({1,2,3,4,5},$L706,$M706,$N706,$O706,$P706),_xlpm.qtys,CHOOSE({1,2,3,4,5},$G706,$H706,$I706,$J706,$K706),_xlpm.validNums,_xlfn._xlws.FILTER(_xlpm.nums,_xlpm.qtys&gt;0),_xlpm.validSheets,_xlfn._xlws.FILTER(_xlpm.sheets,_xlpm.qtys&gt;0),_xlpm.mx,IFERROR(MAX(_xlpm.validNums),0),IF(_xlpm.mx=0,"",INDEX(_xlpm.validSheets,MATCH(_xlpm.mx,_xlpm.validNums,0))&amp;" (+"&amp;$R706&amp;")")))</f>
        <v/>
      </c>
      <c r="F706" s="11" t="str">
        <f t="shared" si="43"/>
        <v/>
      </c>
      <c r="G706" s="12" t="str">
        <f ca="1">IF($A706="","",IFERROR(SUMIF(INDIRECT("'"&amp;'Template Setup'!$C$4&amp;"'!C:C"),$A706,INDIRECT("'"&amp;'Template Setup'!$C$4&amp;"'!A:A")),0))</f>
        <v/>
      </c>
      <c r="H706" s="12" t="str">
        <f ca="1">IF($A706="","",IFERROR(SUMIF(INDIRECT("'"&amp;'Template Setup'!$C$5&amp;"'!C:C"),$A706,INDIRECT("'"&amp;'Template Setup'!$C$5&amp;"'!A:A")),0))</f>
        <v/>
      </c>
      <c r="I706" s="12" t="str">
        <f ca="1">IF($A706="","",IFERROR(SUMIF(INDIRECT("'"&amp;'Template Setup'!$C$6&amp;"'!C:C"),$A706,INDIRECT("'"&amp;'Template Setup'!$C$6&amp;"'!A:A")),0))</f>
        <v/>
      </c>
      <c r="J706" s="12" t="str">
        <f ca="1">IF($A706="","",IFERROR(SUMIF(INDIRECT("'"&amp;'Template Setup'!$C$7&amp;"'!C:C"),$A706,INDIRECT("'"&amp;'Template Setup'!$C$7&amp;"'!A:A")),0))</f>
        <v/>
      </c>
      <c r="K706" s="12" t="str">
        <f ca="1">IF($A706="","",IFERROR(SUMIF(INDIRECT("'"&amp;'Template Setup'!$C$8&amp;"'!C:C"),$A706,INDIRECT("'"&amp;'Template Setup'!$C$8&amp;"'!A:A")),0))</f>
        <v/>
      </c>
      <c r="L706" s="11" t="str">
        <f>IF($A706="","",IFERROR(VALUE(MID(TRIM('Template Setup'!$C$4),FIND("-",TRIM('Template Setup'!$C$4))+1,10)),0))</f>
        <v/>
      </c>
      <c r="M706" s="11" t="str">
        <f>IF($A706="","",IFERROR(VALUE(MID(TRIM('Template Setup'!$C$5),FIND("-",TRIM('Template Setup'!$C$5))+1,10)),0))</f>
        <v/>
      </c>
      <c r="N706" s="11" t="str">
        <f>IF($A706="","",IFERROR(VALUE(MID(TRIM('Template Setup'!$C$6),FIND("-",TRIM('Template Setup'!$C$6))+1,10)),0))</f>
        <v/>
      </c>
      <c r="O706" s="11" t="str">
        <f>IF($A706="","",IFERROR(VALUE(MID(TRIM('Template Setup'!$C$7),FIND("-",TRIM('Template Setup'!$C$7))+1,10)),0))</f>
        <v/>
      </c>
      <c r="P706" s="11" t="str">
        <f>IF($A706="","",IFERROR(VALUE(MID(TRIM('Template Setup'!$C$8),FIND("-",TRIM('Template Setup'!$C$8))+1,10)),0))</f>
        <v/>
      </c>
      <c r="Q706" s="9" t="str">
        <f>IF($A706="","",$A706&amp;"-"&amp;'Template Setup'!$C$16)</f>
        <v/>
      </c>
      <c r="R706" s="24" t="str">
        <f t="shared" ref="R706:R769" si="45">IF($A706="","",SUM($G706:$K706))</f>
        <v/>
      </c>
      <c r="S706" s="24"/>
      <c r="T706" s="24" t="str">
        <f t="shared" ref="T706:T769" si="46">IF($A706="","",IF(ISBLANK(S706),"",N(R706)+S706))</f>
        <v/>
      </c>
      <c r="U706" s="6" t="str">
        <f t="shared" si="44"/>
        <v/>
      </c>
    </row>
    <row r="707" spans="1:21">
      <c r="A707" s="11"/>
      <c r="B707" s="11"/>
      <c r="C707" s="11"/>
      <c r="D707" s="11" t="str">
        <f>IF($A707="","",_xlfn.TEXTJOIN(", ",TRUE,IF($G707&gt;0,'Template Setup'!$C$4,""),IF($H707&gt;0,'Template Setup'!$C$5,""),IF($I707&gt;0,'Template Setup'!$C$6,""),IF($J707&gt;0,'Template Setup'!$C$7,""),IF($K707&gt;0,'Template Setup'!$C$8,"")))</f>
        <v/>
      </c>
      <c r="E707" s="6" t="str" cm="1">
        <f t="array" ref="E707">IF($A707="","",_xlfn.LET(_xlpm.sheets,CHOOSE({1,2,3,4,5},'Template Setup'!$C$4,'Template Setup'!$C$5,'Template Setup'!$C$6,'Template Setup'!$C$7,'Template Setup'!$C$8),_xlpm.nums,CHOOSE({1,2,3,4,5},$L707,$M707,$N707,$O707,$P707),_xlpm.qtys,CHOOSE({1,2,3,4,5},$G707,$H707,$I707,$J707,$K707),_xlpm.validNums,_xlfn._xlws.FILTER(_xlpm.nums,_xlpm.qtys&gt;0),_xlpm.validSheets,_xlfn._xlws.FILTER(_xlpm.sheets,_xlpm.qtys&gt;0),_xlpm.mx,IFERROR(MAX(_xlpm.validNums),0),IF(_xlpm.mx=0,"",INDEX(_xlpm.validSheets,MATCH(_xlpm.mx,_xlpm.validNums,0))&amp;" (+"&amp;$R707&amp;")")))</f>
        <v/>
      </c>
      <c r="F707" s="11" t="str">
        <f t="shared" ref="F707:F770" si="47">IF($E707="","","PACP-"&amp;LEFT($E707,FIND("-",$E707)-1)&amp;"-000"&amp;MID($E707,FIND("-",$E707)+1,3))</f>
        <v/>
      </c>
      <c r="G707" s="12" t="str">
        <f ca="1">IF($A707="","",IFERROR(SUMIF(INDIRECT("'"&amp;'Template Setup'!$C$4&amp;"'!C:C"),$A707,INDIRECT("'"&amp;'Template Setup'!$C$4&amp;"'!A:A")),0))</f>
        <v/>
      </c>
      <c r="H707" s="12" t="str">
        <f ca="1">IF($A707="","",IFERROR(SUMIF(INDIRECT("'"&amp;'Template Setup'!$C$5&amp;"'!C:C"),$A707,INDIRECT("'"&amp;'Template Setup'!$C$5&amp;"'!A:A")),0))</f>
        <v/>
      </c>
      <c r="I707" s="12" t="str">
        <f ca="1">IF($A707="","",IFERROR(SUMIF(INDIRECT("'"&amp;'Template Setup'!$C$6&amp;"'!C:C"),$A707,INDIRECT("'"&amp;'Template Setup'!$C$6&amp;"'!A:A")),0))</f>
        <v/>
      </c>
      <c r="J707" s="12" t="str">
        <f ca="1">IF($A707="","",IFERROR(SUMIF(INDIRECT("'"&amp;'Template Setup'!$C$7&amp;"'!C:C"),$A707,INDIRECT("'"&amp;'Template Setup'!$C$7&amp;"'!A:A")),0))</f>
        <v/>
      </c>
      <c r="K707" s="12" t="str">
        <f ca="1">IF($A707="","",IFERROR(SUMIF(INDIRECT("'"&amp;'Template Setup'!$C$8&amp;"'!C:C"),$A707,INDIRECT("'"&amp;'Template Setup'!$C$8&amp;"'!A:A")),0))</f>
        <v/>
      </c>
      <c r="L707" s="11" t="str">
        <f>IF($A707="","",IFERROR(VALUE(MID(TRIM('Template Setup'!$C$4),FIND("-",TRIM('Template Setup'!$C$4))+1,10)),0))</f>
        <v/>
      </c>
      <c r="M707" s="11" t="str">
        <f>IF($A707="","",IFERROR(VALUE(MID(TRIM('Template Setup'!$C$5),FIND("-",TRIM('Template Setup'!$C$5))+1,10)),0))</f>
        <v/>
      </c>
      <c r="N707" s="11" t="str">
        <f>IF($A707="","",IFERROR(VALUE(MID(TRIM('Template Setup'!$C$6),FIND("-",TRIM('Template Setup'!$C$6))+1,10)),0))</f>
        <v/>
      </c>
      <c r="O707" s="11" t="str">
        <f>IF($A707="","",IFERROR(VALUE(MID(TRIM('Template Setup'!$C$7),FIND("-",TRIM('Template Setup'!$C$7))+1,10)),0))</f>
        <v/>
      </c>
      <c r="P707" s="11" t="str">
        <f>IF($A707="","",IFERROR(VALUE(MID(TRIM('Template Setup'!$C$8),FIND("-",TRIM('Template Setup'!$C$8))+1,10)),0))</f>
        <v/>
      </c>
      <c r="Q707" s="9" t="str">
        <f>IF($A707="","",$A707&amp;"-"&amp;'Template Setup'!$C$16)</f>
        <v/>
      </c>
      <c r="R707" s="24" t="str">
        <f t="shared" si="45"/>
        <v/>
      </c>
      <c r="S707" s="24"/>
      <c r="T707" s="24" t="str">
        <f t="shared" si="46"/>
        <v/>
      </c>
      <c r="U707" s="6" t="str">
        <f t="shared" si="44"/>
        <v/>
      </c>
    </row>
    <row r="708" spans="1:21">
      <c r="A708" s="11"/>
      <c r="B708" s="11"/>
      <c r="C708" s="11"/>
      <c r="D708" s="11" t="str">
        <f>IF($A708="","",_xlfn.TEXTJOIN(", ",TRUE,IF($G708&gt;0,'Template Setup'!$C$4,""),IF($H708&gt;0,'Template Setup'!$C$5,""),IF($I708&gt;0,'Template Setup'!$C$6,""),IF($J708&gt;0,'Template Setup'!$C$7,""),IF($K708&gt;0,'Template Setup'!$C$8,"")))</f>
        <v/>
      </c>
      <c r="E708" s="6" t="str" cm="1">
        <f t="array" ref="E708">IF($A708="","",_xlfn.LET(_xlpm.sheets,CHOOSE({1,2,3,4,5},'Template Setup'!$C$4,'Template Setup'!$C$5,'Template Setup'!$C$6,'Template Setup'!$C$7,'Template Setup'!$C$8),_xlpm.nums,CHOOSE({1,2,3,4,5},$L708,$M708,$N708,$O708,$P708),_xlpm.qtys,CHOOSE({1,2,3,4,5},$G708,$H708,$I708,$J708,$K708),_xlpm.validNums,_xlfn._xlws.FILTER(_xlpm.nums,_xlpm.qtys&gt;0),_xlpm.validSheets,_xlfn._xlws.FILTER(_xlpm.sheets,_xlpm.qtys&gt;0),_xlpm.mx,IFERROR(MAX(_xlpm.validNums),0),IF(_xlpm.mx=0,"",INDEX(_xlpm.validSheets,MATCH(_xlpm.mx,_xlpm.validNums,0))&amp;" (+"&amp;$R708&amp;")")))</f>
        <v/>
      </c>
      <c r="F708" s="11" t="str">
        <f t="shared" si="47"/>
        <v/>
      </c>
      <c r="G708" s="12" t="str">
        <f ca="1">IF($A708="","",IFERROR(SUMIF(INDIRECT("'"&amp;'Template Setup'!$C$4&amp;"'!C:C"),$A708,INDIRECT("'"&amp;'Template Setup'!$C$4&amp;"'!A:A")),0))</f>
        <v/>
      </c>
      <c r="H708" s="12" t="str">
        <f ca="1">IF($A708="","",IFERROR(SUMIF(INDIRECT("'"&amp;'Template Setup'!$C$5&amp;"'!C:C"),$A708,INDIRECT("'"&amp;'Template Setup'!$C$5&amp;"'!A:A")),0))</f>
        <v/>
      </c>
      <c r="I708" s="12" t="str">
        <f ca="1">IF($A708="","",IFERROR(SUMIF(INDIRECT("'"&amp;'Template Setup'!$C$6&amp;"'!C:C"),$A708,INDIRECT("'"&amp;'Template Setup'!$C$6&amp;"'!A:A")),0))</f>
        <v/>
      </c>
      <c r="J708" s="12" t="str">
        <f ca="1">IF($A708="","",IFERROR(SUMIF(INDIRECT("'"&amp;'Template Setup'!$C$7&amp;"'!C:C"),$A708,INDIRECT("'"&amp;'Template Setup'!$C$7&amp;"'!A:A")),0))</f>
        <v/>
      </c>
      <c r="K708" s="12" t="str">
        <f ca="1">IF($A708="","",IFERROR(SUMIF(INDIRECT("'"&amp;'Template Setup'!$C$8&amp;"'!C:C"),$A708,INDIRECT("'"&amp;'Template Setup'!$C$8&amp;"'!A:A")),0))</f>
        <v/>
      </c>
      <c r="L708" s="11" t="str">
        <f>IF($A708="","",IFERROR(VALUE(MID(TRIM('Template Setup'!$C$4),FIND("-",TRIM('Template Setup'!$C$4))+1,10)),0))</f>
        <v/>
      </c>
      <c r="M708" s="11" t="str">
        <f>IF($A708="","",IFERROR(VALUE(MID(TRIM('Template Setup'!$C$5),FIND("-",TRIM('Template Setup'!$C$5))+1,10)),0))</f>
        <v/>
      </c>
      <c r="N708" s="11" t="str">
        <f>IF($A708="","",IFERROR(VALUE(MID(TRIM('Template Setup'!$C$6),FIND("-",TRIM('Template Setup'!$C$6))+1,10)),0))</f>
        <v/>
      </c>
      <c r="O708" s="11" t="str">
        <f>IF($A708="","",IFERROR(VALUE(MID(TRIM('Template Setup'!$C$7),FIND("-",TRIM('Template Setup'!$C$7))+1,10)),0))</f>
        <v/>
      </c>
      <c r="P708" s="11" t="str">
        <f>IF($A708="","",IFERROR(VALUE(MID(TRIM('Template Setup'!$C$8),FIND("-",TRIM('Template Setup'!$C$8))+1,10)),0))</f>
        <v/>
      </c>
      <c r="Q708" s="9" t="str">
        <f>IF($A708="","",$A708&amp;"-"&amp;'Template Setup'!$C$16)</f>
        <v/>
      </c>
      <c r="R708" s="24" t="str">
        <f t="shared" si="45"/>
        <v/>
      </c>
      <c r="S708" s="24"/>
      <c r="T708" s="24" t="str">
        <f t="shared" si="46"/>
        <v/>
      </c>
      <c r="U708" s="6" t="str">
        <f t="shared" si="44"/>
        <v/>
      </c>
    </row>
    <row r="709" spans="1:21">
      <c r="A709" s="11"/>
      <c r="B709" s="11"/>
      <c r="C709" s="11"/>
      <c r="D709" s="11" t="str">
        <f>IF($A709="","",_xlfn.TEXTJOIN(", ",TRUE,IF($G709&gt;0,'Template Setup'!$C$4,""),IF($H709&gt;0,'Template Setup'!$C$5,""),IF($I709&gt;0,'Template Setup'!$C$6,""),IF($J709&gt;0,'Template Setup'!$C$7,""),IF($K709&gt;0,'Template Setup'!$C$8,"")))</f>
        <v/>
      </c>
      <c r="E709" s="6" t="str" cm="1">
        <f t="array" ref="E709">IF($A709="","",_xlfn.LET(_xlpm.sheets,CHOOSE({1,2,3,4,5},'Template Setup'!$C$4,'Template Setup'!$C$5,'Template Setup'!$C$6,'Template Setup'!$C$7,'Template Setup'!$C$8),_xlpm.nums,CHOOSE({1,2,3,4,5},$L709,$M709,$N709,$O709,$P709),_xlpm.qtys,CHOOSE({1,2,3,4,5},$G709,$H709,$I709,$J709,$K709),_xlpm.validNums,_xlfn._xlws.FILTER(_xlpm.nums,_xlpm.qtys&gt;0),_xlpm.validSheets,_xlfn._xlws.FILTER(_xlpm.sheets,_xlpm.qtys&gt;0),_xlpm.mx,IFERROR(MAX(_xlpm.validNums),0),IF(_xlpm.mx=0,"",INDEX(_xlpm.validSheets,MATCH(_xlpm.mx,_xlpm.validNums,0))&amp;" (+"&amp;$R709&amp;")")))</f>
        <v/>
      </c>
      <c r="F709" s="11" t="str">
        <f t="shared" si="47"/>
        <v/>
      </c>
      <c r="G709" s="12" t="str">
        <f ca="1">IF($A709="","",IFERROR(SUMIF(INDIRECT("'"&amp;'Template Setup'!$C$4&amp;"'!C:C"),$A709,INDIRECT("'"&amp;'Template Setup'!$C$4&amp;"'!A:A")),0))</f>
        <v/>
      </c>
      <c r="H709" s="12" t="str">
        <f ca="1">IF($A709="","",IFERROR(SUMIF(INDIRECT("'"&amp;'Template Setup'!$C$5&amp;"'!C:C"),$A709,INDIRECT("'"&amp;'Template Setup'!$C$5&amp;"'!A:A")),0))</f>
        <v/>
      </c>
      <c r="I709" s="12" t="str">
        <f ca="1">IF($A709="","",IFERROR(SUMIF(INDIRECT("'"&amp;'Template Setup'!$C$6&amp;"'!C:C"),$A709,INDIRECT("'"&amp;'Template Setup'!$C$6&amp;"'!A:A")),0))</f>
        <v/>
      </c>
      <c r="J709" s="12" t="str">
        <f ca="1">IF($A709="","",IFERROR(SUMIF(INDIRECT("'"&amp;'Template Setup'!$C$7&amp;"'!C:C"),$A709,INDIRECT("'"&amp;'Template Setup'!$C$7&amp;"'!A:A")),0))</f>
        <v/>
      </c>
      <c r="K709" s="12" t="str">
        <f ca="1">IF($A709="","",IFERROR(SUMIF(INDIRECT("'"&amp;'Template Setup'!$C$8&amp;"'!C:C"),$A709,INDIRECT("'"&amp;'Template Setup'!$C$8&amp;"'!A:A")),0))</f>
        <v/>
      </c>
      <c r="L709" s="11" t="str">
        <f>IF($A709="","",IFERROR(VALUE(MID(TRIM('Template Setup'!$C$4),FIND("-",TRIM('Template Setup'!$C$4))+1,10)),0))</f>
        <v/>
      </c>
      <c r="M709" s="11" t="str">
        <f>IF($A709="","",IFERROR(VALUE(MID(TRIM('Template Setup'!$C$5),FIND("-",TRIM('Template Setup'!$C$5))+1,10)),0))</f>
        <v/>
      </c>
      <c r="N709" s="11" t="str">
        <f>IF($A709="","",IFERROR(VALUE(MID(TRIM('Template Setup'!$C$6),FIND("-",TRIM('Template Setup'!$C$6))+1,10)),0))</f>
        <v/>
      </c>
      <c r="O709" s="11" t="str">
        <f>IF($A709="","",IFERROR(VALUE(MID(TRIM('Template Setup'!$C$7),FIND("-",TRIM('Template Setup'!$C$7))+1,10)),0))</f>
        <v/>
      </c>
      <c r="P709" s="11" t="str">
        <f>IF($A709="","",IFERROR(VALUE(MID(TRIM('Template Setup'!$C$8),FIND("-",TRIM('Template Setup'!$C$8))+1,10)),0))</f>
        <v/>
      </c>
      <c r="Q709" s="9" t="str">
        <f>IF($A709="","",$A709&amp;"-"&amp;'Template Setup'!$C$16)</f>
        <v/>
      </c>
      <c r="R709" s="24" t="str">
        <f t="shared" si="45"/>
        <v/>
      </c>
      <c r="S709" s="24"/>
      <c r="T709" s="24" t="str">
        <f t="shared" si="46"/>
        <v/>
      </c>
      <c r="U709" s="6" t="str">
        <f t="shared" si="44"/>
        <v/>
      </c>
    </row>
    <row r="710" spans="1:21">
      <c r="A710" s="11"/>
      <c r="B710" s="11"/>
      <c r="C710" s="11"/>
      <c r="D710" s="11" t="str">
        <f>IF($A710="","",_xlfn.TEXTJOIN(", ",TRUE,IF($G710&gt;0,'Template Setup'!$C$4,""),IF($H710&gt;0,'Template Setup'!$C$5,""),IF($I710&gt;0,'Template Setup'!$C$6,""),IF($J710&gt;0,'Template Setup'!$C$7,""),IF($K710&gt;0,'Template Setup'!$C$8,"")))</f>
        <v/>
      </c>
      <c r="E710" s="6" t="str" cm="1">
        <f t="array" ref="E710">IF($A710="","",_xlfn.LET(_xlpm.sheets,CHOOSE({1,2,3,4,5},'Template Setup'!$C$4,'Template Setup'!$C$5,'Template Setup'!$C$6,'Template Setup'!$C$7,'Template Setup'!$C$8),_xlpm.nums,CHOOSE({1,2,3,4,5},$L710,$M710,$N710,$O710,$P710),_xlpm.qtys,CHOOSE({1,2,3,4,5},$G710,$H710,$I710,$J710,$K710),_xlpm.validNums,_xlfn._xlws.FILTER(_xlpm.nums,_xlpm.qtys&gt;0),_xlpm.validSheets,_xlfn._xlws.FILTER(_xlpm.sheets,_xlpm.qtys&gt;0),_xlpm.mx,IFERROR(MAX(_xlpm.validNums),0),IF(_xlpm.mx=0,"",INDEX(_xlpm.validSheets,MATCH(_xlpm.mx,_xlpm.validNums,0))&amp;" (+"&amp;$R710&amp;")")))</f>
        <v/>
      </c>
      <c r="F710" s="11" t="str">
        <f t="shared" si="47"/>
        <v/>
      </c>
      <c r="G710" s="12" t="str">
        <f ca="1">IF($A710="","",IFERROR(SUMIF(INDIRECT("'"&amp;'Template Setup'!$C$4&amp;"'!C:C"),$A710,INDIRECT("'"&amp;'Template Setup'!$C$4&amp;"'!A:A")),0))</f>
        <v/>
      </c>
      <c r="H710" s="12" t="str">
        <f ca="1">IF($A710="","",IFERROR(SUMIF(INDIRECT("'"&amp;'Template Setup'!$C$5&amp;"'!C:C"),$A710,INDIRECT("'"&amp;'Template Setup'!$C$5&amp;"'!A:A")),0))</f>
        <v/>
      </c>
      <c r="I710" s="12" t="str">
        <f ca="1">IF($A710="","",IFERROR(SUMIF(INDIRECT("'"&amp;'Template Setup'!$C$6&amp;"'!C:C"),$A710,INDIRECT("'"&amp;'Template Setup'!$C$6&amp;"'!A:A")),0))</f>
        <v/>
      </c>
      <c r="J710" s="12" t="str">
        <f ca="1">IF($A710="","",IFERROR(SUMIF(INDIRECT("'"&amp;'Template Setup'!$C$7&amp;"'!C:C"),$A710,INDIRECT("'"&amp;'Template Setup'!$C$7&amp;"'!A:A")),0))</f>
        <v/>
      </c>
      <c r="K710" s="12" t="str">
        <f ca="1">IF($A710="","",IFERROR(SUMIF(INDIRECT("'"&amp;'Template Setup'!$C$8&amp;"'!C:C"),$A710,INDIRECT("'"&amp;'Template Setup'!$C$8&amp;"'!A:A")),0))</f>
        <v/>
      </c>
      <c r="L710" s="11" t="str">
        <f>IF($A710="","",IFERROR(VALUE(MID(TRIM('Template Setup'!$C$4),FIND("-",TRIM('Template Setup'!$C$4))+1,10)),0))</f>
        <v/>
      </c>
      <c r="M710" s="11" t="str">
        <f>IF($A710="","",IFERROR(VALUE(MID(TRIM('Template Setup'!$C$5),FIND("-",TRIM('Template Setup'!$C$5))+1,10)),0))</f>
        <v/>
      </c>
      <c r="N710" s="11" t="str">
        <f>IF($A710="","",IFERROR(VALUE(MID(TRIM('Template Setup'!$C$6),FIND("-",TRIM('Template Setup'!$C$6))+1,10)),0))</f>
        <v/>
      </c>
      <c r="O710" s="11" t="str">
        <f>IF($A710="","",IFERROR(VALUE(MID(TRIM('Template Setup'!$C$7),FIND("-",TRIM('Template Setup'!$C$7))+1,10)),0))</f>
        <v/>
      </c>
      <c r="P710" s="11" t="str">
        <f>IF($A710="","",IFERROR(VALUE(MID(TRIM('Template Setup'!$C$8),FIND("-",TRIM('Template Setup'!$C$8))+1,10)),0))</f>
        <v/>
      </c>
      <c r="Q710" s="9" t="str">
        <f>IF($A710="","",$A710&amp;"-"&amp;'Template Setup'!$C$16)</f>
        <v/>
      </c>
      <c r="R710" s="24" t="str">
        <f t="shared" si="45"/>
        <v/>
      </c>
      <c r="S710" s="24"/>
      <c r="T710" s="24" t="str">
        <f t="shared" si="46"/>
        <v/>
      </c>
      <c r="U710" s="6" t="str">
        <f t="shared" si="44"/>
        <v/>
      </c>
    </row>
    <row r="711" spans="1:21">
      <c r="A711" s="11"/>
      <c r="B711" s="11"/>
      <c r="C711" s="11"/>
      <c r="D711" s="11" t="str">
        <f>IF($A711="","",_xlfn.TEXTJOIN(", ",TRUE,IF($G711&gt;0,'Template Setup'!$C$4,""),IF($H711&gt;0,'Template Setup'!$C$5,""),IF($I711&gt;0,'Template Setup'!$C$6,""),IF($J711&gt;0,'Template Setup'!$C$7,""),IF($K711&gt;0,'Template Setup'!$C$8,"")))</f>
        <v/>
      </c>
      <c r="E711" s="6" t="str" cm="1">
        <f t="array" ref="E711">IF($A711="","",_xlfn.LET(_xlpm.sheets,CHOOSE({1,2,3,4,5},'Template Setup'!$C$4,'Template Setup'!$C$5,'Template Setup'!$C$6,'Template Setup'!$C$7,'Template Setup'!$C$8),_xlpm.nums,CHOOSE({1,2,3,4,5},$L711,$M711,$N711,$O711,$P711),_xlpm.qtys,CHOOSE({1,2,3,4,5},$G711,$H711,$I711,$J711,$K711),_xlpm.validNums,_xlfn._xlws.FILTER(_xlpm.nums,_xlpm.qtys&gt;0),_xlpm.validSheets,_xlfn._xlws.FILTER(_xlpm.sheets,_xlpm.qtys&gt;0),_xlpm.mx,IFERROR(MAX(_xlpm.validNums),0),IF(_xlpm.mx=0,"",INDEX(_xlpm.validSheets,MATCH(_xlpm.mx,_xlpm.validNums,0))&amp;" (+"&amp;$R711&amp;")")))</f>
        <v/>
      </c>
      <c r="F711" s="11" t="str">
        <f t="shared" si="47"/>
        <v/>
      </c>
      <c r="G711" s="12" t="str">
        <f ca="1">IF($A711="","",IFERROR(SUMIF(INDIRECT("'"&amp;'Template Setup'!$C$4&amp;"'!C:C"),$A711,INDIRECT("'"&amp;'Template Setup'!$C$4&amp;"'!A:A")),0))</f>
        <v/>
      </c>
      <c r="H711" s="12" t="str">
        <f ca="1">IF($A711="","",IFERROR(SUMIF(INDIRECT("'"&amp;'Template Setup'!$C$5&amp;"'!C:C"),$A711,INDIRECT("'"&amp;'Template Setup'!$C$5&amp;"'!A:A")),0))</f>
        <v/>
      </c>
      <c r="I711" s="12" t="str">
        <f ca="1">IF($A711="","",IFERROR(SUMIF(INDIRECT("'"&amp;'Template Setup'!$C$6&amp;"'!C:C"),$A711,INDIRECT("'"&amp;'Template Setup'!$C$6&amp;"'!A:A")),0))</f>
        <v/>
      </c>
      <c r="J711" s="12" t="str">
        <f ca="1">IF($A711="","",IFERROR(SUMIF(INDIRECT("'"&amp;'Template Setup'!$C$7&amp;"'!C:C"),$A711,INDIRECT("'"&amp;'Template Setup'!$C$7&amp;"'!A:A")),0))</f>
        <v/>
      </c>
      <c r="K711" s="12" t="str">
        <f ca="1">IF($A711="","",IFERROR(SUMIF(INDIRECT("'"&amp;'Template Setup'!$C$8&amp;"'!C:C"),$A711,INDIRECT("'"&amp;'Template Setup'!$C$8&amp;"'!A:A")),0))</f>
        <v/>
      </c>
      <c r="L711" s="11" t="str">
        <f>IF($A711="","",IFERROR(VALUE(MID(TRIM('Template Setup'!$C$4),FIND("-",TRIM('Template Setup'!$C$4))+1,10)),0))</f>
        <v/>
      </c>
      <c r="M711" s="11" t="str">
        <f>IF($A711="","",IFERROR(VALUE(MID(TRIM('Template Setup'!$C$5),FIND("-",TRIM('Template Setup'!$C$5))+1,10)),0))</f>
        <v/>
      </c>
      <c r="N711" s="11" t="str">
        <f>IF($A711="","",IFERROR(VALUE(MID(TRIM('Template Setup'!$C$6),FIND("-",TRIM('Template Setup'!$C$6))+1,10)),0))</f>
        <v/>
      </c>
      <c r="O711" s="11" t="str">
        <f>IF($A711="","",IFERROR(VALUE(MID(TRIM('Template Setup'!$C$7),FIND("-",TRIM('Template Setup'!$C$7))+1,10)),0))</f>
        <v/>
      </c>
      <c r="P711" s="11" t="str">
        <f>IF($A711="","",IFERROR(VALUE(MID(TRIM('Template Setup'!$C$8),FIND("-",TRIM('Template Setup'!$C$8))+1,10)),0))</f>
        <v/>
      </c>
      <c r="Q711" s="9" t="str">
        <f>IF($A711="","",$A711&amp;"-"&amp;'Template Setup'!$C$16)</f>
        <v/>
      </c>
      <c r="R711" s="24" t="str">
        <f t="shared" si="45"/>
        <v/>
      </c>
      <c r="S711" s="24"/>
      <c r="T711" s="24" t="str">
        <f t="shared" si="46"/>
        <v/>
      </c>
      <c r="U711" s="6" t="str">
        <f t="shared" si="44"/>
        <v/>
      </c>
    </row>
    <row r="712" spans="1:21">
      <c r="A712" s="11"/>
      <c r="B712" s="11"/>
      <c r="C712" s="11"/>
      <c r="D712" s="11" t="str">
        <f>IF($A712="","",_xlfn.TEXTJOIN(", ",TRUE,IF($G712&gt;0,'Template Setup'!$C$4,""),IF($H712&gt;0,'Template Setup'!$C$5,""),IF($I712&gt;0,'Template Setup'!$C$6,""),IF($J712&gt;0,'Template Setup'!$C$7,""),IF($K712&gt;0,'Template Setup'!$C$8,"")))</f>
        <v/>
      </c>
      <c r="E712" s="6" t="str" cm="1">
        <f t="array" ref="E712">IF($A712="","",_xlfn.LET(_xlpm.sheets,CHOOSE({1,2,3,4,5},'Template Setup'!$C$4,'Template Setup'!$C$5,'Template Setup'!$C$6,'Template Setup'!$C$7,'Template Setup'!$C$8),_xlpm.nums,CHOOSE({1,2,3,4,5},$L712,$M712,$N712,$O712,$P712),_xlpm.qtys,CHOOSE({1,2,3,4,5},$G712,$H712,$I712,$J712,$K712),_xlpm.validNums,_xlfn._xlws.FILTER(_xlpm.nums,_xlpm.qtys&gt;0),_xlpm.validSheets,_xlfn._xlws.FILTER(_xlpm.sheets,_xlpm.qtys&gt;0),_xlpm.mx,IFERROR(MAX(_xlpm.validNums),0),IF(_xlpm.mx=0,"",INDEX(_xlpm.validSheets,MATCH(_xlpm.mx,_xlpm.validNums,0))&amp;" (+"&amp;$R712&amp;")")))</f>
        <v/>
      </c>
      <c r="F712" s="11" t="str">
        <f t="shared" si="47"/>
        <v/>
      </c>
      <c r="G712" s="12" t="str">
        <f ca="1">IF($A712="","",IFERROR(SUMIF(INDIRECT("'"&amp;'Template Setup'!$C$4&amp;"'!C:C"),$A712,INDIRECT("'"&amp;'Template Setup'!$C$4&amp;"'!A:A")),0))</f>
        <v/>
      </c>
      <c r="H712" s="12" t="str">
        <f ca="1">IF($A712="","",IFERROR(SUMIF(INDIRECT("'"&amp;'Template Setup'!$C$5&amp;"'!C:C"),$A712,INDIRECT("'"&amp;'Template Setup'!$C$5&amp;"'!A:A")),0))</f>
        <v/>
      </c>
      <c r="I712" s="12" t="str">
        <f ca="1">IF($A712="","",IFERROR(SUMIF(INDIRECT("'"&amp;'Template Setup'!$C$6&amp;"'!C:C"),$A712,INDIRECT("'"&amp;'Template Setup'!$C$6&amp;"'!A:A")),0))</f>
        <v/>
      </c>
      <c r="J712" s="12" t="str">
        <f ca="1">IF($A712="","",IFERROR(SUMIF(INDIRECT("'"&amp;'Template Setup'!$C$7&amp;"'!C:C"),$A712,INDIRECT("'"&amp;'Template Setup'!$C$7&amp;"'!A:A")),0))</f>
        <v/>
      </c>
      <c r="K712" s="12" t="str">
        <f ca="1">IF($A712="","",IFERROR(SUMIF(INDIRECT("'"&amp;'Template Setup'!$C$8&amp;"'!C:C"),$A712,INDIRECT("'"&amp;'Template Setup'!$C$8&amp;"'!A:A")),0))</f>
        <v/>
      </c>
      <c r="L712" s="11" t="str">
        <f>IF($A712="","",IFERROR(VALUE(MID(TRIM('Template Setup'!$C$4),FIND("-",TRIM('Template Setup'!$C$4))+1,10)),0))</f>
        <v/>
      </c>
      <c r="M712" s="11" t="str">
        <f>IF($A712="","",IFERROR(VALUE(MID(TRIM('Template Setup'!$C$5),FIND("-",TRIM('Template Setup'!$C$5))+1,10)),0))</f>
        <v/>
      </c>
      <c r="N712" s="11" t="str">
        <f>IF($A712="","",IFERROR(VALUE(MID(TRIM('Template Setup'!$C$6),FIND("-",TRIM('Template Setup'!$C$6))+1,10)),0))</f>
        <v/>
      </c>
      <c r="O712" s="11" t="str">
        <f>IF($A712="","",IFERROR(VALUE(MID(TRIM('Template Setup'!$C$7),FIND("-",TRIM('Template Setup'!$C$7))+1,10)),0))</f>
        <v/>
      </c>
      <c r="P712" s="11" t="str">
        <f>IF($A712="","",IFERROR(VALUE(MID(TRIM('Template Setup'!$C$8),FIND("-",TRIM('Template Setup'!$C$8))+1,10)),0))</f>
        <v/>
      </c>
      <c r="Q712" s="9" t="str">
        <f>IF($A712="","",$A712&amp;"-"&amp;'Template Setup'!$C$16)</f>
        <v/>
      </c>
      <c r="R712" s="24" t="str">
        <f t="shared" si="45"/>
        <v/>
      </c>
      <c r="S712" s="24"/>
      <c r="T712" s="24" t="str">
        <f t="shared" si="46"/>
        <v/>
      </c>
      <c r="U712" s="6" t="str">
        <f t="shared" si="44"/>
        <v/>
      </c>
    </row>
    <row r="713" spans="1:21">
      <c r="A713" s="11"/>
      <c r="B713" s="11"/>
      <c r="C713" s="11"/>
      <c r="D713" s="11" t="str">
        <f>IF($A713="","",_xlfn.TEXTJOIN(", ",TRUE,IF($G713&gt;0,'Template Setup'!$C$4,""),IF($H713&gt;0,'Template Setup'!$C$5,""),IF($I713&gt;0,'Template Setup'!$C$6,""),IF($J713&gt;0,'Template Setup'!$C$7,""),IF($K713&gt;0,'Template Setup'!$C$8,"")))</f>
        <v/>
      </c>
      <c r="E713" s="6" t="str" cm="1">
        <f t="array" ref="E713">IF($A713="","",_xlfn.LET(_xlpm.sheets,CHOOSE({1,2,3,4,5},'Template Setup'!$C$4,'Template Setup'!$C$5,'Template Setup'!$C$6,'Template Setup'!$C$7,'Template Setup'!$C$8),_xlpm.nums,CHOOSE({1,2,3,4,5},$L713,$M713,$N713,$O713,$P713),_xlpm.qtys,CHOOSE({1,2,3,4,5},$G713,$H713,$I713,$J713,$K713),_xlpm.validNums,_xlfn._xlws.FILTER(_xlpm.nums,_xlpm.qtys&gt;0),_xlpm.validSheets,_xlfn._xlws.FILTER(_xlpm.sheets,_xlpm.qtys&gt;0),_xlpm.mx,IFERROR(MAX(_xlpm.validNums),0),IF(_xlpm.mx=0,"",INDEX(_xlpm.validSheets,MATCH(_xlpm.mx,_xlpm.validNums,0))&amp;" (+"&amp;$R713&amp;")")))</f>
        <v/>
      </c>
      <c r="F713" s="11" t="str">
        <f t="shared" si="47"/>
        <v/>
      </c>
      <c r="G713" s="12" t="str">
        <f ca="1">IF($A713="","",IFERROR(SUMIF(INDIRECT("'"&amp;'Template Setup'!$C$4&amp;"'!C:C"),$A713,INDIRECT("'"&amp;'Template Setup'!$C$4&amp;"'!A:A")),0))</f>
        <v/>
      </c>
      <c r="H713" s="12" t="str">
        <f ca="1">IF($A713="","",IFERROR(SUMIF(INDIRECT("'"&amp;'Template Setup'!$C$5&amp;"'!C:C"),$A713,INDIRECT("'"&amp;'Template Setup'!$C$5&amp;"'!A:A")),0))</f>
        <v/>
      </c>
      <c r="I713" s="12" t="str">
        <f ca="1">IF($A713="","",IFERROR(SUMIF(INDIRECT("'"&amp;'Template Setup'!$C$6&amp;"'!C:C"),$A713,INDIRECT("'"&amp;'Template Setup'!$C$6&amp;"'!A:A")),0))</f>
        <v/>
      </c>
      <c r="J713" s="12" t="str">
        <f ca="1">IF($A713="","",IFERROR(SUMIF(INDIRECT("'"&amp;'Template Setup'!$C$7&amp;"'!C:C"),$A713,INDIRECT("'"&amp;'Template Setup'!$C$7&amp;"'!A:A")),0))</f>
        <v/>
      </c>
      <c r="K713" s="12" t="str">
        <f ca="1">IF($A713="","",IFERROR(SUMIF(INDIRECT("'"&amp;'Template Setup'!$C$8&amp;"'!C:C"),$A713,INDIRECT("'"&amp;'Template Setup'!$C$8&amp;"'!A:A")),0))</f>
        <v/>
      </c>
      <c r="L713" s="11" t="str">
        <f>IF($A713="","",IFERROR(VALUE(MID(TRIM('Template Setup'!$C$4),FIND("-",TRIM('Template Setup'!$C$4))+1,10)),0))</f>
        <v/>
      </c>
      <c r="M713" s="11" t="str">
        <f>IF($A713="","",IFERROR(VALUE(MID(TRIM('Template Setup'!$C$5),FIND("-",TRIM('Template Setup'!$C$5))+1,10)),0))</f>
        <v/>
      </c>
      <c r="N713" s="11" t="str">
        <f>IF($A713="","",IFERROR(VALUE(MID(TRIM('Template Setup'!$C$6),FIND("-",TRIM('Template Setup'!$C$6))+1,10)),0))</f>
        <v/>
      </c>
      <c r="O713" s="11" t="str">
        <f>IF($A713="","",IFERROR(VALUE(MID(TRIM('Template Setup'!$C$7),FIND("-",TRIM('Template Setup'!$C$7))+1,10)),0))</f>
        <v/>
      </c>
      <c r="P713" s="11" t="str">
        <f>IF($A713="","",IFERROR(VALUE(MID(TRIM('Template Setup'!$C$8),FIND("-",TRIM('Template Setup'!$C$8))+1,10)),0))</f>
        <v/>
      </c>
      <c r="Q713" s="9" t="str">
        <f>IF($A713="","",$A713&amp;"-"&amp;'Template Setup'!$C$16)</f>
        <v/>
      </c>
      <c r="R713" s="24" t="str">
        <f t="shared" si="45"/>
        <v/>
      </c>
      <c r="S713" s="24"/>
      <c r="T713" s="24" t="str">
        <f t="shared" si="46"/>
        <v/>
      </c>
      <c r="U713" s="6" t="str">
        <f t="shared" si="44"/>
        <v/>
      </c>
    </row>
    <row r="714" spans="1:21">
      <c r="A714" s="11"/>
      <c r="B714" s="11"/>
      <c r="C714" s="11"/>
      <c r="D714" s="11" t="str">
        <f>IF($A714="","",_xlfn.TEXTJOIN(", ",TRUE,IF($G714&gt;0,'Template Setup'!$C$4,""),IF($H714&gt;0,'Template Setup'!$C$5,""),IF($I714&gt;0,'Template Setup'!$C$6,""),IF($J714&gt;0,'Template Setup'!$C$7,""),IF($K714&gt;0,'Template Setup'!$C$8,"")))</f>
        <v/>
      </c>
      <c r="E714" s="6" t="str" cm="1">
        <f t="array" ref="E714">IF($A714="","",_xlfn.LET(_xlpm.sheets,CHOOSE({1,2,3,4,5},'Template Setup'!$C$4,'Template Setup'!$C$5,'Template Setup'!$C$6,'Template Setup'!$C$7,'Template Setup'!$C$8),_xlpm.nums,CHOOSE({1,2,3,4,5},$L714,$M714,$N714,$O714,$P714),_xlpm.qtys,CHOOSE({1,2,3,4,5},$G714,$H714,$I714,$J714,$K714),_xlpm.validNums,_xlfn._xlws.FILTER(_xlpm.nums,_xlpm.qtys&gt;0),_xlpm.validSheets,_xlfn._xlws.FILTER(_xlpm.sheets,_xlpm.qtys&gt;0),_xlpm.mx,IFERROR(MAX(_xlpm.validNums),0),IF(_xlpm.mx=0,"",INDEX(_xlpm.validSheets,MATCH(_xlpm.mx,_xlpm.validNums,0))&amp;" (+"&amp;$R714&amp;")")))</f>
        <v/>
      </c>
      <c r="F714" s="11" t="str">
        <f t="shared" si="47"/>
        <v/>
      </c>
      <c r="G714" s="12" t="str">
        <f ca="1">IF($A714="","",IFERROR(SUMIF(INDIRECT("'"&amp;'Template Setup'!$C$4&amp;"'!C:C"),$A714,INDIRECT("'"&amp;'Template Setup'!$C$4&amp;"'!A:A")),0))</f>
        <v/>
      </c>
      <c r="H714" s="12" t="str">
        <f ca="1">IF($A714="","",IFERROR(SUMIF(INDIRECT("'"&amp;'Template Setup'!$C$5&amp;"'!C:C"),$A714,INDIRECT("'"&amp;'Template Setup'!$C$5&amp;"'!A:A")),0))</f>
        <v/>
      </c>
      <c r="I714" s="12" t="str">
        <f ca="1">IF($A714="","",IFERROR(SUMIF(INDIRECT("'"&amp;'Template Setup'!$C$6&amp;"'!C:C"),$A714,INDIRECT("'"&amp;'Template Setup'!$C$6&amp;"'!A:A")),0))</f>
        <v/>
      </c>
      <c r="J714" s="12" t="str">
        <f ca="1">IF($A714="","",IFERROR(SUMIF(INDIRECT("'"&amp;'Template Setup'!$C$7&amp;"'!C:C"),$A714,INDIRECT("'"&amp;'Template Setup'!$C$7&amp;"'!A:A")),0))</f>
        <v/>
      </c>
      <c r="K714" s="12" t="str">
        <f ca="1">IF($A714="","",IFERROR(SUMIF(INDIRECT("'"&amp;'Template Setup'!$C$8&amp;"'!C:C"),$A714,INDIRECT("'"&amp;'Template Setup'!$C$8&amp;"'!A:A")),0))</f>
        <v/>
      </c>
      <c r="L714" s="11" t="str">
        <f>IF($A714="","",IFERROR(VALUE(MID(TRIM('Template Setup'!$C$4),FIND("-",TRIM('Template Setup'!$C$4))+1,10)),0))</f>
        <v/>
      </c>
      <c r="M714" s="11" t="str">
        <f>IF($A714="","",IFERROR(VALUE(MID(TRIM('Template Setup'!$C$5),FIND("-",TRIM('Template Setup'!$C$5))+1,10)),0))</f>
        <v/>
      </c>
      <c r="N714" s="11" t="str">
        <f>IF($A714="","",IFERROR(VALUE(MID(TRIM('Template Setup'!$C$6),FIND("-",TRIM('Template Setup'!$C$6))+1,10)),0))</f>
        <v/>
      </c>
      <c r="O714" s="11" t="str">
        <f>IF($A714="","",IFERROR(VALUE(MID(TRIM('Template Setup'!$C$7),FIND("-",TRIM('Template Setup'!$C$7))+1,10)),0))</f>
        <v/>
      </c>
      <c r="P714" s="11" t="str">
        <f>IF($A714="","",IFERROR(VALUE(MID(TRIM('Template Setup'!$C$8),FIND("-",TRIM('Template Setup'!$C$8))+1,10)),0))</f>
        <v/>
      </c>
      <c r="Q714" s="9" t="str">
        <f>IF($A714="","",$A714&amp;"-"&amp;'Template Setup'!$C$16)</f>
        <v/>
      </c>
      <c r="R714" s="24" t="str">
        <f t="shared" si="45"/>
        <v/>
      </c>
      <c r="S714" s="24"/>
      <c r="T714" s="24" t="str">
        <f t="shared" si="46"/>
        <v/>
      </c>
      <c r="U714" s="6" t="str">
        <f t="shared" si="44"/>
        <v/>
      </c>
    </row>
    <row r="715" spans="1:21">
      <c r="A715" s="11"/>
      <c r="B715" s="11"/>
      <c r="C715" s="11"/>
      <c r="D715" s="11" t="str">
        <f>IF($A715="","",_xlfn.TEXTJOIN(", ",TRUE,IF($G715&gt;0,'Template Setup'!$C$4,""),IF($H715&gt;0,'Template Setup'!$C$5,""),IF($I715&gt;0,'Template Setup'!$C$6,""),IF($J715&gt;0,'Template Setup'!$C$7,""),IF($K715&gt;0,'Template Setup'!$C$8,"")))</f>
        <v/>
      </c>
      <c r="E715" s="6" t="str" cm="1">
        <f t="array" ref="E715">IF($A715="","",_xlfn.LET(_xlpm.sheets,CHOOSE({1,2,3,4,5},'Template Setup'!$C$4,'Template Setup'!$C$5,'Template Setup'!$C$6,'Template Setup'!$C$7,'Template Setup'!$C$8),_xlpm.nums,CHOOSE({1,2,3,4,5},$L715,$M715,$N715,$O715,$P715),_xlpm.qtys,CHOOSE({1,2,3,4,5},$G715,$H715,$I715,$J715,$K715),_xlpm.validNums,_xlfn._xlws.FILTER(_xlpm.nums,_xlpm.qtys&gt;0),_xlpm.validSheets,_xlfn._xlws.FILTER(_xlpm.sheets,_xlpm.qtys&gt;0),_xlpm.mx,IFERROR(MAX(_xlpm.validNums),0),IF(_xlpm.mx=0,"",INDEX(_xlpm.validSheets,MATCH(_xlpm.mx,_xlpm.validNums,0))&amp;" (+"&amp;$R715&amp;")")))</f>
        <v/>
      </c>
      <c r="F715" s="11" t="str">
        <f t="shared" si="47"/>
        <v/>
      </c>
      <c r="G715" s="12" t="str">
        <f ca="1">IF($A715="","",IFERROR(SUMIF(INDIRECT("'"&amp;'Template Setup'!$C$4&amp;"'!C:C"),$A715,INDIRECT("'"&amp;'Template Setup'!$C$4&amp;"'!A:A")),0))</f>
        <v/>
      </c>
      <c r="H715" s="12" t="str">
        <f ca="1">IF($A715="","",IFERROR(SUMIF(INDIRECT("'"&amp;'Template Setup'!$C$5&amp;"'!C:C"),$A715,INDIRECT("'"&amp;'Template Setup'!$C$5&amp;"'!A:A")),0))</f>
        <v/>
      </c>
      <c r="I715" s="12" t="str">
        <f ca="1">IF($A715="","",IFERROR(SUMIF(INDIRECT("'"&amp;'Template Setup'!$C$6&amp;"'!C:C"),$A715,INDIRECT("'"&amp;'Template Setup'!$C$6&amp;"'!A:A")),0))</f>
        <v/>
      </c>
      <c r="J715" s="12" t="str">
        <f ca="1">IF($A715="","",IFERROR(SUMIF(INDIRECT("'"&amp;'Template Setup'!$C$7&amp;"'!C:C"),$A715,INDIRECT("'"&amp;'Template Setup'!$C$7&amp;"'!A:A")),0))</f>
        <v/>
      </c>
      <c r="K715" s="12" t="str">
        <f ca="1">IF($A715="","",IFERROR(SUMIF(INDIRECT("'"&amp;'Template Setup'!$C$8&amp;"'!C:C"),$A715,INDIRECT("'"&amp;'Template Setup'!$C$8&amp;"'!A:A")),0))</f>
        <v/>
      </c>
      <c r="L715" s="11" t="str">
        <f>IF($A715="","",IFERROR(VALUE(MID(TRIM('Template Setup'!$C$4),FIND("-",TRIM('Template Setup'!$C$4))+1,10)),0))</f>
        <v/>
      </c>
      <c r="M715" s="11" t="str">
        <f>IF($A715="","",IFERROR(VALUE(MID(TRIM('Template Setup'!$C$5),FIND("-",TRIM('Template Setup'!$C$5))+1,10)),0))</f>
        <v/>
      </c>
      <c r="N715" s="11" t="str">
        <f>IF($A715="","",IFERROR(VALUE(MID(TRIM('Template Setup'!$C$6),FIND("-",TRIM('Template Setup'!$C$6))+1,10)),0))</f>
        <v/>
      </c>
      <c r="O715" s="11" t="str">
        <f>IF($A715="","",IFERROR(VALUE(MID(TRIM('Template Setup'!$C$7),FIND("-",TRIM('Template Setup'!$C$7))+1,10)),0))</f>
        <v/>
      </c>
      <c r="P715" s="11" t="str">
        <f>IF($A715="","",IFERROR(VALUE(MID(TRIM('Template Setup'!$C$8),FIND("-",TRIM('Template Setup'!$C$8))+1,10)),0))</f>
        <v/>
      </c>
      <c r="Q715" s="9" t="str">
        <f>IF($A715="","",$A715&amp;"-"&amp;'Template Setup'!$C$16)</f>
        <v/>
      </c>
      <c r="R715" s="24" t="str">
        <f t="shared" si="45"/>
        <v/>
      </c>
      <c r="S715" s="24"/>
      <c r="T715" s="24" t="str">
        <f t="shared" si="46"/>
        <v/>
      </c>
      <c r="U715" s="6" t="str">
        <f t="shared" si="44"/>
        <v/>
      </c>
    </row>
    <row r="716" spans="1:21">
      <c r="A716" s="11"/>
      <c r="B716" s="11"/>
      <c r="C716" s="11"/>
      <c r="D716" s="11" t="str">
        <f>IF($A716="","",_xlfn.TEXTJOIN(", ",TRUE,IF($G716&gt;0,'Template Setup'!$C$4,""),IF($H716&gt;0,'Template Setup'!$C$5,""),IF($I716&gt;0,'Template Setup'!$C$6,""),IF($J716&gt;0,'Template Setup'!$C$7,""),IF($K716&gt;0,'Template Setup'!$C$8,"")))</f>
        <v/>
      </c>
      <c r="E716" s="6" t="str" cm="1">
        <f t="array" ref="E716">IF($A716="","",_xlfn.LET(_xlpm.sheets,CHOOSE({1,2,3,4,5},'Template Setup'!$C$4,'Template Setup'!$C$5,'Template Setup'!$C$6,'Template Setup'!$C$7,'Template Setup'!$C$8),_xlpm.nums,CHOOSE({1,2,3,4,5},$L716,$M716,$N716,$O716,$P716),_xlpm.qtys,CHOOSE({1,2,3,4,5},$G716,$H716,$I716,$J716,$K716),_xlpm.validNums,_xlfn._xlws.FILTER(_xlpm.nums,_xlpm.qtys&gt;0),_xlpm.validSheets,_xlfn._xlws.FILTER(_xlpm.sheets,_xlpm.qtys&gt;0),_xlpm.mx,IFERROR(MAX(_xlpm.validNums),0),IF(_xlpm.mx=0,"",INDEX(_xlpm.validSheets,MATCH(_xlpm.mx,_xlpm.validNums,0))&amp;" (+"&amp;$R716&amp;")")))</f>
        <v/>
      </c>
      <c r="F716" s="11" t="str">
        <f t="shared" si="47"/>
        <v/>
      </c>
      <c r="G716" s="12" t="str">
        <f ca="1">IF($A716="","",IFERROR(SUMIF(INDIRECT("'"&amp;'Template Setup'!$C$4&amp;"'!C:C"),$A716,INDIRECT("'"&amp;'Template Setup'!$C$4&amp;"'!A:A")),0))</f>
        <v/>
      </c>
      <c r="H716" s="12" t="str">
        <f ca="1">IF($A716="","",IFERROR(SUMIF(INDIRECT("'"&amp;'Template Setup'!$C$5&amp;"'!C:C"),$A716,INDIRECT("'"&amp;'Template Setup'!$C$5&amp;"'!A:A")),0))</f>
        <v/>
      </c>
      <c r="I716" s="12" t="str">
        <f ca="1">IF($A716="","",IFERROR(SUMIF(INDIRECT("'"&amp;'Template Setup'!$C$6&amp;"'!C:C"),$A716,INDIRECT("'"&amp;'Template Setup'!$C$6&amp;"'!A:A")),0))</f>
        <v/>
      </c>
      <c r="J716" s="12" t="str">
        <f ca="1">IF($A716="","",IFERROR(SUMIF(INDIRECT("'"&amp;'Template Setup'!$C$7&amp;"'!C:C"),$A716,INDIRECT("'"&amp;'Template Setup'!$C$7&amp;"'!A:A")),0))</f>
        <v/>
      </c>
      <c r="K716" s="12" t="str">
        <f ca="1">IF($A716="","",IFERROR(SUMIF(INDIRECT("'"&amp;'Template Setup'!$C$8&amp;"'!C:C"),$A716,INDIRECT("'"&amp;'Template Setup'!$C$8&amp;"'!A:A")),0))</f>
        <v/>
      </c>
      <c r="L716" s="11" t="str">
        <f>IF($A716="","",IFERROR(VALUE(MID(TRIM('Template Setup'!$C$4),FIND("-",TRIM('Template Setup'!$C$4))+1,10)),0))</f>
        <v/>
      </c>
      <c r="M716" s="11" t="str">
        <f>IF($A716="","",IFERROR(VALUE(MID(TRIM('Template Setup'!$C$5),FIND("-",TRIM('Template Setup'!$C$5))+1,10)),0))</f>
        <v/>
      </c>
      <c r="N716" s="11" t="str">
        <f>IF($A716="","",IFERROR(VALUE(MID(TRIM('Template Setup'!$C$6),FIND("-",TRIM('Template Setup'!$C$6))+1,10)),0))</f>
        <v/>
      </c>
      <c r="O716" s="11" t="str">
        <f>IF($A716="","",IFERROR(VALUE(MID(TRIM('Template Setup'!$C$7),FIND("-",TRIM('Template Setup'!$C$7))+1,10)),0))</f>
        <v/>
      </c>
      <c r="P716" s="11" t="str">
        <f>IF($A716="","",IFERROR(VALUE(MID(TRIM('Template Setup'!$C$8),FIND("-",TRIM('Template Setup'!$C$8))+1,10)),0))</f>
        <v/>
      </c>
      <c r="Q716" s="9" t="str">
        <f>IF($A716="","",$A716&amp;"-"&amp;'Template Setup'!$C$16)</f>
        <v/>
      </c>
      <c r="R716" s="24" t="str">
        <f t="shared" si="45"/>
        <v/>
      </c>
      <c r="S716" s="24"/>
      <c r="T716" s="24" t="str">
        <f t="shared" si="46"/>
        <v/>
      </c>
      <c r="U716" s="6" t="str">
        <f t="shared" si="44"/>
        <v/>
      </c>
    </row>
    <row r="717" spans="1:21">
      <c r="A717" s="11"/>
      <c r="B717" s="11"/>
      <c r="C717" s="11"/>
      <c r="D717" s="11" t="str">
        <f>IF($A717="","",_xlfn.TEXTJOIN(", ",TRUE,IF($G717&gt;0,'Template Setup'!$C$4,""),IF($H717&gt;0,'Template Setup'!$C$5,""),IF($I717&gt;0,'Template Setup'!$C$6,""),IF($J717&gt;0,'Template Setup'!$C$7,""),IF($K717&gt;0,'Template Setup'!$C$8,"")))</f>
        <v/>
      </c>
      <c r="E717" s="6" t="str" cm="1">
        <f t="array" ref="E717">IF($A717="","",_xlfn.LET(_xlpm.sheets,CHOOSE({1,2,3,4,5},'Template Setup'!$C$4,'Template Setup'!$C$5,'Template Setup'!$C$6,'Template Setup'!$C$7,'Template Setup'!$C$8),_xlpm.nums,CHOOSE({1,2,3,4,5},$L717,$M717,$N717,$O717,$P717),_xlpm.qtys,CHOOSE({1,2,3,4,5},$G717,$H717,$I717,$J717,$K717),_xlpm.validNums,_xlfn._xlws.FILTER(_xlpm.nums,_xlpm.qtys&gt;0),_xlpm.validSheets,_xlfn._xlws.FILTER(_xlpm.sheets,_xlpm.qtys&gt;0),_xlpm.mx,IFERROR(MAX(_xlpm.validNums),0),IF(_xlpm.mx=0,"",INDEX(_xlpm.validSheets,MATCH(_xlpm.mx,_xlpm.validNums,0))&amp;" (+"&amp;$R717&amp;")")))</f>
        <v/>
      </c>
      <c r="F717" s="11" t="str">
        <f t="shared" si="47"/>
        <v/>
      </c>
      <c r="G717" s="12" t="str">
        <f ca="1">IF($A717="","",IFERROR(SUMIF(INDIRECT("'"&amp;'Template Setup'!$C$4&amp;"'!C:C"),$A717,INDIRECT("'"&amp;'Template Setup'!$C$4&amp;"'!A:A")),0))</f>
        <v/>
      </c>
      <c r="H717" s="12" t="str">
        <f ca="1">IF($A717="","",IFERROR(SUMIF(INDIRECT("'"&amp;'Template Setup'!$C$5&amp;"'!C:C"),$A717,INDIRECT("'"&amp;'Template Setup'!$C$5&amp;"'!A:A")),0))</f>
        <v/>
      </c>
      <c r="I717" s="12" t="str">
        <f ca="1">IF($A717="","",IFERROR(SUMIF(INDIRECT("'"&amp;'Template Setup'!$C$6&amp;"'!C:C"),$A717,INDIRECT("'"&amp;'Template Setup'!$C$6&amp;"'!A:A")),0))</f>
        <v/>
      </c>
      <c r="J717" s="12" t="str">
        <f ca="1">IF($A717="","",IFERROR(SUMIF(INDIRECT("'"&amp;'Template Setup'!$C$7&amp;"'!C:C"),$A717,INDIRECT("'"&amp;'Template Setup'!$C$7&amp;"'!A:A")),0))</f>
        <v/>
      </c>
      <c r="K717" s="12" t="str">
        <f ca="1">IF($A717="","",IFERROR(SUMIF(INDIRECT("'"&amp;'Template Setup'!$C$8&amp;"'!C:C"),$A717,INDIRECT("'"&amp;'Template Setup'!$C$8&amp;"'!A:A")),0))</f>
        <v/>
      </c>
      <c r="L717" s="11" t="str">
        <f>IF($A717="","",IFERROR(VALUE(MID(TRIM('Template Setup'!$C$4),FIND("-",TRIM('Template Setup'!$C$4))+1,10)),0))</f>
        <v/>
      </c>
      <c r="M717" s="11" t="str">
        <f>IF($A717="","",IFERROR(VALUE(MID(TRIM('Template Setup'!$C$5),FIND("-",TRIM('Template Setup'!$C$5))+1,10)),0))</f>
        <v/>
      </c>
      <c r="N717" s="11" t="str">
        <f>IF($A717="","",IFERROR(VALUE(MID(TRIM('Template Setup'!$C$6),FIND("-",TRIM('Template Setup'!$C$6))+1,10)),0))</f>
        <v/>
      </c>
      <c r="O717" s="11" t="str">
        <f>IF($A717="","",IFERROR(VALUE(MID(TRIM('Template Setup'!$C$7),FIND("-",TRIM('Template Setup'!$C$7))+1,10)),0))</f>
        <v/>
      </c>
      <c r="P717" s="11" t="str">
        <f>IF($A717="","",IFERROR(VALUE(MID(TRIM('Template Setup'!$C$8),FIND("-",TRIM('Template Setup'!$C$8))+1,10)),0))</f>
        <v/>
      </c>
      <c r="Q717" s="9" t="str">
        <f>IF($A717="","",$A717&amp;"-"&amp;'Template Setup'!$C$16)</f>
        <v/>
      </c>
      <c r="R717" s="24" t="str">
        <f t="shared" si="45"/>
        <v/>
      </c>
      <c r="S717" s="24"/>
      <c r="T717" s="24" t="str">
        <f t="shared" si="46"/>
        <v/>
      </c>
      <c r="U717" s="6" t="str">
        <f t="shared" si="44"/>
        <v/>
      </c>
    </row>
    <row r="718" spans="1:21">
      <c r="A718" s="11"/>
      <c r="B718" s="11"/>
      <c r="C718" s="11"/>
      <c r="D718" s="11" t="str">
        <f>IF($A718="","",_xlfn.TEXTJOIN(", ",TRUE,IF($G718&gt;0,'Template Setup'!$C$4,""),IF($H718&gt;0,'Template Setup'!$C$5,""),IF($I718&gt;0,'Template Setup'!$C$6,""),IF($J718&gt;0,'Template Setup'!$C$7,""),IF($K718&gt;0,'Template Setup'!$C$8,"")))</f>
        <v/>
      </c>
      <c r="E718" s="6" t="str" cm="1">
        <f t="array" ref="E718">IF($A718="","",_xlfn.LET(_xlpm.sheets,CHOOSE({1,2,3,4,5},'Template Setup'!$C$4,'Template Setup'!$C$5,'Template Setup'!$C$6,'Template Setup'!$C$7,'Template Setup'!$C$8),_xlpm.nums,CHOOSE({1,2,3,4,5},$L718,$M718,$N718,$O718,$P718),_xlpm.qtys,CHOOSE({1,2,3,4,5},$G718,$H718,$I718,$J718,$K718),_xlpm.validNums,_xlfn._xlws.FILTER(_xlpm.nums,_xlpm.qtys&gt;0),_xlpm.validSheets,_xlfn._xlws.FILTER(_xlpm.sheets,_xlpm.qtys&gt;0),_xlpm.mx,IFERROR(MAX(_xlpm.validNums),0),IF(_xlpm.mx=0,"",INDEX(_xlpm.validSheets,MATCH(_xlpm.mx,_xlpm.validNums,0))&amp;" (+"&amp;$R718&amp;")")))</f>
        <v/>
      </c>
      <c r="F718" s="11" t="str">
        <f t="shared" si="47"/>
        <v/>
      </c>
      <c r="G718" s="12" t="str">
        <f ca="1">IF($A718="","",IFERROR(SUMIF(INDIRECT("'"&amp;'Template Setup'!$C$4&amp;"'!C:C"),$A718,INDIRECT("'"&amp;'Template Setup'!$C$4&amp;"'!A:A")),0))</f>
        <v/>
      </c>
      <c r="H718" s="12" t="str">
        <f ca="1">IF($A718="","",IFERROR(SUMIF(INDIRECT("'"&amp;'Template Setup'!$C$5&amp;"'!C:C"),$A718,INDIRECT("'"&amp;'Template Setup'!$C$5&amp;"'!A:A")),0))</f>
        <v/>
      </c>
      <c r="I718" s="12" t="str">
        <f ca="1">IF($A718="","",IFERROR(SUMIF(INDIRECT("'"&amp;'Template Setup'!$C$6&amp;"'!C:C"),$A718,INDIRECT("'"&amp;'Template Setup'!$C$6&amp;"'!A:A")),0))</f>
        <v/>
      </c>
      <c r="J718" s="12" t="str">
        <f ca="1">IF($A718="","",IFERROR(SUMIF(INDIRECT("'"&amp;'Template Setup'!$C$7&amp;"'!C:C"),$A718,INDIRECT("'"&amp;'Template Setup'!$C$7&amp;"'!A:A")),0))</f>
        <v/>
      </c>
      <c r="K718" s="12" t="str">
        <f ca="1">IF($A718="","",IFERROR(SUMIF(INDIRECT("'"&amp;'Template Setup'!$C$8&amp;"'!C:C"),$A718,INDIRECT("'"&amp;'Template Setup'!$C$8&amp;"'!A:A")),0))</f>
        <v/>
      </c>
      <c r="L718" s="11" t="str">
        <f>IF($A718="","",IFERROR(VALUE(MID(TRIM('Template Setup'!$C$4),FIND("-",TRIM('Template Setup'!$C$4))+1,10)),0))</f>
        <v/>
      </c>
      <c r="M718" s="11" t="str">
        <f>IF($A718="","",IFERROR(VALUE(MID(TRIM('Template Setup'!$C$5),FIND("-",TRIM('Template Setup'!$C$5))+1,10)),0))</f>
        <v/>
      </c>
      <c r="N718" s="11" t="str">
        <f>IF($A718="","",IFERROR(VALUE(MID(TRIM('Template Setup'!$C$6),FIND("-",TRIM('Template Setup'!$C$6))+1,10)),0))</f>
        <v/>
      </c>
      <c r="O718" s="11" t="str">
        <f>IF($A718="","",IFERROR(VALUE(MID(TRIM('Template Setup'!$C$7),FIND("-",TRIM('Template Setup'!$C$7))+1,10)),0))</f>
        <v/>
      </c>
      <c r="P718" s="11" t="str">
        <f>IF($A718="","",IFERROR(VALUE(MID(TRIM('Template Setup'!$C$8),FIND("-",TRIM('Template Setup'!$C$8))+1,10)),0))</f>
        <v/>
      </c>
      <c r="Q718" s="9" t="str">
        <f>IF($A718="","",$A718&amp;"-"&amp;'Template Setup'!$C$16)</f>
        <v/>
      </c>
      <c r="R718" s="24" t="str">
        <f t="shared" si="45"/>
        <v/>
      </c>
      <c r="S718" s="24"/>
      <c r="T718" s="24" t="str">
        <f t="shared" si="46"/>
        <v/>
      </c>
      <c r="U718" s="6" t="str">
        <f t="shared" si="44"/>
        <v/>
      </c>
    </row>
    <row r="719" spans="1:21">
      <c r="A719" s="11"/>
      <c r="B719" s="11"/>
      <c r="C719" s="11"/>
      <c r="D719" s="11" t="str">
        <f>IF($A719="","",_xlfn.TEXTJOIN(", ",TRUE,IF($G719&gt;0,'Template Setup'!$C$4,""),IF($H719&gt;0,'Template Setup'!$C$5,""),IF($I719&gt;0,'Template Setup'!$C$6,""),IF($J719&gt;0,'Template Setup'!$C$7,""),IF($K719&gt;0,'Template Setup'!$C$8,"")))</f>
        <v/>
      </c>
      <c r="E719" s="6" t="str" cm="1">
        <f t="array" ref="E719">IF($A719="","",_xlfn.LET(_xlpm.sheets,CHOOSE({1,2,3,4,5},'Template Setup'!$C$4,'Template Setup'!$C$5,'Template Setup'!$C$6,'Template Setup'!$C$7,'Template Setup'!$C$8),_xlpm.nums,CHOOSE({1,2,3,4,5},$L719,$M719,$N719,$O719,$P719),_xlpm.qtys,CHOOSE({1,2,3,4,5},$G719,$H719,$I719,$J719,$K719),_xlpm.validNums,_xlfn._xlws.FILTER(_xlpm.nums,_xlpm.qtys&gt;0),_xlpm.validSheets,_xlfn._xlws.FILTER(_xlpm.sheets,_xlpm.qtys&gt;0),_xlpm.mx,IFERROR(MAX(_xlpm.validNums),0),IF(_xlpm.mx=0,"",INDEX(_xlpm.validSheets,MATCH(_xlpm.mx,_xlpm.validNums,0))&amp;" (+"&amp;$R719&amp;")")))</f>
        <v/>
      </c>
      <c r="F719" s="11" t="str">
        <f t="shared" si="47"/>
        <v/>
      </c>
      <c r="G719" s="12" t="str">
        <f ca="1">IF($A719="","",IFERROR(SUMIF(INDIRECT("'"&amp;'Template Setup'!$C$4&amp;"'!C:C"),$A719,INDIRECT("'"&amp;'Template Setup'!$C$4&amp;"'!A:A")),0))</f>
        <v/>
      </c>
      <c r="H719" s="12" t="str">
        <f ca="1">IF($A719="","",IFERROR(SUMIF(INDIRECT("'"&amp;'Template Setup'!$C$5&amp;"'!C:C"),$A719,INDIRECT("'"&amp;'Template Setup'!$C$5&amp;"'!A:A")),0))</f>
        <v/>
      </c>
      <c r="I719" s="12" t="str">
        <f ca="1">IF($A719="","",IFERROR(SUMIF(INDIRECT("'"&amp;'Template Setup'!$C$6&amp;"'!C:C"),$A719,INDIRECT("'"&amp;'Template Setup'!$C$6&amp;"'!A:A")),0))</f>
        <v/>
      </c>
      <c r="J719" s="12" t="str">
        <f ca="1">IF($A719="","",IFERROR(SUMIF(INDIRECT("'"&amp;'Template Setup'!$C$7&amp;"'!C:C"),$A719,INDIRECT("'"&amp;'Template Setup'!$C$7&amp;"'!A:A")),0))</f>
        <v/>
      </c>
      <c r="K719" s="12" t="str">
        <f ca="1">IF($A719="","",IFERROR(SUMIF(INDIRECT("'"&amp;'Template Setup'!$C$8&amp;"'!C:C"),$A719,INDIRECT("'"&amp;'Template Setup'!$C$8&amp;"'!A:A")),0))</f>
        <v/>
      </c>
      <c r="L719" s="11" t="str">
        <f>IF($A719="","",IFERROR(VALUE(MID(TRIM('Template Setup'!$C$4),FIND("-",TRIM('Template Setup'!$C$4))+1,10)),0))</f>
        <v/>
      </c>
      <c r="M719" s="11" t="str">
        <f>IF($A719="","",IFERROR(VALUE(MID(TRIM('Template Setup'!$C$5),FIND("-",TRIM('Template Setup'!$C$5))+1,10)),0))</f>
        <v/>
      </c>
      <c r="N719" s="11" t="str">
        <f>IF($A719="","",IFERROR(VALUE(MID(TRIM('Template Setup'!$C$6),FIND("-",TRIM('Template Setup'!$C$6))+1,10)),0))</f>
        <v/>
      </c>
      <c r="O719" s="11" t="str">
        <f>IF($A719="","",IFERROR(VALUE(MID(TRIM('Template Setup'!$C$7),FIND("-",TRIM('Template Setup'!$C$7))+1,10)),0))</f>
        <v/>
      </c>
      <c r="P719" s="11" t="str">
        <f>IF($A719="","",IFERROR(VALUE(MID(TRIM('Template Setup'!$C$8),FIND("-",TRIM('Template Setup'!$C$8))+1,10)),0))</f>
        <v/>
      </c>
      <c r="Q719" s="9" t="str">
        <f>IF($A719="","",$A719&amp;"-"&amp;'Template Setup'!$C$16)</f>
        <v/>
      </c>
      <c r="R719" s="24" t="str">
        <f t="shared" si="45"/>
        <v/>
      </c>
      <c r="S719" s="24"/>
      <c r="T719" s="24" t="str">
        <f t="shared" si="46"/>
        <v/>
      </c>
      <c r="U719" s="6" t="str">
        <f t="shared" si="44"/>
        <v/>
      </c>
    </row>
    <row r="720" spans="1:21">
      <c r="A720" s="11"/>
      <c r="B720" s="11"/>
      <c r="C720" s="11"/>
      <c r="D720" s="11" t="str">
        <f>IF($A720="","",_xlfn.TEXTJOIN(", ",TRUE,IF($G720&gt;0,'Template Setup'!$C$4,""),IF($H720&gt;0,'Template Setup'!$C$5,""),IF($I720&gt;0,'Template Setup'!$C$6,""),IF($J720&gt;0,'Template Setup'!$C$7,""),IF($K720&gt;0,'Template Setup'!$C$8,"")))</f>
        <v/>
      </c>
      <c r="E720" s="6" t="str" cm="1">
        <f t="array" ref="E720">IF($A720="","",_xlfn.LET(_xlpm.sheets,CHOOSE({1,2,3,4,5},'Template Setup'!$C$4,'Template Setup'!$C$5,'Template Setup'!$C$6,'Template Setup'!$C$7,'Template Setup'!$C$8),_xlpm.nums,CHOOSE({1,2,3,4,5},$L720,$M720,$N720,$O720,$P720),_xlpm.qtys,CHOOSE({1,2,3,4,5},$G720,$H720,$I720,$J720,$K720),_xlpm.validNums,_xlfn._xlws.FILTER(_xlpm.nums,_xlpm.qtys&gt;0),_xlpm.validSheets,_xlfn._xlws.FILTER(_xlpm.sheets,_xlpm.qtys&gt;0),_xlpm.mx,IFERROR(MAX(_xlpm.validNums),0),IF(_xlpm.mx=0,"",INDEX(_xlpm.validSheets,MATCH(_xlpm.mx,_xlpm.validNums,0))&amp;" (+"&amp;$R720&amp;")")))</f>
        <v/>
      </c>
      <c r="F720" s="11" t="str">
        <f t="shared" si="47"/>
        <v/>
      </c>
      <c r="G720" s="12" t="str">
        <f ca="1">IF($A720="","",IFERROR(SUMIF(INDIRECT("'"&amp;'Template Setup'!$C$4&amp;"'!C:C"),$A720,INDIRECT("'"&amp;'Template Setup'!$C$4&amp;"'!A:A")),0))</f>
        <v/>
      </c>
      <c r="H720" s="12" t="str">
        <f ca="1">IF($A720="","",IFERROR(SUMIF(INDIRECT("'"&amp;'Template Setup'!$C$5&amp;"'!C:C"),$A720,INDIRECT("'"&amp;'Template Setup'!$C$5&amp;"'!A:A")),0))</f>
        <v/>
      </c>
      <c r="I720" s="12" t="str">
        <f ca="1">IF($A720="","",IFERROR(SUMIF(INDIRECT("'"&amp;'Template Setup'!$C$6&amp;"'!C:C"),$A720,INDIRECT("'"&amp;'Template Setup'!$C$6&amp;"'!A:A")),0))</f>
        <v/>
      </c>
      <c r="J720" s="12" t="str">
        <f ca="1">IF($A720="","",IFERROR(SUMIF(INDIRECT("'"&amp;'Template Setup'!$C$7&amp;"'!C:C"),$A720,INDIRECT("'"&amp;'Template Setup'!$C$7&amp;"'!A:A")),0))</f>
        <v/>
      </c>
      <c r="K720" s="12" t="str">
        <f ca="1">IF($A720="","",IFERROR(SUMIF(INDIRECT("'"&amp;'Template Setup'!$C$8&amp;"'!C:C"),$A720,INDIRECT("'"&amp;'Template Setup'!$C$8&amp;"'!A:A")),0))</f>
        <v/>
      </c>
      <c r="L720" s="11" t="str">
        <f>IF($A720="","",IFERROR(VALUE(MID(TRIM('Template Setup'!$C$4),FIND("-",TRIM('Template Setup'!$C$4))+1,10)),0))</f>
        <v/>
      </c>
      <c r="M720" s="11" t="str">
        <f>IF($A720="","",IFERROR(VALUE(MID(TRIM('Template Setup'!$C$5),FIND("-",TRIM('Template Setup'!$C$5))+1,10)),0))</f>
        <v/>
      </c>
      <c r="N720" s="11" t="str">
        <f>IF($A720="","",IFERROR(VALUE(MID(TRIM('Template Setup'!$C$6),FIND("-",TRIM('Template Setup'!$C$6))+1,10)),0))</f>
        <v/>
      </c>
      <c r="O720" s="11" t="str">
        <f>IF($A720="","",IFERROR(VALUE(MID(TRIM('Template Setup'!$C$7),FIND("-",TRIM('Template Setup'!$C$7))+1,10)),0))</f>
        <v/>
      </c>
      <c r="P720" s="11" t="str">
        <f>IF($A720="","",IFERROR(VALUE(MID(TRIM('Template Setup'!$C$8),FIND("-",TRIM('Template Setup'!$C$8))+1,10)),0))</f>
        <v/>
      </c>
      <c r="Q720" s="9" t="str">
        <f>IF($A720="","",$A720&amp;"-"&amp;'Template Setup'!$C$16)</f>
        <v/>
      </c>
      <c r="R720" s="24" t="str">
        <f t="shared" si="45"/>
        <v/>
      </c>
      <c r="S720" s="24"/>
      <c r="T720" s="24" t="str">
        <f t="shared" si="46"/>
        <v/>
      </c>
      <c r="U720" s="6" t="str">
        <f t="shared" si="44"/>
        <v/>
      </c>
    </row>
    <row r="721" spans="1:21">
      <c r="A721" s="11"/>
      <c r="B721" s="11"/>
      <c r="C721" s="11"/>
      <c r="D721" s="11" t="str">
        <f>IF($A721="","",_xlfn.TEXTJOIN(", ",TRUE,IF($G721&gt;0,'Template Setup'!$C$4,""),IF($H721&gt;0,'Template Setup'!$C$5,""),IF($I721&gt;0,'Template Setup'!$C$6,""),IF($J721&gt;0,'Template Setup'!$C$7,""),IF($K721&gt;0,'Template Setup'!$C$8,"")))</f>
        <v/>
      </c>
      <c r="E721" s="6" t="str" cm="1">
        <f t="array" ref="E721">IF($A721="","",_xlfn.LET(_xlpm.sheets,CHOOSE({1,2,3,4,5},'Template Setup'!$C$4,'Template Setup'!$C$5,'Template Setup'!$C$6,'Template Setup'!$C$7,'Template Setup'!$C$8),_xlpm.nums,CHOOSE({1,2,3,4,5},$L721,$M721,$N721,$O721,$P721),_xlpm.qtys,CHOOSE({1,2,3,4,5},$G721,$H721,$I721,$J721,$K721),_xlpm.validNums,_xlfn._xlws.FILTER(_xlpm.nums,_xlpm.qtys&gt;0),_xlpm.validSheets,_xlfn._xlws.FILTER(_xlpm.sheets,_xlpm.qtys&gt;0),_xlpm.mx,IFERROR(MAX(_xlpm.validNums),0),IF(_xlpm.mx=0,"",INDEX(_xlpm.validSheets,MATCH(_xlpm.mx,_xlpm.validNums,0))&amp;" (+"&amp;$R721&amp;")")))</f>
        <v/>
      </c>
      <c r="F721" s="11" t="str">
        <f t="shared" si="47"/>
        <v/>
      </c>
      <c r="G721" s="12" t="str">
        <f ca="1">IF($A721="","",IFERROR(SUMIF(INDIRECT("'"&amp;'Template Setup'!$C$4&amp;"'!C:C"),$A721,INDIRECT("'"&amp;'Template Setup'!$C$4&amp;"'!A:A")),0))</f>
        <v/>
      </c>
      <c r="H721" s="12" t="str">
        <f ca="1">IF($A721="","",IFERROR(SUMIF(INDIRECT("'"&amp;'Template Setup'!$C$5&amp;"'!C:C"),$A721,INDIRECT("'"&amp;'Template Setup'!$C$5&amp;"'!A:A")),0))</f>
        <v/>
      </c>
      <c r="I721" s="12" t="str">
        <f ca="1">IF($A721="","",IFERROR(SUMIF(INDIRECT("'"&amp;'Template Setup'!$C$6&amp;"'!C:C"),$A721,INDIRECT("'"&amp;'Template Setup'!$C$6&amp;"'!A:A")),0))</f>
        <v/>
      </c>
      <c r="J721" s="12" t="str">
        <f ca="1">IF($A721="","",IFERROR(SUMIF(INDIRECT("'"&amp;'Template Setup'!$C$7&amp;"'!C:C"),$A721,INDIRECT("'"&amp;'Template Setup'!$C$7&amp;"'!A:A")),0))</f>
        <v/>
      </c>
      <c r="K721" s="12" t="str">
        <f ca="1">IF($A721="","",IFERROR(SUMIF(INDIRECT("'"&amp;'Template Setup'!$C$8&amp;"'!C:C"),$A721,INDIRECT("'"&amp;'Template Setup'!$C$8&amp;"'!A:A")),0))</f>
        <v/>
      </c>
      <c r="L721" s="11" t="str">
        <f>IF($A721="","",IFERROR(VALUE(MID(TRIM('Template Setup'!$C$4),FIND("-",TRIM('Template Setup'!$C$4))+1,10)),0))</f>
        <v/>
      </c>
      <c r="M721" s="11" t="str">
        <f>IF($A721="","",IFERROR(VALUE(MID(TRIM('Template Setup'!$C$5),FIND("-",TRIM('Template Setup'!$C$5))+1,10)),0))</f>
        <v/>
      </c>
      <c r="N721" s="11" t="str">
        <f>IF($A721="","",IFERROR(VALUE(MID(TRIM('Template Setup'!$C$6),FIND("-",TRIM('Template Setup'!$C$6))+1,10)),0))</f>
        <v/>
      </c>
      <c r="O721" s="11" t="str">
        <f>IF($A721="","",IFERROR(VALUE(MID(TRIM('Template Setup'!$C$7),FIND("-",TRIM('Template Setup'!$C$7))+1,10)),0))</f>
        <v/>
      </c>
      <c r="P721" s="11" t="str">
        <f>IF($A721="","",IFERROR(VALUE(MID(TRIM('Template Setup'!$C$8),FIND("-",TRIM('Template Setup'!$C$8))+1,10)),0))</f>
        <v/>
      </c>
      <c r="Q721" s="9" t="str">
        <f>IF($A721="","",$A721&amp;"-"&amp;'Template Setup'!$C$16)</f>
        <v/>
      </c>
      <c r="R721" s="24" t="str">
        <f t="shared" si="45"/>
        <v/>
      </c>
      <c r="S721" s="24"/>
      <c r="T721" s="24" t="str">
        <f t="shared" si="46"/>
        <v/>
      </c>
      <c r="U721" s="6" t="str">
        <f t="shared" si="44"/>
        <v/>
      </c>
    </row>
    <row r="722" spans="1:21">
      <c r="A722" s="11"/>
      <c r="B722" s="11"/>
      <c r="C722" s="11"/>
      <c r="D722" s="11" t="str">
        <f>IF($A722="","",_xlfn.TEXTJOIN(", ",TRUE,IF($G722&gt;0,'Template Setup'!$C$4,""),IF($H722&gt;0,'Template Setup'!$C$5,""),IF($I722&gt;0,'Template Setup'!$C$6,""),IF($J722&gt;0,'Template Setup'!$C$7,""),IF($K722&gt;0,'Template Setup'!$C$8,"")))</f>
        <v/>
      </c>
      <c r="E722" s="6" t="str" cm="1">
        <f t="array" ref="E722">IF($A722="","",_xlfn.LET(_xlpm.sheets,CHOOSE({1,2,3,4,5},'Template Setup'!$C$4,'Template Setup'!$C$5,'Template Setup'!$C$6,'Template Setup'!$C$7,'Template Setup'!$C$8),_xlpm.nums,CHOOSE({1,2,3,4,5},$L722,$M722,$N722,$O722,$P722),_xlpm.qtys,CHOOSE({1,2,3,4,5},$G722,$H722,$I722,$J722,$K722),_xlpm.validNums,_xlfn._xlws.FILTER(_xlpm.nums,_xlpm.qtys&gt;0),_xlpm.validSheets,_xlfn._xlws.FILTER(_xlpm.sheets,_xlpm.qtys&gt;0),_xlpm.mx,IFERROR(MAX(_xlpm.validNums),0),IF(_xlpm.mx=0,"",INDEX(_xlpm.validSheets,MATCH(_xlpm.mx,_xlpm.validNums,0))&amp;" (+"&amp;$R722&amp;")")))</f>
        <v/>
      </c>
      <c r="F722" s="11" t="str">
        <f t="shared" si="47"/>
        <v/>
      </c>
      <c r="G722" s="12" t="str">
        <f ca="1">IF($A722="","",IFERROR(SUMIF(INDIRECT("'"&amp;'Template Setup'!$C$4&amp;"'!C:C"),$A722,INDIRECT("'"&amp;'Template Setup'!$C$4&amp;"'!A:A")),0))</f>
        <v/>
      </c>
      <c r="H722" s="12" t="str">
        <f ca="1">IF($A722="","",IFERROR(SUMIF(INDIRECT("'"&amp;'Template Setup'!$C$5&amp;"'!C:C"),$A722,INDIRECT("'"&amp;'Template Setup'!$C$5&amp;"'!A:A")),0))</f>
        <v/>
      </c>
      <c r="I722" s="12" t="str">
        <f ca="1">IF($A722="","",IFERROR(SUMIF(INDIRECT("'"&amp;'Template Setup'!$C$6&amp;"'!C:C"),$A722,INDIRECT("'"&amp;'Template Setup'!$C$6&amp;"'!A:A")),0))</f>
        <v/>
      </c>
      <c r="J722" s="12" t="str">
        <f ca="1">IF($A722="","",IFERROR(SUMIF(INDIRECT("'"&amp;'Template Setup'!$C$7&amp;"'!C:C"),$A722,INDIRECT("'"&amp;'Template Setup'!$C$7&amp;"'!A:A")),0))</f>
        <v/>
      </c>
      <c r="K722" s="12" t="str">
        <f ca="1">IF($A722="","",IFERROR(SUMIF(INDIRECT("'"&amp;'Template Setup'!$C$8&amp;"'!C:C"),$A722,INDIRECT("'"&amp;'Template Setup'!$C$8&amp;"'!A:A")),0))</f>
        <v/>
      </c>
      <c r="L722" s="11" t="str">
        <f>IF($A722="","",IFERROR(VALUE(MID(TRIM('Template Setup'!$C$4),FIND("-",TRIM('Template Setup'!$C$4))+1,10)),0))</f>
        <v/>
      </c>
      <c r="M722" s="11" t="str">
        <f>IF($A722="","",IFERROR(VALUE(MID(TRIM('Template Setup'!$C$5),FIND("-",TRIM('Template Setup'!$C$5))+1,10)),0))</f>
        <v/>
      </c>
      <c r="N722" s="11" t="str">
        <f>IF($A722="","",IFERROR(VALUE(MID(TRIM('Template Setup'!$C$6),FIND("-",TRIM('Template Setup'!$C$6))+1,10)),0))</f>
        <v/>
      </c>
      <c r="O722" s="11" t="str">
        <f>IF($A722="","",IFERROR(VALUE(MID(TRIM('Template Setup'!$C$7),FIND("-",TRIM('Template Setup'!$C$7))+1,10)),0))</f>
        <v/>
      </c>
      <c r="P722" s="11" t="str">
        <f>IF($A722="","",IFERROR(VALUE(MID(TRIM('Template Setup'!$C$8),FIND("-",TRIM('Template Setup'!$C$8))+1,10)),0))</f>
        <v/>
      </c>
      <c r="Q722" s="9" t="str">
        <f>IF($A722="","",$A722&amp;"-"&amp;'Template Setup'!$C$16)</f>
        <v/>
      </c>
      <c r="R722" s="24" t="str">
        <f t="shared" si="45"/>
        <v/>
      </c>
      <c r="S722" s="24"/>
      <c r="T722" s="24" t="str">
        <f t="shared" si="46"/>
        <v/>
      </c>
      <c r="U722" s="6" t="str">
        <f t="shared" ref="U722:U785" si="48">IF($A722="","","☐")</f>
        <v/>
      </c>
    </row>
    <row r="723" spans="1:21">
      <c r="A723" s="11"/>
      <c r="B723" s="11"/>
      <c r="C723" s="11"/>
      <c r="D723" s="11" t="str">
        <f>IF($A723="","",_xlfn.TEXTJOIN(", ",TRUE,IF($G723&gt;0,'Template Setup'!$C$4,""),IF($H723&gt;0,'Template Setup'!$C$5,""),IF($I723&gt;0,'Template Setup'!$C$6,""),IF($J723&gt;0,'Template Setup'!$C$7,""),IF($K723&gt;0,'Template Setup'!$C$8,"")))</f>
        <v/>
      </c>
      <c r="E723" s="6" t="str" cm="1">
        <f t="array" ref="E723">IF($A723="","",_xlfn.LET(_xlpm.sheets,CHOOSE({1,2,3,4,5},'Template Setup'!$C$4,'Template Setup'!$C$5,'Template Setup'!$C$6,'Template Setup'!$C$7,'Template Setup'!$C$8),_xlpm.nums,CHOOSE({1,2,3,4,5},$L723,$M723,$N723,$O723,$P723),_xlpm.qtys,CHOOSE({1,2,3,4,5},$G723,$H723,$I723,$J723,$K723),_xlpm.validNums,_xlfn._xlws.FILTER(_xlpm.nums,_xlpm.qtys&gt;0),_xlpm.validSheets,_xlfn._xlws.FILTER(_xlpm.sheets,_xlpm.qtys&gt;0),_xlpm.mx,IFERROR(MAX(_xlpm.validNums),0),IF(_xlpm.mx=0,"",INDEX(_xlpm.validSheets,MATCH(_xlpm.mx,_xlpm.validNums,0))&amp;" (+"&amp;$R723&amp;")")))</f>
        <v/>
      </c>
      <c r="F723" s="11" t="str">
        <f t="shared" si="47"/>
        <v/>
      </c>
      <c r="G723" s="12" t="str">
        <f ca="1">IF($A723="","",IFERROR(SUMIF(INDIRECT("'"&amp;'Template Setup'!$C$4&amp;"'!C:C"),$A723,INDIRECT("'"&amp;'Template Setup'!$C$4&amp;"'!A:A")),0))</f>
        <v/>
      </c>
      <c r="H723" s="12" t="str">
        <f ca="1">IF($A723="","",IFERROR(SUMIF(INDIRECT("'"&amp;'Template Setup'!$C$5&amp;"'!C:C"),$A723,INDIRECT("'"&amp;'Template Setup'!$C$5&amp;"'!A:A")),0))</f>
        <v/>
      </c>
      <c r="I723" s="12" t="str">
        <f ca="1">IF($A723="","",IFERROR(SUMIF(INDIRECT("'"&amp;'Template Setup'!$C$6&amp;"'!C:C"),$A723,INDIRECT("'"&amp;'Template Setup'!$C$6&amp;"'!A:A")),0))</f>
        <v/>
      </c>
      <c r="J723" s="12" t="str">
        <f ca="1">IF($A723="","",IFERROR(SUMIF(INDIRECT("'"&amp;'Template Setup'!$C$7&amp;"'!C:C"),$A723,INDIRECT("'"&amp;'Template Setup'!$C$7&amp;"'!A:A")),0))</f>
        <v/>
      </c>
      <c r="K723" s="12" t="str">
        <f ca="1">IF($A723="","",IFERROR(SUMIF(INDIRECT("'"&amp;'Template Setup'!$C$8&amp;"'!C:C"),$A723,INDIRECT("'"&amp;'Template Setup'!$C$8&amp;"'!A:A")),0))</f>
        <v/>
      </c>
      <c r="L723" s="11" t="str">
        <f>IF($A723="","",IFERROR(VALUE(MID(TRIM('Template Setup'!$C$4),FIND("-",TRIM('Template Setup'!$C$4))+1,10)),0))</f>
        <v/>
      </c>
      <c r="M723" s="11" t="str">
        <f>IF($A723="","",IFERROR(VALUE(MID(TRIM('Template Setup'!$C$5),FIND("-",TRIM('Template Setup'!$C$5))+1,10)),0))</f>
        <v/>
      </c>
      <c r="N723" s="11" t="str">
        <f>IF($A723="","",IFERROR(VALUE(MID(TRIM('Template Setup'!$C$6),FIND("-",TRIM('Template Setup'!$C$6))+1,10)),0))</f>
        <v/>
      </c>
      <c r="O723" s="11" t="str">
        <f>IF($A723="","",IFERROR(VALUE(MID(TRIM('Template Setup'!$C$7),FIND("-",TRIM('Template Setup'!$C$7))+1,10)),0))</f>
        <v/>
      </c>
      <c r="P723" s="11" t="str">
        <f>IF($A723="","",IFERROR(VALUE(MID(TRIM('Template Setup'!$C$8),FIND("-",TRIM('Template Setup'!$C$8))+1,10)),0))</f>
        <v/>
      </c>
      <c r="Q723" s="9" t="str">
        <f>IF($A723="","",$A723&amp;"-"&amp;'Template Setup'!$C$16)</f>
        <v/>
      </c>
      <c r="R723" s="24" t="str">
        <f t="shared" si="45"/>
        <v/>
      </c>
      <c r="S723" s="24"/>
      <c r="T723" s="24" t="str">
        <f t="shared" si="46"/>
        <v/>
      </c>
      <c r="U723" s="6" t="str">
        <f t="shared" si="48"/>
        <v/>
      </c>
    </row>
    <row r="724" spans="1:21">
      <c r="A724" s="11"/>
      <c r="B724" s="11"/>
      <c r="C724" s="11"/>
      <c r="D724" s="11" t="str">
        <f>IF($A724="","",_xlfn.TEXTJOIN(", ",TRUE,IF($G724&gt;0,'Template Setup'!$C$4,""),IF($H724&gt;0,'Template Setup'!$C$5,""),IF($I724&gt;0,'Template Setup'!$C$6,""),IF($J724&gt;0,'Template Setup'!$C$7,""),IF($K724&gt;0,'Template Setup'!$C$8,"")))</f>
        <v/>
      </c>
      <c r="E724" s="6" t="str" cm="1">
        <f t="array" ref="E724">IF($A724="","",_xlfn.LET(_xlpm.sheets,CHOOSE({1,2,3,4,5},'Template Setup'!$C$4,'Template Setup'!$C$5,'Template Setup'!$C$6,'Template Setup'!$C$7,'Template Setup'!$C$8),_xlpm.nums,CHOOSE({1,2,3,4,5},$L724,$M724,$N724,$O724,$P724),_xlpm.qtys,CHOOSE({1,2,3,4,5},$G724,$H724,$I724,$J724,$K724),_xlpm.validNums,_xlfn._xlws.FILTER(_xlpm.nums,_xlpm.qtys&gt;0),_xlpm.validSheets,_xlfn._xlws.FILTER(_xlpm.sheets,_xlpm.qtys&gt;0),_xlpm.mx,IFERROR(MAX(_xlpm.validNums),0),IF(_xlpm.mx=0,"",INDEX(_xlpm.validSheets,MATCH(_xlpm.mx,_xlpm.validNums,0))&amp;" (+"&amp;$R724&amp;")")))</f>
        <v/>
      </c>
      <c r="F724" s="11" t="str">
        <f t="shared" si="47"/>
        <v/>
      </c>
      <c r="G724" s="12" t="str">
        <f ca="1">IF($A724="","",IFERROR(SUMIF(INDIRECT("'"&amp;'Template Setup'!$C$4&amp;"'!C:C"),$A724,INDIRECT("'"&amp;'Template Setup'!$C$4&amp;"'!A:A")),0))</f>
        <v/>
      </c>
      <c r="H724" s="12" t="str">
        <f ca="1">IF($A724="","",IFERROR(SUMIF(INDIRECT("'"&amp;'Template Setup'!$C$5&amp;"'!C:C"),$A724,INDIRECT("'"&amp;'Template Setup'!$C$5&amp;"'!A:A")),0))</f>
        <v/>
      </c>
      <c r="I724" s="12" t="str">
        <f ca="1">IF($A724="","",IFERROR(SUMIF(INDIRECT("'"&amp;'Template Setup'!$C$6&amp;"'!C:C"),$A724,INDIRECT("'"&amp;'Template Setup'!$C$6&amp;"'!A:A")),0))</f>
        <v/>
      </c>
      <c r="J724" s="12" t="str">
        <f ca="1">IF($A724="","",IFERROR(SUMIF(INDIRECT("'"&amp;'Template Setup'!$C$7&amp;"'!C:C"),$A724,INDIRECT("'"&amp;'Template Setup'!$C$7&amp;"'!A:A")),0))</f>
        <v/>
      </c>
      <c r="K724" s="12" t="str">
        <f ca="1">IF($A724="","",IFERROR(SUMIF(INDIRECT("'"&amp;'Template Setup'!$C$8&amp;"'!C:C"),$A724,INDIRECT("'"&amp;'Template Setup'!$C$8&amp;"'!A:A")),0))</f>
        <v/>
      </c>
      <c r="L724" s="11" t="str">
        <f>IF($A724="","",IFERROR(VALUE(MID(TRIM('Template Setup'!$C$4),FIND("-",TRIM('Template Setup'!$C$4))+1,10)),0))</f>
        <v/>
      </c>
      <c r="M724" s="11" t="str">
        <f>IF($A724="","",IFERROR(VALUE(MID(TRIM('Template Setup'!$C$5),FIND("-",TRIM('Template Setup'!$C$5))+1,10)),0))</f>
        <v/>
      </c>
      <c r="N724" s="11" t="str">
        <f>IF($A724="","",IFERROR(VALUE(MID(TRIM('Template Setup'!$C$6),FIND("-",TRIM('Template Setup'!$C$6))+1,10)),0))</f>
        <v/>
      </c>
      <c r="O724" s="11" t="str">
        <f>IF($A724="","",IFERROR(VALUE(MID(TRIM('Template Setup'!$C$7),FIND("-",TRIM('Template Setup'!$C$7))+1,10)),0))</f>
        <v/>
      </c>
      <c r="P724" s="11" t="str">
        <f>IF($A724="","",IFERROR(VALUE(MID(TRIM('Template Setup'!$C$8),FIND("-",TRIM('Template Setup'!$C$8))+1,10)),0))</f>
        <v/>
      </c>
      <c r="Q724" s="9" t="str">
        <f>IF($A724="","",$A724&amp;"-"&amp;'Template Setup'!$C$16)</f>
        <v/>
      </c>
      <c r="R724" s="24" t="str">
        <f t="shared" si="45"/>
        <v/>
      </c>
      <c r="S724" s="24"/>
      <c r="T724" s="24" t="str">
        <f t="shared" si="46"/>
        <v/>
      </c>
      <c r="U724" s="6" t="str">
        <f t="shared" si="48"/>
        <v/>
      </c>
    </row>
    <row r="725" spans="1:21">
      <c r="A725" s="11"/>
      <c r="B725" s="11"/>
      <c r="C725" s="11"/>
      <c r="D725" s="11" t="str">
        <f>IF($A725="","",_xlfn.TEXTJOIN(", ",TRUE,IF($G725&gt;0,'Template Setup'!$C$4,""),IF($H725&gt;0,'Template Setup'!$C$5,""),IF($I725&gt;0,'Template Setup'!$C$6,""),IF($J725&gt;0,'Template Setup'!$C$7,""),IF($K725&gt;0,'Template Setup'!$C$8,"")))</f>
        <v/>
      </c>
      <c r="E725" s="6" t="str" cm="1">
        <f t="array" ref="E725">IF($A725="","",_xlfn.LET(_xlpm.sheets,CHOOSE({1,2,3,4,5},'Template Setup'!$C$4,'Template Setup'!$C$5,'Template Setup'!$C$6,'Template Setup'!$C$7,'Template Setup'!$C$8),_xlpm.nums,CHOOSE({1,2,3,4,5},$L725,$M725,$N725,$O725,$P725),_xlpm.qtys,CHOOSE({1,2,3,4,5},$G725,$H725,$I725,$J725,$K725),_xlpm.validNums,_xlfn._xlws.FILTER(_xlpm.nums,_xlpm.qtys&gt;0),_xlpm.validSheets,_xlfn._xlws.FILTER(_xlpm.sheets,_xlpm.qtys&gt;0),_xlpm.mx,IFERROR(MAX(_xlpm.validNums),0),IF(_xlpm.mx=0,"",INDEX(_xlpm.validSheets,MATCH(_xlpm.mx,_xlpm.validNums,0))&amp;" (+"&amp;$R725&amp;")")))</f>
        <v/>
      </c>
      <c r="F725" s="11" t="str">
        <f t="shared" si="47"/>
        <v/>
      </c>
      <c r="G725" s="12" t="str">
        <f ca="1">IF($A725="","",IFERROR(SUMIF(INDIRECT("'"&amp;'Template Setup'!$C$4&amp;"'!C:C"),$A725,INDIRECT("'"&amp;'Template Setup'!$C$4&amp;"'!A:A")),0))</f>
        <v/>
      </c>
      <c r="H725" s="12" t="str">
        <f ca="1">IF($A725="","",IFERROR(SUMIF(INDIRECT("'"&amp;'Template Setup'!$C$5&amp;"'!C:C"),$A725,INDIRECT("'"&amp;'Template Setup'!$C$5&amp;"'!A:A")),0))</f>
        <v/>
      </c>
      <c r="I725" s="12" t="str">
        <f ca="1">IF($A725="","",IFERROR(SUMIF(INDIRECT("'"&amp;'Template Setup'!$C$6&amp;"'!C:C"),$A725,INDIRECT("'"&amp;'Template Setup'!$C$6&amp;"'!A:A")),0))</f>
        <v/>
      </c>
      <c r="J725" s="12" t="str">
        <f ca="1">IF($A725="","",IFERROR(SUMIF(INDIRECT("'"&amp;'Template Setup'!$C$7&amp;"'!C:C"),$A725,INDIRECT("'"&amp;'Template Setup'!$C$7&amp;"'!A:A")),0))</f>
        <v/>
      </c>
      <c r="K725" s="12" t="str">
        <f ca="1">IF($A725="","",IFERROR(SUMIF(INDIRECT("'"&amp;'Template Setup'!$C$8&amp;"'!C:C"),$A725,INDIRECT("'"&amp;'Template Setup'!$C$8&amp;"'!A:A")),0))</f>
        <v/>
      </c>
      <c r="L725" s="11" t="str">
        <f>IF($A725="","",IFERROR(VALUE(MID(TRIM('Template Setup'!$C$4),FIND("-",TRIM('Template Setup'!$C$4))+1,10)),0))</f>
        <v/>
      </c>
      <c r="M725" s="11" t="str">
        <f>IF($A725="","",IFERROR(VALUE(MID(TRIM('Template Setup'!$C$5),FIND("-",TRIM('Template Setup'!$C$5))+1,10)),0))</f>
        <v/>
      </c>
      <c r="N725" s="11" t="str">
        <f>IF($A725="","",IFERROR(VALUE(MID(TRIM('Template Setup'!$C$6),FIND("-",TRIM('Template Setup'!$C$6))+1,10)),0))</f>
        <v/>
      </c>
      <c r="O725" s="11" t="str">
        <f>IF($A725="","",IFERROR(VALUE(MID(TRIM('Template Setup'!$C$7),FIND("-",TRIM('Template Setup'!$C$7))+1,10)),0))</f>
        <v/>
      </c>
      <c r="P725" s="11" t="str">
        <f>IF($A725="","",IFERROR(VALUE(MID(TRIM('Template Setup'!$C$8),FIND("-",TRIM('Template Setup'!$C$8))+1,10)),0))</f>
        <v/>
      </c>
      <c r="Q725" s="9" t="str">
        <f>IF($A725="","",$A725&amp;"-"&amp;'Template Setup'!$C$16)</f>
        <v/>
      </c>
      <c r="R725" s="24" t="str">
        <f t="shared" si="45"/>
        <v/>
      </c>
      <c r="S725" s="24"/>
      <c r="T725" s="24" t="str">
        <f t="shared" si="46"/>
        <v/>
      </c>
      <c r="U725" s="6" t="str">
        <f t="shared" si="48"/>
        <v/>
      </c>
    </row>
    <row r="726" spans="1:21">
      <c r="A726" s="11"/>
      <c r="B726" s="11"/>
      <c r="C726" s="11"/>
      <c r="D726" s="11" t="str">
        <f>IF($A726="","",_xlfn.TEXTJOIN(", ",TRUE,IF($G726&gt;0,'Template Setup'!$C$4,""),IF($H726&gt;0,'Template Setup'!$C$5,""),IF($I726&gt;0,'Template Setup'!$C$6,""),IF($J726&gt;0,'Template Setup'!$C$7,""),IF($K726&gt;0,'Template Setup'!$C$8,"")))</f>
        <v/>
      </c>
      <c r="E726" s="6" t="str" cm="1">
        <f t="array" ref="E726">IF($A726="","",_xlfn.LET(_xlpm.sheets,CHOOSE({1,2,3,4,5},'Template Setup'!$C$4,'Template Setup'!$C$5,'Template Setup'!$C$6,'Template Setup'!$C$7,'Template Setup'!$C$8),_xlpm.nums,CHOOSE({1,2,3,4,5},$L726,$M726,$N726,$O726,$P726),_xlpm.qtys,CHOOSE({1,2,3,4,5},$G726,$H726,$I726,$J726,$K726),_xlpm.validNums,_xlfn._xlws.FILTER(_xlpm.nums,_xlpm.qtys&gt;0),_xlpm.validSheets,_xlfn._xlws.FILTER(_xlpm.sheets,_xlpm.qtys&gt;0),_xlpm.mx,IFERROR(MAX(_xlpm.validNums),0),IF(_xlpm.mx=0,"",INDEX(_xlpm.validSheets,MATCH(_xlpm.mx,_xlpm.validNums,0))&amp;" (+"&amp;$R726&amp;")")))</f>
        <v/>
      </c>
      <c r="F726" s="11" t="str">
        <f t="shared" si="47"/>
        <v/>
      </c>
      <c r="G726" s="12" t="str">
        <f ca="1">IF($A726="","",IFERROR(SUMIF(INDIRECT("'"&amp;'Template Setup'!$C$4&amp;"'!C:C"),$A726,INDIRECT("'"&amp;'Template Setup'!$C$4&amp;"'!A:A")),0))</f>
        <v/>
      </c>
      <c r="H726" s="12" t="str">
        <f ca="1">IF($A726="","",IFERROR(SUMIF(INDIRECT("'"&amp;'Template Setup'!$C$5&amp;"'!C:C"),$A726,INDIRECT("'"&amp;'Template Setup'!$C$5&amp;"'!A:A")),0))</f>
        <v/>
      </c>
      <c r="I726" s="12" t="str">
        <f ca="1">IF($A726="","",IFERROR(SUMIF(INDIRECT("'"&amp;'Template Setup'!$C$6&amp;"'!C:C"),$A726,INDIRECT("'"&amp;'Template Setup'!$C$6&amp;"'!A:A")),0))</f>
        <v/>
      </c>
      <c r="J726" s="12" t="str">
        <f ca="1">IF($A726="","",IFERROR(SUMIF(INDIRECT("'"&amp;'Template Setup'!$C$7&amp;"'!C:C"),$A726,INDIRECT("'"&amp;'Template Setup'!$C$7&amp;"'!A:A")),0))</f>
        <v/>
      </c>
      <c r="K726" s="12" t="str">
        <f ca="1">IF($A726="","",IFERROR(SUMIF(INDIRECT("'"&amp;'Template Setup'!$C$8&amp;"'!C:C"),$A726,INDIRECT("'"&amp;'Template Setup'!$C$8&amp;"'!A:A")),0))</f>
        <v/>
      </c>
      <c r="L726" s="11" t="str">
        <f>IF($A726="","",IFERROR(VALUE(MID(TRIM('Template Setup'!$C$4),FIND("-",TRIM('Template Setup'!$C$4))+1,10)),0))</f>
        <v/>
      </c>
      <c r="M726" s="11" t="str">
        <f>IF($A726="","",IFERROR(VALUE(MID(TRIM('Template Setup'!$C$5),FIND("-",TRIM('Template Setup'!$C$5))+1,10)),0))</f>
        <v/>
      </c>
      <c r="N726" s="11" t="str">
        <f>IF($A726="","",IFERROR(VALUE(MID(TRIM('Template Setup'!$C$6),FIND("-",TRIM('Template Setup'!$C$6))+1,10)),0))</f>
        <v/>
      </c>
      <c r="O726" s="11" t="str">
        <f>IF($A726="","",IFERROR(VALUE(MID(TRIM('Template Setup'!$C$7),FIND("-",TRIM('Template Setup'!$C$7))+1,10)),0))</f>
        <v/>
      </c>
      <c r="P726" s="11" t="str">
        <f>IF($A726="","",IFERROR(VALUE(MID(TRIM('Template Setup'!$C$8),FIND("-",TRIM('Template Setup'!$C$8))+1,10)),0))</f>
        <v/>
      </c>
      <c r="Q726" s="9" t="str">
        <f>IF($A726="","",$A726&amp;"-"&amp;'Template Setup'!$C$16)</f>
        <v/>
      </c>
      <c r="R726" s="24" t="str">
        <f t="shared" si="45"/>
        <v/>
      </c>
      <c r="S726" s="24"/>
      <c r="T726" s="24" t="str">
        <f t="shared" si="46"/>
        <v/>
      </c>
      <c r="U726" s="6" t="str">
        <f t="shared" si="48"/>
        <v/>
      </c>
    </row>
    <row r="727" spans="1:21">
      <c r="A727" s="11"/>
      <c r="B727" s="11"/>
      <c r="C727" s="11"/>
      <c r="D727" s="11" t="str">
        <f>IF($A727="","",_xlfn.TEXTJOIN(", ",TRUE,IF($G727&gt;0,'Template Setup'!$C$4,""),IF($H727&gt;0,'Template Setup'!$C$5,""),IF($I727&gt;0,'Template Setup'!$C$6,""),IF($J727&gt;0,'Template Setup'!$C$7,""),IF($K727&gt;0,'Template Setup'!$C$8,"")))</f>
        <v/>
      </c>
      <c r="E727" s="6" t="str" cm="1">
        <f t="array" ref="E727">IF($A727="","",_xlfn.LET(_xlpm.sheets,CHOOSE({1,2,3,4,5},'Template Setup'!$C$4,'Template Setup'!$C$5,'Template Setup'!$C$6,'Template Setup'!$C$7,'Template Setup'!$C$8),_xlpm.nums,CHOOSE({1,2,3,4,5},$L727,$M727,$N727,$O727,$P727),_xlpm.qtys,CHOOSE({1,2,3,4,5},$G727,$H727,$I727,$J727,$K727),_xlpm.validNums,_xlfn._xlws.FILTER(_xlpm.nums,_xlpm.qtys&gt;0),_xlpm.validSheets,_xlfn._xlws.FILTER(_xlpm.sheets,_xlpm.qtys&gt;0),_xlpm.mx,IFERROR(MAX(_xlpm.validNums),0),IF(_xlpm.mx=0,"",INDEX(_xlpm.validSheets,MATCH(_xlpm.mx,_xlpm.validNums,0))&amp;" (+"&amp;$R727&amp;")")))</f>
        <v/>
      </c>
      <c r="F727" s="11" t="str">
        <f t="shared" si="47"/>
        <v/>
      </c>
      <c r="G727" s="12" t="str">
        <f ca="1">IF($A727="","",IFERROR(SUMIF(INDIRECT("'"&amp;'Template Setup'!$C$4&amp;"'!C:C"),$A727,INDIRECT("'"&amp;'Template Setup'!$C$4&amp;"'!A:A")),0))</f>
        <v/>
      </c>
      <c r="H727" s="12" t="str">
        <f ca="1">IF($A727="","",IFERROR(SUMIF(INDIRECT("'"&amp;'Template Setup'!$C$5&amp;"'!C:C"),$A727,INDIRECT("'"&amp;'Template Setup'!$C$5&amp;"'!A:A")),0))</f>
        <v/>
      </c>
      <c r="I727" s="12" t="str">
        <f ca="1">IF($A727="","",IFERROR(SUMIF(INDIRECT("'"&amp;'Template Setup'!$C$6&amp;"'!C:C"),$A727,INDIRECT("'"&amp;'Template Setup'!$C$6&amp;"'!A:A")),0))</f>
        <v/>
      </c>
      <c r="J727" s="12" t="str">
        <f ca="1">IF($A727="","",IFERROR(SUMIF(INDIRECT("'"&amp;'Template Setup'!$C$7&amp;"'!C:C"),$A727,INDIRECT("'"&amp;'Template Setup'!$C$7&amp;"'!A:A")),0))</f>
        <v/>
      </c>
      <c r="K727" s="12" t="str">
        <f ca="1">IF($A727="","",IFERROR(SUMIF(INDIRECT("'"&amp;'Template Setup'!$C$8&amp;"'!C:C"),$A727,INDIRECT("'"&amp;'Template Setup'!$C$8&amp;"'!A:A")),0))</f>
        <v/>
      </c>
      <c r="L727" s="11" t="str">
        <f>IF($A727="","",IFERROR(VALUE(MID(TRIM('Template Setup'!$C$4),FIND("-",TRIM('Template Setup'!$C$4))+1,10)),0))</f>
        <v/>
      </c>
      <c r="M727" s="11" t="str">
        <f>IF($A727="","",IFERROR(VALUE(MID(TRIM('Template Setup'!$C$5),FIND("-",TRIM('Template Setup'!$C$5))+1,10)),0))</f>
        <v/>
      </c>
      <c r="N727" s="11" t="str">
        <f>IF($A727="","",IFERROR(VALUE(MID(TRIM('Template Setup'!$C$6),FIND("-",TRIM('Template Setup'!$C$6))+1,10)),0))</f>
        <v/>
      </c>
      <c r="O727" s="11" t="str">
        <f>IF($A727="","",IFERROR(VALUE(MID(TRIM('Template Setup'!$C$7),FIND("-",TRIM('Template Setup'!$C$7))+1,10)),0))</f>
        <v/>
      </c>
      <c r="P727" s="11" t="str">
        <f>IF($A727="","",IFERROR(VALUE(MID(TRIM('Template Setup'!$C$8),FIND("-",TRIM('Template Setup'!$C$8))+1,10)),0))</f>
        <v/>
      </c>
      <c r="Q727" s="9" t="str">
        <f>IF($A727="","",$A727&amp;"-"&amp;'Template Setup'!$C$16)</f>
        <v/>
      </c>
      <c r="R727" s="24" t="str">
        <f t="shared" si="45"/>
        <v/>
      </c>
      <c r="S727" s="24"/>
      <c r="T727" s="24" t="str">
        <f t="shared" si="46"/>
        <v/>
      </c>
      <c r="U727" s="6" t="str">
        <f t="shared" si="48"/>
        <v/>
      </c>
    </row>
    <row r="728" spans="1:21">
      <c r="A728" s="11"/>
      <c r="B728" s="11"/>
      <c r="C728" s="11"/>
      <c r="D728" s="11" t="str">
        <f>IF($A728="","",_xlfn.TEXTJOIN(", ",TRUE,IF($G728&gt;0,'Template Setup'!$C$4,""),IF($H728&gt;0,'Template Setup'!$C$5,""),IF($I728&gt;0,'Template Setup'!$C$6,""),IF($J728&gt;0,'Template Setup'!$C$7,""),IF($K728&gt;0,'Template Setup'!$C$8,"")))</f>
        <v/>
      </c>
      <c r="E728" s="6" t="str" cm="1">
        <f t="array" ref="E728">IF($A728="","",_xlfn.LET(_xlpm.sheets,CHOOSE({1,2,3,4,5},'Template Setup'!$C$4,'Template Setup'!$C$5,'Template Setup'!$C$6,'Template Setup'!$C$7,'Template Setup'!$C$8),_xlpm.nums,CHOOSE({1,2,3,4,5},$L728,$M728,$N728,$O728,$P728),_xlpm.qtys,CHOOSE({1,2,3,4,5},$G728,$H728,$I728,$J728,$K728),_xlpm.validNums,_xlfn._xlws.FILTER(_xlpm.nums,_xlpm.qtys&gt;0),_xlpm.validSheets,_xlfn._xlws.FILTER(_xlpm.sheets,_xlpm.qtys&gt;0),_xlpm.mx,IFERROR(MAX(_xlpm.validNums),0),IF(_xlpm.mx=0,"",INDEX(_xlpm.validSheets,MATCH(_xlpm.mx,_xlpm.validNums,0))&amp;" (+"&amp;$R728&amp;")")))</f>
        <v/>
      </c>
      <c r="F728" s="11" t="str">
        <f t="shared" si="47"/>
        <v/>
      </c>
      <c r="G728" s="12" t="str">
        <f ca="1">IF($A728="","",IFERROR(SUMIF(INDIRECT("'"&amp;'Template Setup'!$C$4&amp;"'!C:C"),$A728,INDIRECT("'"&amp;'Template Setup'!$C$4&amp;"'!A:A")),0))</f>
        <v/>
      </c>
      <c r="H728" s="12" t="str">
        <f ca="1">IF($A728="","",IFERROR(SUMIF(INDIRECT("'"&amp;'Template Setup'!$C$5&amp;"'!C:C"),$A728,INDIRECT("'"&amp;'Template Setup'!$C$5&amp;"'!A:A")),0))</f>
        <v/>
      </c>
      <c r="I728" s="12" t="str">
        <f ca="1">IF($A728="","",IFERROR(SUMIF(INDIRECT("'"&amp;'Template Setup'!$C$6&amp;"'!C:C"),$A728,INDIRECT("'"&amp;'Template Setup'!$C$6&amp;"'!A:A")),0))</f>
        <v/>
      </c>
      <c r="J728" s="12" t="str">
        <f ca="1">IF($A728="","",IFERROR(SUMIF(INDIRECT("'"&amp;'Template Setup'!$C$7&amp;"'!C:C"),$A728,INDIRECT("'"&amp;'Template Setup'!$C$7&amp;"'!A:A")),0))</f>
        <v/>
      </c>
      <c r="K728" s="12" t="str">
        <f ca="1">IF($A728="","",IFERROR(SUMIF(INDIRECT("'"&amp;'Template Setup'!$C$8&amp;"'!C:C"),$A728,INDIRECT("'"&amp;'Template Setup'!$C$8&amp;"'!A:A")),0))</f>
        <v/>
      </c>
      <c r="L728" s="11" t="str">
        <f>IF($A728="","",IFERROR(VALUE(MID(TRIM('Template Setup'!$C$4),FIND("-",TRIM('Template Setup'!$C$4))+1,10)),0))</f>
        <v/>
      </c>
      <c r="M728" s="11" t="str">
        <f>IF($A728="","",IFERROR(VALUE(MID(TRIM('Template Setup'!$C$5),FIND("-",TRIM('Template Setup'!$C$5))+1,10)),0))</f>
        <v/>
      </c>
      <c r="N728" s="11" t="str">
        <f>IF($A728="","",IFERROR(VALUE(MID(TRIM('Template Setup'!$C$6),FIND("-",TRIM('Template Setup'!$C$6))+1,10)),0))</f>
        <v/>
      </c>
      <c r="O728" s="11" t="str">
        <f>IF($A728="","",IFERROR(VALUE(MID(TRIM('Template Setup'!$C$7),FIND("-",TRIM('Template Setup'!$C$7))+1,10)),0))</f>
        <v/>
      </c>
      <c r="P728" s="11" t="str">
        <f>IF($A728="","",IFERROR(VALUE(MID(TRIM('Template Setup'!$C$8),FIND("-",TRIM('Template Setup'!$C$8))+1,10)),0))</f>
        <v/>
      </c>
      <c r="Q728" s="9" t="str">
        <f>IF($A728="","",$A728&amp;"-"&amp;'Template Setup'!$C$16)</f>
        <v/>
      </c>
      <c r="R728" s="24" t="str">
        <f t="shared" si="45"/>
        <v/>
      </c>
      <c r="S728" s="24"/>
      <c r="T728" s="24" t="str">
        <f t="shared" si="46"/>
        <v/>
      </c>
      <c r="U728" s="6" t="str">
        <f t="shared" si="48"/>
        <v/>
      </c>
    </row>
    <row r="729" spans="1:21">
      <c r="A729" s="11"/>
      <c r="B729" s="11"/>
      <c r="C729" s="11"/>
      <c r="D729" s="11" t="str">
        <f>IF($A729="","",_xlfn.TEXTJOIN(", ",TRUE,IF($G729&gt;0,'Template Setup'!$C$4,""),IF($H729&gt;0,'Template Setup'!$C$5,""),IF($I729&gt;0,'Template Setup'!$C$6,""),IF($J729&gt;0,'Template Setup'!$C$7,""),IF($K729&gt;0,'Template Setup'!$C$8,"")))</f>
        <v/>
      </c>
      <c r="E729" s="6" t="str" cm="1">
        <f t="array" ref="E729">IF($A729="","",_xlfn.LET(_xlpm.sheets,CHOOSE({1,2,3,4,5},'Template Setup'!$C$4,'Template Setup'!$C$5,'Template Setup'!$C$6,'Template Setup'!$C$7,'Template Setup'!$C$8),_xlpm.nums,CHOOSE({1,2,3,4,5},$L729,$M729,$N729,$O729,$P729),_xlpm.qtys,CHOOSE({1,2,3,4,5},$G729,$H729,$I729,$J729,$K729),_xlpm.validNums,_xlfn._xlws.FILTER(_xlpm.nums,_xlpm.qtys&gt;0),_xlpm.validSheets,_xlfn._xlws.FILTER(_xlpm.sheets,_xlpm.qtys&gt;0),_xlpm.mx,IFERROR(MAX(_xlpm.validNums),0),IF(_xlpm.mx=0,"",INDEX(_xlpm.validSheets,MATCH(_xlpm.mx,_xlpm.validNums,0))&amp;" (+"&amp;$R729&amp;")")))</f>
        <v/>
      </c>
      <c r="F729" s="11" t="str">
        <f t="shared" si="47"/>
        <v/>
      </c>
      <c r="G729" s="12" t="str">
        <f ca="1">IF($A729="","",IFERROR(SUMIF(INDIRECT("'"&amp;'Template Setup'!$C$4&amp;"'!C:C"),$A729,INDIRECT("'"&amp;'Template Setup'!$C$4&amp;"'!A:A")),0))</f>
        <v/>
      </c>
      <c r="H729" s="12" t="str">
        <f ca="1">IF($A729="","",IFERROR(SUMIF(INDIRECT("'"&amp;'Template Setup'!$C$5&amp;"'!C:C"),$A729,INDIRECT("'"&amp;'Template Setup'!$C$5&amp;"'!A:A")),0))</f>
        <v/>
      </c>
      <c r="I729" s="12" t="str">
        <f ca="1">IF($A729="","",IFERROR(SUMIF(INDIRECT("'"&amp;'Template Setup'!$C$6&amp;"'!C:C"),$A729,INDIRECT("'"&amp;'Template Setup'!$C$6&amp;"'!A:A")),0))</f>
        <v/>
      </c>
      <c r="J729" s="12" t="str">
        <f ca="1">IF($A729="","",IFERROR(SUMIF(INDIRECT("'"&amp;'Template Setup'!$C$7&amp;"'!C:C"),$A729,INDIRECT("'"&amp;'Template Setup'!$C$7&amp;"'!A:A")),0))</f>
        <v/>
      </c>
      <c r="K729" s="12" t="str">
        <f ca="1">IF($A729="","",IFERROR(SUMIF(INDIRECT("'"&amp;'Template Setup'!$C$8&amp;"'!C:C"),$A729,INDIRECT("'"&amp;'Template Setup'!$C$8&amp;"'!A:A")),0))</f>
        <v/>
      </c>
      <c r="L729" s="11" t="str">
        <f>IF($A729="","",IFERROR(VALUE(MID(TRIM('Template Setup'!$C$4),FIND("-",TRIM('Template Setup'!$C$4))+1,10)),0))</f>
        <v/>
      </c>
      <c r="M729" s="11" t="str">
        <f>IF($A729="","",IFERROR(VALUE(MID(TRIM('Template Setup'!$C$5),FIND("-",TRIM('Template Setup'!$C$5))+1,10)),0))</f>
        <v/>
      </c>
      <c r="N729" s="11" t="str">
        <f>IF($A729="","",IFERROR(VALUE(MID(TRIM('Template Setup'!$C$6),FIND("-",TRIM('Template Setup'!$C$6))+1,10)),0))</f>
        <v/>
      </c>
      <c r="O729" s="11" t="str">
        <f>IF($A729="","",IFERROR(VALUE(MID(TRIM('Template Setup'!$C$7),FIND("-",TRIM('Template Setup'!$C$7))+1,10)),0))</f>
        <v/>
      </c>
      <c r="P729" s="11" t="str">
        <f>IF($A729="","",IFERROR(VALUE(MID(TRIM('Template Setup'!$C$8),FIND("-",TRIM('Template Setup'!$C$8))+1,10)),0))</f>
        <v/>
      </c>
      <c r="Q729" s="9" t="str">
        <f>IF($A729="","",$A729&amp;"-"&amp;'Template Setup'!$C$16)</f>
        <v/>
      </c>
      <c r="R729" s="24" t="str">
        <f t="shared" si="45"/>
        <v/>
      </c>
      <c r="S729" s="24"/>
      <c r="T729" s="24" t="str">
        <f t="shared" si="46"/>
        <v/>
      </c>
      <c r="U729" s="6" t="str">
        <f t="shared" si="48"/>
        <v/>
      </c>
    </row>
    <row r="730" spans="1:21">
      <c r="A730" s="11"/>
      <c r="B730" s="11"/>
      <c r="C730" s="11"/>
      <c r="D730" s="11" t="str">
        <f>IF($A730="","",_xlfn.TEXTJOIN(", ",TRUE,IF($G730&gt;0,'Template Setup'!$C$4,""),IF($H730&gt;0,'Template Setup'!$C$5,""),IF($I730&gt;0,'Template Setup'!$C$6,""),IF($J730&gt;0,'Template Setup'!$C$7,""),IF($K730&gt;0,'Template Setup'!$C$8,"")))</f>
        <v/>
      </c>
      <c r="E730" s="6" t="str" cm="1">
        <f t="array" ref="E730">IF($A730="","",_xlfn.LET(_xlpm.sheets,CHOOSE({1,2,3,4,5},'Template Setup'!$C$4,'Template Setup'!$C$5,'Template Setup'!$C$6,'Template Setup'!$C$7,'Template Setup'!$C$8),_xlpm.nums,CHOOSE({1,2,3,4,5},$L730,$M730,$N730,$O730,$P730),_xlpm.qtys,CHOOSE({1,2,3,4,5},$G730,$H730,$I730,$J730,$K730),_xlpm.validNums,_xlfn._xlws.FILTER(_xlpm.nums,_xlpm.qtys&gt;0),_xlpm.validSheets,_xlfn._xlws.FILTER(_xlpm.sheets,_xlpm.qtys&gt;0),_xlpm.mx,IFERROR(MAX(_xlpm.validNums),0),IF(_xlpm.mx=0,"",INDEX(_xlpm.validSheets,MATCH(_xlpm.mx,_xlpm.validNums,0))&amp;" (+"&amp;$R730&amp;")")))</f>
        <v/>
      </c>
      <c r="F730" s="11" t="str">
        <f t="shared" si="47"/>
        <v/>
      </c>
      <c r="G730" s="12" t="str">
        <f ca="1">IF($A730="","",IFERROR(SUMIF(INDIRECT("'"&amp;'Template Setup'!$C$4&amp;"'!C:C"),$A730,INDIRECT("'"&amp;'Template Setup'!$C$4&amp;"'!A:A")),0))</f>
        <v/>
      </c>
      <c r="H730" s="12" t="str">
        <f ca="1">IF($A730="","",IFERROR(SUMIF(INDIRECT("'"&amp;'Template Setup'!$C$5&amp;"'!C:C"),$A730,INDIRECT("'"&amp;'Template Setup'!$C$5&amp;"'!A:A")),0))</f>
        <v/>
      </c>
      <c r="I730" s="12" t="str">
        <f ca="1">IF($A730="","",IFERROR(SUMIF(INDIRECT("'"&amp;'Template Setup'!$C$6&amp;"'!C:C"),$A730,INDIRECT("'"&amp;'Template Setup'!$C$6&amp;"'!A:A")),0))</f>
        <v/>
      </c>
      <c r="J730" s="12" t="str">
        <f ca="1">IF($A730="","",IFERROR(SUMIF(INDIRECT("'"&amp;'Template Setup'!$C$7&amp;"'!C:C"),$A730,INDIRECT("'"&amp;'Template Setup'!$C$7&amp;"'!A:A")),0))</f>
        <v/>
      </c>
      <c r="K730" s="12" t="str">
        <f ca="1">IF($A730="","",IFERROR(SUMIF(INDIRECT("'"&amp;'Template Setup'!$C$8&amp;"'!C:C"),$A730,INDIRECT("'"&amp;'Template Setup'!$C$8&amp;"'!A:A")),0))</f>
        <v/>
      </c>
      <c r="L730" s="11" t="str">
        <f>IF($A730="","",IFERROR(VALUE(MID(TRIM('Template Setup'!$C$4),FIND("-",TRIM('Template Setup'!$C$4))+1,10)),0))</f>
        <v/>
      </c>
      <c r="M730" s="11" t="str">
        <f>IF($A730="","",IFERROR(VALUE(MID(TRIM('Template Setup'!$C$5),FIND("-",TRIM('Template Setup'!$C$5))+1,10)),0))</f>
        <v/>
      </c>
      <c r="N730" s="11" t="str">
        <f>IF($A730="","",IFERROR(VALUE(MID(TRIM('Template Setup'!$C$6),FIND("-",TRIM('Template Setup'!$C$6))+1,10)),0))</f>
        <v/>
      </c>
      <c r="O730" s="11" t="str">
        <f>IF($A730="","",IFERROR(VALUE(MID(TRIM('Template Setup'!$C$7),FIND("-",TRIM('Template Setup'!$C$7))+1,10)),0))</f>
        <v/>
      </c>
      <c r="P730" s="11" t="str">
        <f>IF($A730="","",IFERROR(VALUE(MID(TRIM('Template Setup'!$C$8),FIND("-",TRIM('Template Setup'!$C$8))+1,10)),0))</f>
        <v/>
      </c>
      <c r="Q730" s="9" t="str">
        <f>IF($A730="","",$A730&amp;"-"&amp;'Template Setup'!$C$16)</f>
        <v/>
      </c>
      <c r="R730" s="24" t="str">
        <f t="shared" si="45"/>
        <v/>
      </c>
      <c r="S730" s="24"/>
      <c r="T730" s="24" t="str">
        <f t="shared" si="46"/>
        <v/>
      </c>
      <c r="U730" s="6" t="str">
        <f t="shared" si="48"/>
        <v/>
      </c>
    </row>
    <row r="731" spans="1:21">
      <c r="A731" s="11"/>
      <c r="B731" s="11"/>
      <c r="C731" s="11"/>
      <c r="D731" s="11" t="str">
        <f>IF($A731="","",_xlfn.TEXTJOIN(", ",TRUE,IF($G731&gt;0,'Template Setup'!$C$4,""),IF($H731&gt;0,'Template Setup'!$C$5,""),IF($I731&gt;0,'Template Setup'!$C$6,""),IF($J731&gt;0,'Template Setup'!$C$7,""),IF($K731&gt;0,'Template Setup'!$C$8,"")))</f>
        <v/>
      </c>
      <c r="E731" s="6" t="str" cm="1">
        <f t="array" ref="E731">IF($A731="","",_xlfn.LET(_xlpm.sheets,CHOOSE({1,2,3,4,5},'Template Setup'!$C$4,'Template Setup'!$C$5,'Template Setup'!$C$6,'Template Setup'!$C$7,'Template Setup'!$C$8),_xlpm.nums,CHOOSE({1,2,3,4,5},$L731,$M731,$N731,$O731,$P731),_xlpm.qtys,CHOOSE({1,2,3,4,5},$G731,$H731,$I731,$J731,$K731),_xlpm.validNums,_xlfn._xlws.FILTER(_xlpm.nums,_xlpm.qtys&gt;0),_xlpm.validSheets,_xlfn._xlws.FILTER(_xlpm.sheets,_xlpm.qtys&gt;0),_xlpm.mx,IFERROR(MAX(_xlpm.validNums),0),IF(_xlpm.mx=0,"",INDEX(_xlpm.validSheets,MATCH(_xlpm.mx,_xlpm.validNums,0))&amp;" (+"&amp;$R731&amp;")")))</f>
        <v/>
      </c>
      <c r="F731" s="11" t="str">
        <f t="shared" si="47"/>
        <v/>
      </c>
      <c r="G731" s="12" t="str">
        <f ca="1">IF($A731="","",IFERROR(SUMIF(INDIRECT("'"&amp;'Template Setup'!$C$4&amp;"'!C:C"),$A731,INDIRECT("'"&amp;'Template Setup'!$C$4&amp;"'!A:A")),0))</f>
        <v/>
      </c>
      <c r="H731" s="12" t="str">
        <f ca="1">IF($A731="","",IFERROR(SUMIF(INDIRECT("'"&amp;'Template Setup'!$C$5&amp;"'!C:C"),$A731,INDIRECT("'"&amp;'Template Setup'!$C$5&amp;"'!A:A")),0))</f>
        <v/>
      </c>
      <c r="I731" s="12" t="str">
        <f ca="1">IF($A731="","",IFERROR(SUMIF(INDIRECT("'"&amp;'Template Setup'!$C$6&amp;"'!C:C"),$A731,INDIRECT("'"&amp;'Template Setup'!$C$6&amp;"'!A:A")),0))</f>
        <v/>
      </c>
      <c r="J731" s="12" t="str">
        <f ca="1">IF($A731="","",IFERROR(SUMIF(INDIRECT("'"&amp;'Template Setup'!$C$7&amp;"'!C:C"),$A731,INDIRECT("'"&amp;'Template Setup'!$C$7&amp;"'!A:A")),0))</f>
        <v/>
      </c>
      <c r="K731" s="12" t="str">
        <f ca="1">IF($A731="","",IFERROR(SUMIF(INDIRECT("'"&amp;'Template Setup'!$C$8&amp;"'!C:C"),$A731,INDIRECT("'"&amp;'Template Setup'!$C$8&amp;"'!A:A")),0))</f>
        <v/>
      </c>
      <c r="L731" s="11" t="str">
        <f>IF($A731="","",IFERROR(VALUE(MID(TRIM('Template Setup'!$C$4),FIND("-",TRIM('Template Setup'!$C$4))+1,10)),0))</f>
        <v/>
      </c>
      <c r="M731" s="11" t="str">
        <f>IF($A731="","",IFERROR(VALUE(MID(TRIM('Template Setup'!$C$5),FIND("-",TRIM('Template Setup'!$C$5))+1,10)),0))</f>
        <v/>
      </c>
      <c r="N731" s="11" t="str">
        <f>IF($A731="","",IFERROR(VALUE(MID(TRIM('Template Setup'!$C$6),FIND("-",TRIM('Template Setup'!$C$6))+1,10)),0))</f>
        <v/>
      </c>
      <c r="O731" s="11" t="str">
        <f>IF($A731="","",IFERROR(VALUE(MID(TRIM('Template Setup'!$C$7),FIND("-",TRIM('Template Setup'!$C$7))+1,10)),0))</f>
        <v/>
      </c>
      <c r="P731" s="11" t="str">
        <f>IF($A731="","",IFERROR(VALUE(MID(TRIM('Template Setup'!$C$8),FIND("-",TRIM('Template Setup'!$C$8))+1,10)),0))</f>
        <v/>
      </c>
      <c r="Q731" s="9" t="str">
        <f>IF($A731="","",$A731&amp;"-"&amp;'Template Setup'!$C$16)</f>
        <v/>
      </c>
      <c r="R731" s="24" t="str">
        <f t="shared" si="45"/>
        <v/>
      </c>
      <c r="S731" s="24"/>
      <c r="T731" s="24" t="str">
        <f t="shared" si="46"/>
        <v/>
      </c>
      <c r="U731" s="6" t="str">
        <f t="shared" si="48"/>
        <v/>
      </c>
    </row>
    <row r="732" spans="1:21">
      <c r="A732" s="11"/>
      <c r="B732" s="11"/>
      <c r="C732" s="11"/>
      <c r="D732" s="11" t="str">
        <f>IF($A732="","",_xlfn.TEXTJOIN(", ",TRUE,IF($G732&gt;0,'Template Setup'!$C$4,""),IF($H732&gt;0,'Template Setup'!$C$5,""),IF($I732&gt;0,'Template Setup'!$C$6,""),IF($J732&gt;0,'Template Setup'!$C$7,""),IF($K732&gt;0,'Template Setup'!$C$8,"")))</f>
        <v/>
      </c>
      <c r="E732" s="6" t="str" cm="1">
        <f t="array" ref="E732">IF($A732="","",_xlfn.LET(_xlpm.sheets,CHOOSE({1,2,3,4,5},'Template Setup'!$C$4,'Template Setup'!$C$5,'Template Setup'!$C$6,'Template Setup'!$C$7,'Template Setup'!$C$8),_xlpm.nums,CHOOSE({1,2,3,4,5},$L732,$M732,$N732,$O732,$P732),_xlpm.qtys,CHOOSE({1,2,3,4,5},$G732,$H732,$I732,$J732,$K732),_xlpm.validNums,_xlfn._xlws.FILTER(_xlpm.nums,_xlpm.qtys&gt;0),_xlpm.validSheets,_xlfn._xlws.FILTER(_xlpm.sheets,_xlpm.qtys&gt;0),_xlpm.mx,IFERROR(MAX(_xlpm.validNums),0),IF(_xlpm.mx=0,"",INDEX(_xlpm.validSheets,MATCH(_xlpm.mx,_xlpm.validNums,0))&amp;" (+"&amp;$R732&amp;")")))</f>
        <v/>
      </c>
      <c r="F732" s="11" t="str">
        <f t="shared" si="47"/>
        <v/>
      </c>
      <c r="G732" s="12" t="str">
        <f ca="1">IF($A732="","",IFERROR(SUMIF(INDIRECT("'"&amp;'Template Setup'!$C$4&amp;"'!C:C"),$A732,INDIRECT("'"&amp;'Template Setup'!$C$4&amp;"'!A:A")),0))</f>
        <v/>
      </c>
      <c r="H732" s="12" t="str">
        <f ca="1">IF($A732="","",IFERROR(SUMIF(INDIRECT("'"&amp;'Template Setup'!$C$5&amp;"'!C:C"),$A732,INDIRECT("'"&amp;'Template Setup'!$C$5&amp;"'!A:A")),0))</f>
        <v/>
      </c>
      <c r="I732" s="12" t="str">
        <f ca="1">IF($A732="","",IFERROR(SUMIF(INDIRECT("'"&amp;'Template Setup'!$C$6&amp;"'!C:C"),$A732,INDIRECT("'"&amp;'Template Setup'!$C$6&amp;"'!A:A")),0))</f>
        <v/>
      </c>
      <c r="J732" s="12" t="str">
        <f ca="1">IF($A732="","",IFERROR(SUMIF(INDIRECT("'"&amp;'Template Setup'!$C$7&amp;"'!C:C"),$A732,INDIRECT("'"&amp;'Template Setup'!$C$7&amp;"'!A:A")),0))</f>
        <v/>
      </c>
      <c r="K732" s="12" t="str">
        <f ca="1">IF($A732="","",IFERROR(SUMIF(INDIRECT("'"&amp;'Template Setup'!$C$8&amp;"'!C:C"),$A732,INDIRECT("'"&amp;'Template Setup'!$C$8&amp;"'!A:A")),0))</f>
        <v/>
      </c>
      <c r="L732" s="11" t="str">
        <f>IF($A732="","",IFERROR(VALUE(MID(TRIM('Template Setup'!$C$4),FIND("-",TRIM('Template Setup'!$C$4))+1,10)),0))</f>
        <v/>
      </c>
      <c r="M732" s="11" t="str">
        <f>IF($A732="","",IFERROR(VALUE(MID(TRIM('Template Setup'!$C$5),FIND("-",TRIM('Template Setup'!$C$5))+1,10)),0))</f>
        <v/>
      </c>
      <c r="N732" s="11" t="str">
        <f>IF($A732="","",IFERROR(VALUE(MID(TRIM('Template Setup'!$C$6),FIND("-",TRIM('Template Setup'!$C$6))+1,10)),0))</f>
        <v/>
      </c>
      <c r="O732" s="11" t="str">
        <f>IF($A732="","",IFERROR(VALUE(MID(TRIM('Template Setup'!$C$7),FIND("-",TRIM('Template Setup'!$C$7))+1,10)),0))</f>
        <v/>
      </c>
      <c r="P732" s="11" t="str">
        <f>IF($A732="","",IFERROR(VALUE(MID(TRIM('Template Setup'!$C$8),FIND("-",TRIM('Template Setup'!$C$8))+1,10)),0))</f>
        <v/>
      </c>
      <c r="Q732" s="9" t="str">
        <f>IF($A732="","",$A732&amp;"-"&amp;'Template Setup'!$C$16)</f>
        <v/>
      </c>
      <c r="R732" s="24" t="str">
        <f t="shared" si="45"/>
        <v/>
      </c>
      <c r="S732" s="24"/>
      <c r="T732" s="24" t="str">
        <f t="shared" si="46"/>
        <v/>
      </c>
      <c r="U732" s="6" t="str">
        <f t="shared" si="48"/>
        <v/>
      </c>
    </row>
    <row r="733" spans="1:21">
      <c r="A733" s="11"/>
      <c r="B733" s="11"/>
      <c r="C733" s="11"/>
      <c r="D733" s="11" t="str">
        <f>IF($A733="","",_xlfn.TEXTJOIN(", ",TRUE,IF($G733&gt;0,'Template Setup'!$C$4,""),IF($H733&gt;0,'Template Setup'!$C$5,""),IF($I733&gt;0,'Template Setup'!$C$6,""),IF($J733&gt;0,'Template Setup'!$C$7,""),IF($K733&gt;0,'Template Setup'!$C$8,"")))</f>
        <v/>
      </c>
      <c r="E733" s="6" t="str" cm="1">
        <f t="array" ref="E733">IF($A733="","",_xlfn.LET(_xlpm.sheets,CHOOSE({1,2,3,4,5},'Template Setup'!$C$4,'Template Setup'!$C$5,'Template Setup'!$C$6,'Template Setup'!$C$7,'Template Setup'!$C$8),_xlpm.nums,CHOOSE({1,2,3,4,5},$L733,$M733,$N733,$O733,$P733),_xlpm.qtys,CHOOSE({1,2,3,4,5},$G733,$H733,$I733,$J733,$K733),_xlpm.validNums,_xlfn._xlws.FILTER(_xlpm.nums,_xlpm.qtys&gt;0),_xlpm.validSheets,_xlfn._xlws.FILTER(_xlpm.sheets,_xlpm.qtys&gt;0),_xlpm.mx,IFERROR(MAX(_xlpm.validNums),0),IF(_xlpm.mx=0,"",INDEX(_xlpm.validSheets,MATCH(_xlpm.mx,_xlpm.validNums,0))&amp;" (+"&amp;$R733&amp;")")))</f>
        <v/>
      </c>
      <c r="F733" s="11" t="str">
        <f t="shared" si="47"/>
        <v/>
      </c>
      <c r="G733" s="12" t="str">
        <f ca="1">IF($A733="","",IFERROR(SUMIF(INDIRECT("'"&amp;'Template Setup'!$C$4&amp;"'!C:C"),$A733,INDIRECT("'"&amp;'Template Setup'!$C$4&amp;"'!A:A")),0))</f>
        <v/>
      </c>
      <c r="H733" s="12" t="str">
        <f ca="1">IF($A733="","",IFERROR(SUMIF(INDIRECT("'"&amp;'Template Setup'!$C$5&amp;"'!C:C"),$A733,INDIRECT("'"&amp;'Template Setup'!$C$5&amp;"'!A:A")),0))</f>
        <v/>
      </c>
      <c r="I733" s="12" t="str">
        <f ca="1">IF($A733="","",IFERROR(SUMIF(INDIRECT("'"&amp;'Template Setup'!$C$6&amp;"'!C:C"),$A733,INDIRECT("'"&amp;'Template Setup'!$C$6&amp;"'!A:A")),0))</f>
        <v/>
      </c>
      <c r="J733" s="12" t="str">
        <f ca="1">IF($A733="","",IFERROR(SUMIF(INDIRECT("'"&amp;'Template Setup'!$C$7&amp;"'!C:C"),$A733,INDIRECT("'"&amp;'Template Setup'!$C$7&amp;"'!A:A")),0))</f>
        <v/>
      </c>
      <c r="K733" s="12" t="str">
        <f ca="1">IF($A733="","",IFERROR(SUMIF(INDIRECT("'"&amp;'Template Setup'!$C$8&amp;"'!C:C"),$A733,INDIRECT("'"&amp;'Template Setup'!$C$8&amp;"'!A:A")),0))</f>
        <v/>
      </c>
      <c r="L733" s="11" t="str">
        <f>IF($A733="","",IFERROR(VALUE(MID(TRIM('Template Setup'!$C$4),FIND("-",TRIM('Template Setup'!$C$4))+1,10)),0))</f>
        <v/>
      </c>
      <c r="M733" s="11" t="str">
        <f>IF($A733="","",IFERROR(VALUE(MID(TRIM('Template Setup'!$C$5),FIND("-",TRIM('Template Setup'!$C$5))+1,10)),0))</f>
        <v/>
      </c>
      <c r="N733" s="11" t="str">
        <f>IF($A733="","",IFERROR(VALUE(MID(TRIM('Template Setup'!$C$6),FIND("-",TRIM('Template Setup'!$C$6))+1,10)),0))</f>
        <v/>
      </c>
      <c r="O733" s="11" t="str">
        <f>IF($A733="","",IFERROR(VALUE(MID(TRIM('Template Setup'!$C$7),FIND("-",TRIM('Template Setup'!$C$7))+1,10)),0))</f>
        <v/>
      </c>
      <c r="P733" s="11" t="str">
        <f>IF($A733="","",IFERROR(VALUE(MID(TRIM('Template Setup'!$C$8),FIND("-",TRIM('Template Setup'!$C$8))+1,10)),0))</f>
        <v/>
      </c>
      <c r="Q733" s="9" t="str">
        <f>IF($A733="","",$A733&amp;"-"&amp;'Template Setup'!$C$16)</f>
        <v/>
      </c>
      <c r="R733" s="24" t="str">
        <f t="shared" si="45"/>
        <v/>
      </c>
      <c r="S733" s="24"/>
      <c r="T733" s="24" t="str">
        <f t="shared" si="46"/>
        <v/>
      </c>
      <c r="U733" s="6" t="str">
        <f t="shared" si="48"/>
        <v/>
      </c>
    </row>
    <row r="734" spans="1:21">
      <c r="A734" s="11"/>
      <c r="B734" s="11"/>
      <c r="C734" s="11"/>
      <c r="D734" s="11" t="str">
        <f>IF($A734="","",_xlfn.TEXTJOIN(", ",TRUE,IF($G734&gt;0,'Template Setup'!$C$4,""),IF($H734&gt;0,'Template Setup'!$C$5,""),IF($I734&gt;0,'Template Setup'!$C$6,""),IF($J734&gt;0,'Template Setup'!$C$7,""),IF($K734&gt;0,'Template Setup'!$C$8,"")))</f>
        <v/>
      </c>
      <c r="E734" s="6" t="str" cm="1">
        <f t="array" ref="E734">IF($A734="","",_xlfn.LET(_xlpm.sheets,CHOOSE({1,2,3,4,5},'Template Setup'!$C$4,'Template Setup'!$C$5,'Template Setup'!$C$6,'Template Setup'!$C$7,'Template Setup'!$C$8),_xlpm.nums,CHOOSE({1,2,3,4,5},$L734,$M734,$N734,$O734,$P734),_xlpm.qtys,CHOOSE({1,2,3,4,5},$G734,$H734,$I734,$J734,$K734),_xlpm.validNums,_xlfn._xlws.FILTER(_xlpm.nums,_xlpm.qtys&gt;0),_xlpm.validSheets,_xlfn._xlws.FILTER(_xlpm.sheets,_xlpm.qtys&gt;0),_xlpm.mx,IFERROR(MAX(_xlpm.validNums),0),IF(_xlpm.mx=0,"",INDEX(_xlpm.validSheets,MATCH(_xlpm.mx,_xlpm.validNums,0))&amp;" (+"&amp;$R734&amp;")")))</f>
        <v/>
      </c>
      <c r="F734" s="11" t="str">
        <f t="shared" si="47"/>
        <v/>
      </c>
      <c r="G734" s="12" t="str">
        <f ca="1">IF($A734="","",IFERROR(SUMIF(INDIRECT("'"&amp;'Template Setup'!$C$4&amp;"'!C:C"),$A734,INDIRECT("'"&amp;'Template Setup'!$C$4&amp;"'!A:A")),0))</f>
        <v/>
      </c>
      <c r="H734" s="12" t="str">
        <f ca="1">IF($A734="","",IFERROR(SUMIF(INDIRECT("'"&amp;'Template Setup'!$C$5&amp;"'!C:C"),$A734,INDIRECT("'"&amp;'Template Setup'!$C$5&amp;"'!A:A")),0))</f>
        <v/>
      </c>
      <c r="I734" s="12" t="str">
        <f ca="1">IF($A734="","",IFERROR(SUMIF(INDIRECT("'"&amp;'Template Setup'!$C$6&amp;"'!C:C"),$A734,INDIRECT("'"&amp;'Template Setup'!$C$6&amp;"'!A:A")),0))</f>
        <v/>
      </c>
      <c r="J734" s="12" t="str">
        <f ca="1">IF($A734="","",IFERROR(SUMIF(INDIRECT("'"&amp;'Template Setup'!$C$7&amp;"'!C:C"),$A734,INDIRECT("'"&amp;'Template Setup'!$C$7&amp;"'!A:A")),0))</f>
        <v/>
      </c>
      <c r="K734" s="12" t="str">
        <f ca="1">IF($A734="","",IFERROR(SUMIF(INDIRECT("'"&amp;'Template Setup'!$C$8&amp;"'!C:C"),$A734,INDIRECT("'"&amp;'Template Setup'!$C$8&amp;"'!A:A")),0))</f>
        <v/>
      </c>
      <c r="L734" s="11" t="str">
        <f>IF($A734="","",IFERROR(VALUE(MID(TRIM('Template Setup'!$C$4),FIND("-",TRIM('Template Setup'!$C$4))+1,10)),0))</f>
        <v/>
      </c>
      <c r="M734" s="11" t="str">
        <f>IF($A734="","",IFERROR(VALUE(MID(TRIM('Template Setup'!$C$5),FIND("-",TRIM('Template Setup'!$C$5))+1,10)),0))</f>
        <v/>
      </c>
      <c r="N734" s="11" t="str">
        <f>IF($A734="","",IFERROR(VALUE(MID(TRIM('Template Setup'!$C$6),FIND("-",TRIM('Template Setup'!$C$6))+1,10)),0))</f>
        <v/>
      </c>
      <c r="O734" s="11" t="str">
        <f>IF($A734="","",IFERROR(VALUE(MID(TRIM('Template Setup'!$C$7),FIND("-",TRIM('Template Setup'!$C$7))+1,10)),0))</f>
        <v/>
      </c>
      <c r="P734" s="11" t="str">
        <f>IF($A734="","",IFERROR(VALUE(MID(TRIM('Template Setup'!$C$8),FIND("-",TRIM('Template Setup'!$C$8))+1,10)),0))</f>
        <v/>
      </c>
      <c r="Q734" s="9" t="str">
        <f>IF($A734="","",$A734&amp;"-"&amp;'Template Setup'!$C$16)</f>
        <v/>
      </c>
      <c r="R734" s="24" t="str">
        <f t="shared" si="45"/>
        <v/>
      </c>
      <c r="S734" s="24"/>
      <c r="T734" s="24" t="str">
        <f t="shared" si="46"/>
        <v/>
      </c>
      <c r="U734" s="6" t="str">
        <f t="shared" si="48"/>
        <v/>
      </c>
    </row>
    <row r="735" spans="1:21">
      <c r="A735" s="11"/>
      <c r="B735" s="11"/>
      <c r="C735" s="11"/>
      <c r="D735" s="11" t="str">
        <f>IF($A735="","",_xlfn.TEXTJOIN(", ",TRUE,IF($G735&gt;0,'Template Setup'!$C$4,""),IF($H735&gt;0,'Template Setup'!$C$5,""),IF($I735&gt;0,'Template Setup'!$C$6,""),IF($J735&gt;0,'Template Setup'!$C$7,""),IF($K735&gt;0,'Template Setup'!$C$8,"")))</f>
        <v/>
      </c>
      <c r="E735" s="6" t="str" cm="1">
        <f t="array" ref="E735">IF($A735="","",_xlfn.LET(_xlpm.sheets,CHOOSE({1,2,3,4,5},'Template Setup'!$C$4,'Template Setup'!$C$5,'Template Setup'!$C$6,'Template Setup'!$C$7,'Template Setup'!$C$8),_xlpm.nums,CHOOSE({1,2,3,4,5},$L735,$M735,$N735,$O735,$P735),_xlpm.qtys,CHOOSE({1,2,3,4,5},$G735,$H735,$I735,$J735,$K735),_xlpm.validNums,_xlfn._xlws.FILTER(_xlpm.nums,_xlpm.qtys&gt;0),_xlpm.validSheets,_xlfn._xlws.FILTER(_xlpm.sheets,_xlpm.qtys&gt;0),_xlpm.mx,IFERROR(MAX(_xlpm.validNums),0),IF(_xlpm.mx=0,"",INDEX(_xlpm.validSheets,MATCH(_xlpm.mx,_xlpm.validNums,0))&amp;" (+"&amp;$R735&amp;")")))</f>
        <v/>
      </c>
      <c r="F735" s="11" t="str">
        <f t="shared" si="47"/>
        <v/>
      </c>
      <c r="G735" s="12" t="str">
        <f ca="1">IF($A735="","",IFERROR(SUMIF(INDIRECT("'"&amp;'Template Setup'!$C$4&amp;"'!C:C"),$A735,INDIRECT("'"&amp;'Template Setup'!$C$4&amp;"'!A:A")),0))</f>
        <v/>
      </c>
      <c r="H735" s="12" t="str">
        <f ca="1">IF($A735="","",IFERROR(SUMIF(INDIRECT("'"&amp;'Template Setup'!$C$5&amp;"'!C:C"),$A735,INDIRECT("'"&amp;'Template Setup'!$C$5&amp;"'!A:A")),0))</f>
        <v/>
      </c>
      <c r="I735" s="12" t="str">
        <f ca="1">IF($A735="","",IFERROR(SUMIF(INDIRECT("'"&amp;'Template Setup'!$C$6&amp;"'!C:C"),$A735,INDIRECT("'"&amp;'Template Setup'!$C$6&amp;"'!A:A")),0))</f>
        <v/>
      </c>
      <c r="J735" s="12" t="str">
        <f ca="1">IF($A735="","",IFERROR(SUMIF(INDIRECT("'"&amp;'Template Setup'!$C$7&amp;"'!C:C"),$A735,INDIRECT("'"&amp;'Template Setup'!$C$7&amp;"'!A:A")),0))</f>
        <v/>
      </c>
      <c r="K735" s="12" t="str">
        <f ca="1">IF($A735="","",IFERROR(SUMIF(INDIRECT("'"&amp;'Template Setup'!$C$8&amp;"'!C:C"),$A735,INDIRECT("'"&amp;'Template Setup'!$C$8&amp;"'!A:A")),0))</f>
        <v/>
      </c>
      <c r="L735" s="11" t="str">
        <f>IF($A735="","",IFERROR(VALUE(MID(TRIM('Template Setup'!$C$4),FIND("-",TRIM('Template Setup'!$C$4))+1,10)),0))</f>
        <v/>
      </c>
      <c r="M735" s="11" t="str">
        <f>IF($A735="","",IFERROR(VALUE(MID(TRIM('Template Setup'!$C$5),FIND("-",TRIM('Template Setup'!$C$5))+1,10)),0))</f>
        <v/>
      </c>
      <c r="N735" s="11" t="str">
        <f>IF($A735="","",IFERROR(VALUE(MID(TRIM('Template Setup'!$C$6),FIND("-",TRIM('Template Setup'!$C$6))+1,10)),0))</f>
        <v/>
      </c>
      <c r="O735" s="11" t="str">
        <f>IF($A735="","",IFERROR(VALUE(MID(TRIM('Template Setup'!$C$7),FIND("-",TRIM('Template Setup'!$C$7))+1,10)),0))</f>
        <v/>
      </c>
      <c r="P735" s="11" t="str">
        <f>IF($A735="","",IFERROR(VALUE(MID(TRIM('Template Setup'!$C$8),FIND("-",TRIM('Template Setup'!$C$8))+1,10)),0))</f>
        <v/>
      </c>
      <c r="Q735" s="9" t="str">
        <f>IF($A735="","",$A735&amp;"-"&amp;'Template Setup'!$C$16)</f>
        <v/>
      </c>
      <c r="R735" s="24" t="str">
        <f t="shared" si="45"/>
        <v/>
      </c>
      <c r="S735" s="24"/>
      <c r="T735" s="24" t="str">
        <f t="shared" si="46"/>
        <v/>
      </c>
      <c r="U735" s="6" t="str">
        <f t="shared" si="48"/>
        <v/>
      </c>
    </row>
    <row r="736" spans="1:21">
      <c r="A736" s="11"/>
      <c r="B736" s="11"/>
      <c r="C736" s="11"/>
      <c r="D736" s="11" t="str">
        <f>IF($A736="","",_xlfn.TEXTJOIN(", ",TRUE,IF($G736&gt;0,'Template Setup'!$C$4,""),IF($H736&gt;0,'Template Setup'!$C$5,""),IF($I736&gt;0,'Template Setup'!$C$6,""),IF($J736&gt;0,'Template Setup'!$C$7,""),IF($K736&gt;0,'Template Setup'!$C$8,"")))</f>
        <v/>
      </c>
      <c r="E736" s="6" t="str" cm="1">
        <f t="array" ref="E736">IF($A736="","",_xlfn.LET(_xlpm.sheets,CHOOSE({1,2,3,4,5},'Template Setup'!$C$4,'Template Setup'!$C$5,'Template Setup'!$C$6,'Template Setup'!$C$7,'Template Setup'!$C$8),_xlpm.nums,CHOOSE({1,2,3,4,5},$L736,$M736,$N736,$O736,$P736),_xlpm.qtys,CHOOSE({1,2,3,4,5},$G736,$H736,$I736,$J736,$K736),_xlpm.validNums,_xlfn._xlws.FILTER(_xlpm.nums,_xlpm.qtys&gt;0),_xlpm.validSheets,_xlfn._xlws.FILTER(_xlpm.sheets,_xlpm.qtys&gt;0),_xlpm.mx,IFERROR(MAX(_xlpm.validNums),0),IF(_xlpm.mx=0,"",INDEX(_xlpm.validSheets,MATCH(_xlpm.mx,_xlpm.validNums,0))&amp;" (+"&amp;$R736&amp;")")))</f>
        <v/>
      </c>
      <c r="F736" s="11" t="str">
        <f t="shared" si="47"/>
        <v/>
      </c>
      <c r="G736" s="12" t="str">
        <f ca="1">IF($A736="","",IFERROR(SUMIF(INDIRECT("'"&amp;'Template Setup'!$C$4&amp;"'!C:C"),$A736,INDIRECT("'"&amp;'Template Setup'!$C$4&amp;"'!A:A")),0))</f>
        <v/>
      </c>
      <c r="H736" s="12" t="str">
        <f ca="1">IF($A736="","",IFERROR(SUMIF(INDIRECT("'"&amp;'Template Setup'!$C$5&amp;"'!C:C"),$A736,INDIRECT("'"&amp;'Template Setup'!$C$5&amp;"'!A:A")),0))</f>
        <v/>
      </c>
      <c r="I736" s="12" t="str">
        <f ca="1">IF($A736="","",IFERROR(SUMIF(INDIRECT("'"&amp;'Template Setup'!$C$6&amp;"'!C:C"),$A736,INDIRECT("'"&amp;'Template Setup'!$C$6&amp;"'!A:A")),0))</f>
        <v/>
      </c>
      <c r="J736" s="12" t="str">
        <f ca="1">IF($A736="","",IFERROR(SUMIF(INDIRECT("'"&amp;'Template Setup'!$C$7&amp;"'!C:C"),$A736,INDIRECT("'"&amp;'Template Setup'!$C$7&amp;"'!A:A")),0))</f>
        <v/>
      </c>
      <c r="K736" s="12" t="str">
        <f ca="1">IF($A736="","",IFERROR(SUMIF(INDIRECT("'"&amp;'Template Setup'!$C$8&amp;"'!C:C"),$A736,INDIRECT("'"&amp;'Template Setup'!$C$8&amp;"'!A:A")),0))</f>
        <v/>
      </c>
      <c r="L736" s="11" t="str">
        <f>IF($A736="","",IFERROR(VALUE(MID(TRIM('Template Setup'!$C$4),FIND("-",TRIM('Template Setup'!$C$4))+1,10)),0))</f>
        <v/>
      </c>
      <c r="M736" s="11" t="str">
        <f>IF($A736="","",IFERROR(VALUE(MID(TRIM('Template Setup'!$C$5),FIND("-",TRIM('Template Setup'!$C$5))+1,10)),0))</f>
        <v/>
      </c>
      <c r="N736" s="11" t="str">
        <f>IF($A736="","",IFERROR(VALUE(MID(TRIM('Template Setup'!$C$6),FIND("-",TRIM('Template Setup'!$C$6))+1,10)),0))</f>
        <v/>
      </c>
      <c r="O736" s="11" t="str">
        <f>IF($A736="","",IFERROR(VALUE(MID(TRIM('Template Setup'!$C$7),FIND("-",TRIM('Template Setup'!$C$7))+1,10)),0))</f>
        <v/>
      </c>
      <c r="P736" s="11" t="str">
        <f>IF($A736="","",IFERROR(VALUE(MID(TRIM('Template Setup'!$C$8),FIND("-",TRIM('Template Setup'!$C$8))+1,10)),0))</f>
        <v/>
      </c>
      <c r="Q736" s="9" t="str">
        <f>IF($A736="","",$A736&amp;"-"&amp;'Template Setup'!$C$16)</f>
        <v/>
      </c>
      <c r="R736" s="24" t="str">
        <f t="shared" si="45"/>
        <v/>
      </c>
      <c r="S736" s="24"/>
      <c r="T736" s="24" t="str">
        <f t="shared" si="46"/>
        <v/>
      </c>
      <c r="U736" s="6" t="str">
        <f t="shared" si="48"/>
        <v/>
      </c>
    </row>
    <row r="737" spans="1:21">
      <c r="A737" s="11"/>
      <c r="B737" s="11"/>
      <c r="C737" s="11"/>
      <c r="D737" s="11" t="str">
        <f>IF($A737="","",_xlfn.TEXTJOIN(", ",TRUE,IF($G737&gt;0,'Template Setup'!$C$4,""),IF($H737&gt;0,'Template Setup'!$C$5,""),IF($I737&gt;0,'Template Setup'!$C$6,""),IF($J737&gt;0,'Template Setup'!$C$7,""),IF($K737&gt;0,'Template Setup'!$C$8,"")))</f>
        <v/>
      </c>
      <c r="E737" s="6" t="str" cm="1">
        <f t="array" ref="E737">IF($A737="","",_xlfn.LET(_xlpm.sheets,CHOOSE({1,2,3,4,5},'Template Setup'!$C$4,'Template Setup'!$C$5,'Template Setup'!$C$6,'Template Setup'!$C$7,'Template Setup'!$C$8),_xlpm.nums,CHOOSE({1,2,3,4,5},$L737,$M737,$N737,$O737,$P737),_xlpm.qtys,CHOOSE({1,2,3,4,5},$G737,$H737,$I737,$J737,$K737),_xlpm.validNums,_xlfn._xlws.FILTER(_xlpm.nums,_xlpm.qtys&gt;0),_xlpm.validSheets,_xlfn._xlws.FILTER(_xlpm.sheets,_xlpm.qtys&gt;0),_xlpm.mx,IFERROR(MAX(_xlpm.validNums),0),IF(_xlpm.mx=0,"",INDEX(_xlpm.validSheets,MATCH(_xlpm.mx,_xlpm.validNums,0))&amp;" (+"&amp;$R737&amp;")")))</f>
        <v/>
      </c>
      <c r="F737" s="11" t="str">
        <f t="shared" si="47"/>
        <v/>
      </c>
      <c r="G737" s="12" t="str">
        <f ca="1">IF($A737="","",IFERROR(SUMIF(INDIRECT("'"&amp;'Template Setup'!$C$4&amp;"'!C:C"),$A737,INDIRECT("'"&amp;'Template Setup'!$C$4&amp;"'!A:A")),0))</f>
        <v/>
      </c>
      <c r="H737" s="12" t="str">
        <f ca="1">IF($A737="","",IFERROR(SUMIF(INDIRECT("'"&amp;'Template Setup'!$C$5&amp;"'!C:C"),$A737,INDIRECT("'"&amp;'Template Setup'!$C$5&amp;"'!A:A")),0))</f>
        <v/>
      </c>
      <c r="I737" s="12" t="str">
        <f ca="1">IF($A737="","",IFERROR(SUMIF(INDIRECT("'"&amp;'Template Setup'!$C$6&amp;"'!C:C"),$A737,INDIRECT("'"&amp;'Template Setup'!$C$6&amp;"'!A:A")),0))</f>
        <v/>
      </c>
      <c r="J737" s="12" t="str">
        <f ca="1">IF($A737="","",IFERROR(SUMIF(INDIRECT("'"&amp;'Template Setup'!$C$7&amp;"'!C:C"),$A737,INDIRECT("'"&amp;'Template Setup'!$C$7&amp;"'!A:A")),0))</f>
        <v/>
      </c>
      <c r="K737" s="12" t="str">
        <f ca="1">IF($A737="","",IFERROR(SUMIF(INDIRECT("'"&amp;'Template Setup'!$C$8&amp;"'!C:C"),$A737,INDIRECT("'"&amp;'Template Setup'!$C$8&amp;"'!A:A")),0))</f>
        <v/>
      </c>
      <c r="L737" s="11" t="str">
        <f>IF($A737="","",IFERROR(VALUE(MID(TRIM('Template Setup'!$C$4),FIND("-",TRIM('Template Setup'!$C$4))+1,10)),0))</f>
        <v/>
      </c>
      <c r="M737" s="11" t="str">
        <f>IF($A737="","",IFERROR(VALUE(MID(TRIM('Template Setup'!$C$5),FIND("-",TRIM('Template Setup'!$C$5))+1,10)),0))</f>
        <v/>
      </c>
      <c r="N737" s="11" t="str">
        <f>IF($A737="","",IFERROR(VALUE(MID(TRIM('Template Setup'!$C$6),FIND("-",TRIM('Template Setup'!$C$6))+1,10)),0))</f>
        <v/>
      </c>
      <c r="O737" s="11" t="str">
        <f>IF($A737="","",IFERROR(VALUE(MID(TRIM('Template Setup'!$C$7),FIND("-",TRIM('Template Setup'!$C$7))+1,10)),0))</f>
        <v/>
      </c>
      <c r="P737" s="11" t="str">
        <f>IF($A737="","",IFERROR(VALUE(MID(TRIM('Template Setup'!$C$8),FIND("-",TRIM('Template Setup'!$C$8))+1,10)),0))</f>
        <v/>
      </c>
      <c r="Q737" s="9" t="str">
        <f>IF($A737="","",$A737&amp;"-"&amp;'Template Setup'!$C$16)</f>
        <v/>
      </c>
      <c r="R737" s="24" t="str">
        <f t="shared" si="45"/>
        <v/>
      </c>
      <c r="S737" s="24"/>
      <c r="T737" s="24" t="str">
        <f t="shared" si="46"/>
        <v/>
      </c>
      <c r="U737" s="6" t="str">
        <f t="shared" si="48"/>
        <v/>
      </c>
    </row>
    <row r="738" spans="1:21">
      <c r="A738" s="11"/>
      <c r="B738" s="11"/>
      <c r="C738" s="11"/>
      <c r="D738" s="11" t="str">
        <f>IF($A738="","",_xlfn.TEXTJOIN(", ",TRUE,IF($G738&gt;0,'Template Setup'!$C$4,""),IF($H738&gt;0,'Template Setup'!$C$5,""),IF($I738&gt;0,'Template Setup'!$C$6,""),IF($J738&gt;0,'Template Setup'!$C$7,""),IF($K738&gt;0,'Template Setup'!$C$8,"")))</f>
        <v/>
      </c>
      <c r="E738" s="6" t="str" cm="1">
        <f t="array" ref="E738">IF($A738="","",_xlfn.LET(_xlpm.sheets,CHOOSE({1,2,3,4,5},'Template Setup'!$C$4,'Template Setup'!$C$5,'Template Setup'!$C$6,'Template Setup'!$C$7,'Template Setup'!$C$8),_xlpm.nums,CHOOSE({1,2,3,4,5},$L738,$M738,$N738,$O738,$P738),_xlpm.qtys,CHOOSE({1,2,3,4,5},$G738,$H738,$I738,$J738,$K738),_xlpm.validNums,_xlfn._xlws.FILTER(_xlpm.nums,_xlpm.qtys&gt;0),_xlpm.validSheets,_xlfn._xlws.FILTER(_xlpm.sheets,_xlpm.qtys&gt;0),_xlpm.mx,IFERROR(MAX(_xlpm.validNums),0),IF(_xlpm.mx=0,"",INDEX(_xlpm.validSheets,MATCH(_xlpm.mx,_xlpm.validNums,0))&amp;" (+"&amp;$R738&amp;")")))</f>
        <v/>
      </c>
      <c r="F738" s="11" t="str">
        <f t="shared" si="47"/>
        <v/>
      </c>
      <c r="G738" s="12" t="str">
        <f ca="1">IF($A738="","",IFERROR(SUMIF(INDIRECT("'"&amp;'Template Setup'!$C$4&amp;"'!C:C"),$A738,INDIRECT("'"&amp;'Template Setup'!$C$4&amp;"'!A:A")),0))</f>
        <v/>
      </c>
      <c r="H738" s="12" t="str">
        <f ca="1">IF($A738="","",IFERROR(SUMIF(INDIRECT("'"&amp;'Template Setup'!$C$5&amp;"'!C:C"),$A738,INDIRECT("'"&amp;'Template Setup'!$C$5&amp;"'!A:A")),0))</f>
        <v/>
      </c>
      <c r="I738" s="12" t="str">
        <f ca="1">IF($A738="","",IFERROR(SUMIF(INDIRECT("'"&amp;'Template Setup'!$C$6&amp;"'!C:C"),$A738,INDIRECT("'"&amp;'Template Setup'!$C$6&amp;"'!A:A")),0))</f>
        <v/>
      </c>
      <c r="J738" s="12" t="str">
        <f ca="1">IF($A738="","",IFERROR(SUMIF(INDIRECT("'"&amp;'Template Setup'!$C$7&amp;"'!C:C"),$A738,INDIRECT("'"&amp;'Template Setup'!$C$7&amp;"'!A:A")),0))</f>
        <v/>
      </c>
      <c r="K738" s="12" t="str">
        <f ca="1">IF($A738="","",IFERROR(SUMIF(INDIRECT("'"&amp;'Template Setup'!$C$8&amp;"'!C:C"),$A738,INDIRECT("'"&amp;'Template Setup'!$C$8&amp;"'!A:A")),0))</f>
        <v/>
      </c>
      <c r="L738" s="11" t="str">
        <f>IF($A738="","",IFERROR(VALUE(MID(TRIM('Template Setup'!$C$4),FIND("-",TRIM('Template Setup'!$C$4))+1,10)),0))</f>
        <v/>
      </c>
      <c r="M738" s="11" t="str">
        <f>IF($A738="","",IFERROR(VALUE(MID(TRIM('Template Setup'!$C$5),FIND("-",TRIM('Template Setup'!$C$5))+1,10)),0))</f>
        <v/>
      </c>
      <c r="N738" s="11" t="str">
        <f>IF($A738="","",IFERROR(VALUE(MID(TRIM('Template Setup'!$C$6),FIND("-",TRIM('Template Setup'!$C$6))+1,10)),0))</f>
        <v/>
      </c>
      <c r="O738" s="11" t="str">
        <f>IF($A738="","",IFERROR(VALUE(MID(TRIM('Template Setup'!$C$7),FIND("-",TRIM('Template Setup'!$C$7))+1,10)),0))</f>
        <v/>
      </c>
      <c r="P738" s="11" t="str">
        <f>IF($A738="","",IFERROR(VALUE(MID(TRIM('Template Setup'!$C$8),FIND("-",TRIM('Template Setup'!$C$8))+1,10)),0))</f>
        <v/>
      </c>
      <c r="Q738" s="9" t="str">
        <f>IF($A738="","",$A738&amp;"-"&amp;'Template Setup'!$C$16)</f>
        <v/>
      </c>
      <c r="R738" s="24" t="str">
        <f t="shared" si="45"/>
        <v/>
      </c>
      <c r="S738" s="24"/>
      <c r="T738" s="24" t="str">
        <f t="shared" si="46"/>
        <v/>
      </c>
      <c r="U738" s="6" t="str">
        <f t="shared" si="48"/>
        <v/>
      </c>
    </row>
    <row r="739" spans="1:21">
      <c r="A739" s="11"/>
      <c r="B739" s="11"/>
      <c r="C739" s="11"/>
      <c r="D739" s="11" t="str">
        <f>IF($A739="","",_xlfn.TEXTJOIN(", ",TRUE,IF($G739&gt;0,'Template Setup'!$C$4,""),IF($H739&gt;0,'Template Setup'!$C$5,""),IF($I739&gt;0,'Template Setup'!$C$6,""),IF($J739&gt;0,'Template Setup'!$C$7,""),IF($K739&gt;0,'Template Setup'!$C$8,"")))</f>
        <v/>
      </c>
      <c r="E739" s="6" t="str" cm="1">
        <f t="array" ref="E739">IF($A739="","",_xlfn.LET(_xlpm.sheets,CHOOSE({1,2,3,4,5},'Template Setup'!$C$4,'Template Setup'!$C$5,'Template Setup'!$C$6,'Template Setup'!$C$7,'Template Setup'!$C$8),_xlpm.nums,CHOOSE({1,2,3,4,5},$L739,$M739,$N739,$O739,$P739),_xlpm.qtys,CHOOSE({1,2,3,4,5},$G739,$H739,$I739,$J739,$K739),_xlpm.validNums,_xlfn._xlws.FILTER(_xlpm.nums,_xlpm.qtys&gt;0),_xlpm.validSheets,_xlfn._xlws.FILTER(_xlpm.sheets,_xlpm.qtys&gt;0),_xlpm.mx,IFERROR(MAX(_xlpm.validNums),0),IF(_xlpm.mx=0,"",INDEX(_xlpm.validSheets,MATCH(_xlpm.mx,_xlpm.validNums,0))&amp;" (+"&amp;$R739&amp;")")))</f>
        <v/>
      </c>
      <c r="F739" s="11" t="str">
        <f t="shared" si="47"/>
        <v/>
      </c>
      <c r="G739" s="12" t="str">
        <f ca="1">IF($A739="","",IFERROR(SUMIF(INDIRECT("'"&amp;'Template Setup'!$C$4&amp;"'!C:C"),$A739,INDIRECT("'"&amp;'Template Setup'!$C$4&amp;"'!A:A")),0))</f>
        <v/>
      </c>
      <c r="H739" s="12" t="str">
        <f ca="1">IF($A739="","",IFERROR(SUMIF(INDIRECT("'"&amp;'Template Setup'!$C$5&amp;"'!C:C"),$A739,INDIRECT("'"&amp;'Template Setup'!$C$5&amp;"'!A:A")),0))</f>
        <v/>
      </c>
      <c r="I739" s="12" t="str">
        <f ca="1">IF($A739="","",IFERROR(SUMIF(INDIRECT("'"&amp;'Template Setup'!$C$6&amp;"'!C:C"),$A739,INDIRECT("'"&amp;'Template Setup'!$C$6&amp;"'!A:A")),0))</f>
        <v/>
      </c>
      <c r="J739" s="12" t="str">
        <f ca="1">IF($A739="","",IFERROR(SUMIF(INDIRECT("'"&amp;'Template Setup'!$C$7&amp;"'!C:C"),$A739,INDIRECT("'"&amp;'Template Setup'!$C$7&amp;"'!A:A")),0))</f>
        <v/>
      </c>
      <c r="K739" s="12" t="str">
        <f ca="1">IF($A739="","",IFERROR(SUMIF(INDIRECT("'"&amp;'Template Setup'!$C$8&amp;"'!C:C"),$A739,INDIRECT("'"&amp;'Template Setup'!$C$8&amp;"'!A:A")),0))</f>
        <v/>
      </c>
      <c r="L739" s="11" t="str">
        <f>IF($A739="","",IFERROR(VALUE(MID(TRIM('Template Setup'!$C$4),FIND("-",TRIM('Template Setup'!$C$4))+1,10)),0))</f>
        <v/>
      </c>
      <c r="M739" s="11" t="str">
        <f>IF($A739="","",IFERROR(VALUE(MID(TRIM('Template Setup'!$C$5),FIND("-",TRIM('Template Setup'!$C$5))+1,10)),0))</f>
        <v/>
      </c>
      <c r="N739" s="11" t="str">
        <f>IF($A739="","",IFERROR(VALUE(MID(TRIM('Template Setup'!$C$6),FIND("-",TRIM('Template Setup'!$C$6))+1,10)),0))</f>
        <v/>
      </c>
      <c r="O739" s="11" t="str">
        <f>IF($A739="","",IFERROR(VALUE(MID(TRIM('Template Setup'!$C$7),FIND("-",TRIM('Template Setup'!$C$7))+1,10)),0))</f>
        <v/>
      </c>
      <c r="P739" s="11" t="str">
        <f>IF($A739="","",IFERROR(VALUE(MID(TRIM('Template Setup'!$C$8),FIND("-",TRIM('Template Setup'!$C$8))+1,10)),0))</f>
        <v/>
      </c>
      <c r="Q739" s="9" t="str">
        <f>IF($A739="","",$A739&amp;"-"&amp;'Template Setup'!$C$16)</f>
        <v/>
      </c>
      <c r="R739" s="24" t="str">
        <f t="shared" si="45"/>
        <v/>
      </c>
      <c r="S739" s="24"/>
      <c r="T739" s="24" t="str">
        <f t="shared" si="46"/>
        <v/>
      </c>
      <c r="U739" s="6" t="str">
        <f t="shared" si="48"/>
        <v/>
      </c>
    </row>
    <row r="740" spans="1:21">
      <c r="A740" s="11"/>
      <c r="B740" s="11"/>
      <c r="C740" s="11"/>
      <c r="D740" s="11" t="str">
        <f>IF($A740="","",_xlfn.TEXTJOIN(", ",TRUE,IF($G740&gt;0,'Template Setup'!$C$4,""),IF($H740&gt;0,'Template Setup'!$C$5,""),IF($I740&gt;0,'Template Setup'!$C$6,""),IF($J740&gt;0,'Template Setup'!$C$7,""),IF($K740&gt;0,'Template Setup'!$C$8,"")))</f>
        <v/>
      </c>
      <c r="E740" s="6" t="str" cm="1">
        <f t="array" ref="E740">IF($A740="","",_xlfn.LET(_xlpm.sheets,CHOOSE({1,2,3,4,5},'Template Setup'!$C$4,'Template Setup'!$C$5,'Template Setup'!$C$6,'Template Setup'!$C$7,'Template Setup'!$C$8),_xlpm.nums,CHOOSE({1,2,3,4,5},$L740,$M740,$N740,$O740,$P740),_xlpm.qtys,CHOOSE({1,2,3,4,5},$G740,$H740,$I740,$J740,$K740),_xlpm.validNums,_xlfn._xlws.FILTER(_xlpm.nums,_xlpm.qtys&gt;0),_xlpm.validSheets,_xlfn._xlws.FILTER(_xlpm.sheets,_xlpm.qtys&gt;0),_xlpm.mx,IFERROR(MAX(_xlpm.validNums),0),IF(_xlpm.mx=0,"",INDEX(_xlpm.validSheets,MATCH(_xlpm.mx,_xlpm.validNums,0))&amp;" (+"&amp;$R740&amp;")")))</f>
        <v/>
      </c>
      <c r="F740" s="11" t="str">
        <f t="shared" si="47"/>
        <v/>
      </c>
      <c r="G740" s="12" t="str">
        <f ca="1">IF($A740="","",IFERROR(SUMIF(INDIRECT("'"&amp;'Template Setup'!$C$4&amp;"'!C:C"),$A740,INDIRECT("'"&amp;'Template Setup'!$C$4&amp;"'!A:A")),0))</f>
        <v/>
      </c>
      <c r="H740" s="12" t="str">
        <f ca="1">IF($A740="","",IFERROR(SUMIF(INDIRECT("'"&amp;'Template Setup'!$C$5&amp;"'!C:C"),$A740,INDIRECT("'"&amp;'Template Setup'!$C$5&amp;"'!A:A")),0))</f>
        <v/>
      </c>
      <c r="I740" s="12" t="str">
        <f ca="1">IF($A740="","",IFERROR(SUMIF(INDIRECT("'"&amp;'Template Setup'!$C$6&amp;"'!C:C"),$A740,INDIRECT("'"&amp;'Template Setup'!$C$6&amp;"'!A:A")),0))</f>
        <v/>
      </c>
      <c r="J740" s="12" t="str">
        <f ca="1">IF($A740="","",IFERROR(SUMIF(INDIRECT("'"&amp;'Template Setup'!$C$7&amp;"'!C:C"),$A740,INDIRECT("'"&amp;'Template Setup'!$C$7&amp;"'!A:A")),0))</f>
        <v/>
      </c>
      <c r="K740" s="12" t="str">
        <f ca="1">IF($A740="","",IFERROR(SUMIF(INDIRECT("'"&amp;'Template Setup'!$C$8&amp;"'!C:C"),$A740,INDIRECT("'"&amp;'Template Setup'!$C$8&amp;"'!A:A")),0))</f>
        <v/>
      </c>
      <c r="L740" s="11" t="str">
        <f>IF($A740="","",IFERROR(VALUE(MID(TRIM('Template Setup'!$C$4),FIND("-",TRIM('Template Setup'!$C$4))+1,10)),0))</f>
        <v/>
      </c>
      <c r="M740" s="11" t="str">
        <f>IF($A740="","",IFERROR(VALUE(MID(TRIM('Template Setup'!$C$5),FIND("-",TRIM('Template Setup'!$C$5))+1,10)),0))</f>
        <v/>
      </c>
      <c r="N740" s="11" t="str">
        <f>IF($A740="","",IFERROR(VALUE(MID(TRIM('Template Setup'!$C$6),FIND("-",TRIM('Template Setup'!$C$6))+1,10)),0))</f>
        <v/>
      </c>
      <c r="O740" s="11" t="str">
        <f>IF($A740="","",IFERROR(VALUE(MID(TRIM('Template Setup'!$C$7),FIND("-",TRIM('Template Setup'!$C$7))+1,10)),0))</f>
        <v/>
      </c>
      <c r="P740" s="11" t="str">
        <f>IF($A740="","",IFERROR(VALUE(MID(TRIM('Template Setup'!$C$8),FIND("-",TRIM('Template Setup'!$C$8))+1,10)),0))</f>
        <v/>
      </c>
      <c r="Q740" s="9" t="str">
        <f>IF($A740="","",$A740&amp;"-"&amp;'Template Setup'!$C$16)</f>
        <v/>
      </c>
      <c r="R740" s="24" t="str">
        <f t="shared" si="45"/>
        <v/>
      </c>
      <c r="S740" s="24"/>
      <c r="T740" s="24" t="str">
        <f t="shared" si="46"/>
        <v/>
      </c>
      <c r="U740" s="6" t="str">
        <f t="shared" si="48"/>
        <v/>
      </c>
    </row>
    <row r="741" spans="1:21">
      <c r="A741" s="11"/>
      <c r="B741" s="11"/>
      <c r="C741" s="11"/>
      <c r="D741" s="11" t="str">
        <f>IF($A741="","",_xlfn.TEXTJOIN(", ",TRUE,IF($G741&gt;0,'Template Setup'!$C$4,""),IF($H741&gt;0,'Template Setup'!$C$5,""),IF($I741&gt;0,'Template Setup'!$C$6,""),IF($J741&gt;0,'Template Setup'!$C$7,""),IF($K741&gt;0,'Template Setup'!$C$8,"")))</f>
        <v/>
      </c>
      <c r="E741" s="6" t="str" cm="1">
        <f t="array" ref="E741">IF($A741="","",_xlfn.LET(_xlpm.sheets,CHOOSE({1,2,3,4,5},'Template Setup'!$C$4,'Template Setup'!$C$5,'Template Setup'!$C$6,'Template Setup'!$C$7,'Template Setup'!$C$8),_xlpm.nums,CHOOSE({1,2,3,4,5},$L741,$M741,$N741,$O741,$P741),_xlpm.qtys,CHOOSE({1,2,3,4,5},$G741,$H741,$I741,$J741,$K741),_xlpm.validNums,_xlfn._xlws.FILTER(_xlpm.nums,_xlpm.qtys&gt;0),_xlpm.validSheets,_xlfn._xlws.FILTER(_xlpm.sheets,_xlpm.qtys&gt;0),_xlpm.mx,IFERROR(MAX(_xlpm.validNums),0),IF(_xlpm.mx=0,"",INDEX(_xlpm.validSheets,MATCH(_xlpm.mx,_xlpm.validNums,0))&amp;" (+"&amp;$R741&amp;")")))</f>
        <v/>
      </c>
      <c r="F741" s="11" t="str">
        <f t="shared" si="47"/>
        <v/>
      </c>
      <c r="G741" s="12" t="str">
        <f ca="1">IF($A741="","",IFERROR(SUMIF(INDIRECT("'"&amp;'Template Setup'!$C$4&amp;"'!C:C"),$A741,INDIRECT("'"&amp;'Template Setup'!$C$4&amp;"'!A:A")),0))</f>
        <v/>
      </c>
      <c r="H741" s="12" t="str">
        <f ca="1">IF($A741="","",IFERROR(SUMIF(INDIRECT("'"&amp;'Template Setup'!$C$5&amp;"'!C:C"),$A741,INDIRECT("'"&amp;'Template Setup'!$C$5&amp;"'!A:A")),0))</f>
        <v/>
      </c>
      <c r="I741" s="12" t="str">
        <f ca="1">IF($A741="","",IFERROR(SUMIF(INDIRECT("'"&amp;'Template Setup'!$C$6&amp;"'!C:C"),$A741,INDIRECT("'"&amp;'Template Setup'!$C$6&amp;"'!A:A")),0))</f>
        <v/>
      </c>
      <c r="J741" s="12" t="str">
        <f ca="1">IF($A741="","",IFERROR(SUMIF(INDIRECT("'"&amp;'Template Setup'!$C$7&amp;"'!C:C"),$A741,INDIRECT("'"&amp;'Template Setup'!$C$7&amp;"'!A:A")),0))</f>
        <v/>
      </c>
      <c r="K741" s="12" t="str">
        <f ca="1">IF($A741="","",IFERROR(SUMIF(INDIRECT("'"&amp;'Template Setup'!$C$8&amp;"'!C:C"),$A741,INDIRECT("'"&amp;'Template Setup'!$C$8&amp;"'!A:A")),0))</f>
        <v/>
      </c>
      <c r="L741" s="11" t="str">
        <f>IF($A741="","",IFERROR(VALUE(MID(TRIM('Template Setup'!$C$4),FIND("-",TRIM('Template Setup'!$C$4))+1,10)),0))</f>
        <v/>
      </c>
      <c r="M741" s="11" t="str">
        <f>IF($A741="","",IFERROR(VALUE(MID(TRIM('Template Setup'!$C$5),FIND("-",TRIM('Template Setup'!$C$5))+1,10)),0))</f>
        <v/>
      </c>
      <c r="N741" s="11" t="str">
        <f>IF($A741="","",IFERROR(VALUE(MID(TRIM('Template Setup'!$C$6),FIND("-",TRIM('Template Setup'!$C$6))+1,10)),0))</f>
        <v/>
      </c>
      <c r="O741" s="11" t="str">
        <f>IF($A741="","",IFERROR(VALUE(MID(TRIM('Template Setup'!$C$7),FIND("-",TRIM('Template Setup'!$C$7))+1,10)),0))</f>
        <v/>
      </c>
      <c r="P741" s="11" t="str">
        <f>IF($A741="","",IFERROR(VALUE(MID(TRIM('Template Setup'!$C$8),FIND("-",TRIM('Template Setup'!$C$8))+1,10)),0))</f>
        <v/>
      </c>
      <c r="Q741" s="9" t="str">
        <f>IF($A741="","",$A741&amp;"-"&amp;'Template Setup'!$C$16)</f>
        <v/>
      </c>
      <c r="R741" s="24" t="str">
        <f t="shared" si="45"/>
        <v/>
      </c>
      <c r="S741" s="24"/>
      <c r="T741" s="24" t="str">
        <f t="shared" si="46"/>
        <v/>
      </c>
      <c r="U741" s="6" t="str">
        <f t="shared" si="48"/>
        <v/>
      </c>
    </row>
    <row r="742" spans="1:21">
      <c r="A742" s="11"/>
      <c r="B742" s="11"/>
      <c r="C742" s="11"/>
      <c r="D742" s="11" t="str">
        <f>IF($A742="","",_xlfn.TEXTJOIN(", ",TRUE,IF($G742&gt;0,'Template Setup'!$C$4,""),IF($H742&gt;0,'Template Setup'!$C$5,""),IF($I742&gt;0,'Template Setup'!$C$6,""),IF($J742&gt;0,'Template Setup'!$C$7,""),IF($K742&gt;0,'Template Setup'!$C$8,"")))</f>
        <v/>
      </c>
      <c r="E742" s="6" t="str" cm="1">
        <f t="array" ref="E742">IF($A742="","",_xlfn.LET(_xlpm.sheets,CHOOSE({1,2,3,4,5},'Template Setup'!$C$4,'Template Setup'!$C$5,'Template Setup'!$C$6,'Template Setup'!$C$7,'Template Setup'!$C$8),_xlpm.nums,CHOOSE({1,2,3,4,5},$L742,$M742,$N742,$O742,$P742),_xlpm.qtys,CHOOSE({1,2,3,4,5},$G742,$H742,$I742,$J742,$K742),_xlpm.validNums,_xlfn._xlws.FILTER(_xlpm.nums,_xlpm.qtys&gt;0),_xlpm.validSheets,_xlfn._xlws.FILTER(_xlpm.sheets,_xlpm.qtys&gt;0),_xlpm.mx,IFERROR(MAX(_xlpm.validNums),0),IF(_xlpm.mx=0,"",INDEX(_xlpm.validSheets,MATCH(_xlpm.mx,_xlpm.validNums,0))&amp;" (+"&amp;$R742&amp;")")))</f>
        <v/>
      </c>
      <c r="F742" s="11" t="str">
        <f t="shared" si="47"/>
        <v/>
      </c>
      <c r="G742" s="12" t="str">
        <f ca="1">IF($A742="","",IFERROR(SUMIF(INDIRECT("'"&amp;'Template Setup'!$C$4&amp;"'!C:C"),$A742,INDIRECT("'"&amp;'Template Setup'!$C$4&amp;"'!A:A")),0))</f>
        <v/>
      </c>
      <c r="H742" s="12" t="str">
        <f ca="1">IF($A742="","",IFERROR(SUMIF(INDIRECT("'"&amp;'Template Setup'!$C$5&amp;"'!C:C"),$A742,INDIRECT("'"&amp;'Template Setup'!$C$5&amp;"'!A:A")),0))</f>
        <v/>
      </c>
      <c r="I742" s="12" t="str">
        <f ca="1">IF($A742="","",IFERROR(SUMIF(INDIRECT("'"&amp;'Template Setup'!$C$6&amp;"'!C:C"),$A742,INDIRECT("'"&amp;'Template Setup'!$C$6&amp;"'!A:A")),0))</f>
        <v/>
      </c>
      <c r="J742" s="12" t="str">
        <f ca="1">IF($A742="","",IFERROR(SUMIF(INDIRECT("'"&amp;'Template Setup'!$C$7&amp;"'!C:C"),$A742,INDIRECT("'"&amp;'Template Setup'!$C$7&amp;"'!A:A")),0))</f>
        <v/>
      </c>
      <c r="K742" s="12" t="str">
        <f ca="1">IF($A742="","",IFERROR(SUMIF(INDIRECT("'"&amp;'Template Setup'!$C$8&amp;"'!C:C"),$A742,INDIRECT("'"&amp;'Template Setup'!$C$8&amp;"'!A:A")),0))</f>
        <v/>
      </c>
      <c r="L742" s="11" t="str">
        <f>IF($A742="","",IFERROR(VALUE(MID(TRIM('Template Setup'!$C$4),FIND("-",TRIM('Template Setup'!$C$4))+1,10)),0))</f>
        <v/>
      </c>
      <c r="M742" s="11" t="str">
        <f>IF($A742="","",IFERROR(VALUE(MID(TRIM('Template Setup'!$C$5),FIND("-",TRIM('Template Setup'!$C$5))+1,10)),0))</f>
        <v/>
      </c>
      <c r="N742" s="11" t="str">
        <f>IF($A742="","",IFERROR(VALUE(MID(TRIM('Template Setup'!$C$6),FIND("-",TRIM('Template Setup'!$C$6))+1,10)),0))</f>
        <v/>
      </c>
      <c r="O742" s="11" t="str">
        <f>IF($A742="","",IFERROR(VALUE(MID(TRIM('Template Setup'!$C$7),FIND("-",TRIM('Template Setup'!$C$7))+1,10)),0))</f>
        <v/>
      </c>
      <c r="P742" s="11" t="str">
        <f>IF($A742="","",IFERROR(VALUE(MID(TRIM('Template Setup'!$C$8),FIND("-",TRIM('Template Setup'!$C$8))+1,10)),0))</f>
        <v/>
      </c>
      <c r="Q742" s="9" t="str">
        <f>IF($A742="","",$A742&amp;"-"&amp;'Template Setup'!$C$16)</f>
        <v/>
      </c>
      <c r="R742" s="24" t="str">
        <f t="shared" si="45"/>
        <v/>
      </c>
      <c r="S742" s="24"/>
      <c r="T742" s="24" t="str">
        <f t="shared" si="46"/>
        <v/>
      </c>
      <c r="U742" s="6" t="str">
        <f t="shared" si="48"/>
        <v/>
      </c>
    </row>
    <row r="743" spans="1:21">
      <c r="A743" s="11"/>
      <c r="B743" s="11"/>
      <c r="C743" s="11"/>
      <c r="D743" s="11" t="str">
        <f>IF($A743="","",_xlfn.TEXTJOIN(", ",TRUE,IF($G743&gt;0,'Template Setup'!$C$4,""),IF($H743&gt;0,'Template Setup'!$C$5,""),IF($I743&gt;0,'Template Setup'!$C$6,""),IF($J743&gt;0,'Template Setup'!$C$7,""),IF($K743&gt;0,'Template Setup'!$C$8,"")))</f>
        <v/>
      </c>
      <c r="E743" s="6" t="str" cm="1">
        <f t="array" ref="E743">IF($A743="","",_xlfn.LET(_xlpm.sheets,CHOOSE({1,2,3,4,5},'Template Setup'!$C$4,'Template Setup'!$C$5,'Template Setup'!$C$6,'Template Setup'!$C$7,'Template Setup'!$C$8),_xlpm.nums,CHOOSE({1,2,3,4,5},$L743,$M743,$N743,$O743,$P743),_xlpm.qtys,CHOOSE({1,2,3,4,5},$G743,$H743,$I743,$J743,$K743),_xlpm.validNums,_xlfn._xlws.FILTER(_xlpm.nums,_xlpm.qtys&gt;0),_xlpm.validSheets,_xlfn._xlws.FILTER(_xlpm.sheets,_xlpm.qtys&gt;0),_xlpm.mx,IFERROR(MAX(_xlpm.validNums),0),IF(_xlpm.mx=0,"",INDEX(_xlpm.validSheets,MATCH(_xlpm.mx,_xlpm.validNums,0))&amp;" (+"&amp;$R743&amp;")")))</f>
        <v/>
      </c>
      <c r="F743" s="11" t="str">
        <f t="shared" si="47"/>
        <v/>
      </c>
      <c r="G743" s="12" t="str">
        <f ca="1">IF($A743="","",IFERROR(SUMIF(INDIRECT("'"&amp;'Template Setup'!$C$4&amp;"'!C:C"),$A743,INDIRECT("'"&amp;'Template Setup'!$C$4&amp;"'!A:A")),0))</f>
        <v/>
      </c>
      <c r="H743" s="12" t="str">
        <f ca="1">IF($A743="","",IFERROR(SUMIF(INDIRECT("'"&amp;'Template Setup'!$C$5&amp;"'!C:C"),$A743,INDIRECT("'"&amp;'Template Setup'!$C$5&amp;"'!A:A")),0))</f>
        <v/>
      </c>
      <c r="I743" s="12" t="str">
        <f ca="1">IF($A743="","",IFERROR(SUMIF(INDIRECT("'"&amp;'Template Setup'!$C$6&amp;"'!C:C"),$A743,INDIRECT("'"&amp;'Template Setup'!$C$6&amp;"'!A:A")),0))</f>
        <v/>
      </c>
      <c r="J743" s="12" t="str">
        <f ca="1">IF($A743="","",IFERROR(SUMIF(INDIRECT("'"&amp;'Template Setup'!$C$7&amp;"'!C:C"),$A743,INDIRECT("'"&amp;'Template Setup'!$C$7&amp;"'!A:A")),0))</f>
        <v/>
      </c>
      <c r="K743" s="12" t="str">
        <f ca="1">IF($A743="","",IFERROR(SUMIF(INDIRECT("'"&amp;'Template Setup'!$C$8&amp;"'!C:C"),$A743,INDIRECT("'"&amp;'Template Setup'!$C$8&amp;"'!A:A")),0))</f>
        <v/>
      </c>
      <c r="L743" s="11" t="str">
        <f>IF($A743="","",IFERROR(VALUE(MID(TRIM('Template Setup'!$C$4),FIND("-",TRIM('Template Setup'!$C$4))+1,10)),0))</f>
        <v/>
      </c>
      <c r="M743" s="11" t="str">
        <f>IF($A743="","",IFERROR(VALUE(MID(TRIM('Template Setup'!$C$5),FIND("-",TRIM('Template Setup'!$C$5))+1,10)),0))</f>
        <v/>
      </c>
      <c r="N743" s="11" t="str">
        <f>IF($A743="","",IFERROR(VALUE(MID(TRIM('Template Setup'!$C$6),FIND("-",TRIM('Template Setup'!$C$6))+1,10)),0))</f>
        <v/>
      </c>
      <c r="O743" s="11" t="str">
        <f>IF($A743="","",IFERROR(VALUE(MID(TRIM('Template Setup'!$C$7),FIND("-",TRIM('Template Setup'!$C$7))+1,10)),0))</f>
        <v/>
      </c>
      <c r="P743" s="11" t="str">
        <f>IF($A743="","",IFERROR(VALUE(MID(TRIM('Template Setup'!$C$8),FIND("-",TRIM('Template Setup'!$C$8))+1,10)),0))</f>
        <v/>
      </c>
      <c r="Q743" s="9" t="str">
        <f>IF($A743="","",$A743&amp;"-"&amp;'Template Setup'!$C$16)</f>
        <v/>
      </c>
      <c r="R743" s="24" t="str">
        <f t="shared" si="45"/>
        <v/>
      </c>
      <c r="S743" s="24"/>
      <c r="T743" s="24" t="str">
        <f t="shared" si="46"/>
        <v/>
      </c>
      <c r="U743" s="6" t="str">
        <f t="shared" si="48"/>
        <v/>
      </c>
    </row>
    <row r="744" spans="1:21">
      <c r="A744" s="11"/>
      <c r="B744" s="11"/>
      <c r="C744" s="11"/>
      <c r="D744" s="11" t="str">
        <f>IF($A744="","",_xlfn.TEXTJOIN(", ",TRUE,IF($G744&gt;0,'Template Setup'!$C$4,""),IF($H744&gt;0,'Template Setup'!$C$5,""),IF($I744&gt;0,'Template Setup'!$C$6,""),IF($J744&gt;0,'Template Setup'!$C$7,""),IF($K744&gt;0,'Template Setup'!$C$8,"")))</f>
        <v/>
      </c>
      <c r="E744" s="6" t="str" cm="1">
        <f t="array" ref="E744">IF($A744="","",_xlfn.LET(_xlpm.sheets,CHOOSE({1,2,3,4,5},'Template Setup'!$C$4,'Template Setup'!$C$5,'Template Setup'!$C$6,'Template Setup'!$C$7,'Template Setup'!$C$8),_xlpm.nums,CHOOSE({1,2,3,4,5},$L744,$M744,$N744,$O744,$P744),_xlpm.qtys,CHOOSE({1,2,3,4,5},$G744,$H744,$I744,$J744,$K744),_xlpm.validNums,_xlfn._xlws.FILTER(_xlpm.nums,_xlpm.qtys&gt;0),_xlpm.validSheets,_xlfn._xlws.FILTER(_xlpm.sheets,_xlpm.qtys&gt;0),_xlpm.mx,IFERROR(MAX(_xlpm.validNums),0),IF(_xlpm.mx=0,"",INDEX(_xlpm.validSheets,MATCH(_xlpm.mx,_xlpm.validNums,0))&amp;" (+"&amp;$R744&amp;")")))</f>
        <v/>
      </c>
      <c r="F744" s="11" t="str">
        <f t="shared" si="47"/>
        <v/>
      </c>
      <c r="G744" s="12" t="str">
        <f ca="1">IF($A744="","",IFERROR(SUMIF(INDIRECT("'"&amp;'Template Setup'!$C$4&amp;"'!C:C"),$A744,INDIRECT("'"&amp;'Template Setup'!$C$4&amp;"'!A:A")),0))</f>
        <v/>
      </c>
      <c r="H744" s="12" t="str">
        <f ca="1">IF($A744="","",IFERROR(SUMIF(INDIRECT("'"&amp;'Template Setup'!$C$5&amp;"'!C:C"),$A744,INDIRECT("'"&amp;'Template Setup'!$C$5&amp;"'!A:A")),0))</f>
        <v/>
      </c>
      <c r="I744" s="12" t="str">
        <f ca="1">IF($A744="","",IFERROR(SUMIF(INDIRECT("'"&amp;'Template Setup'!$C$6&amp;"'!C:C"),$A744,INDIRECT("'"&amp;'Template Setup'!$C$6&amp;"'!A:A")),0))</f>
        <v/>
      </c>
      <c r="J744" s="12" t="str">
        <f ca="1">IF($A744="","",IFERROR(SUMIF(INDIRECT("'"&amp;'Template Setup'!$C$7&amp;"'!C:C"),$A744,INDIRECT("'"&amp;'Template Setup'!$C$7&amp;"'!A:A")),0))</f>
        <v/>
      </c>
      <c r="K744" s="12" t="str">
        <f ca="1">IF($A744="","",IFERROR(SUMIF(INDIRECT("'"&amp;'Template Setup'!$C$8&amp;"'!C:C"),$A744,INDIRECT("'"&amp;'Template Setup'!$C$8&amp;"'!A:A")),0))</f>
        <v/>
      </c>
      <c r="L744" s="11" t="str">
        <f>IF($A744="","",IFERROR(VALUE(MID(TRIM('Template Setup'!$C$4),FIND("-",TRIM('Template Setup'!$C$4))+1,10)),0))</f>
        <v/>
      </c>
      <c r="M744" s="11" t="str">
        <f>IF($A744="","",IFERROR(VALUE(MID(TRIM('Template Setup'!$C$5),FIND("-",TRIM('Template Setup'!$C$5))+1,10)),0))</f>
        <v/>
      </c>
      <c r="N744" s="11" t="str">
        <f>IF($A744="","",IFERROR(VALUE(MID(TRIM('Template Setup'!$C$6),FIND("-",TRIM('Template Setup'!$C$6))+1,10)),0))</f>
        <v/>
      </c>
      <c r="O744" s="11" t="str">
        <f>IF($A744="","",IFERROR(VALUE(MID(TRIM('Template Setup'!$C$7),FIND("-",TRIM('Template Setup'!$C$7))+1,10)),0))</f>
        <v/>
      </c>
      <c r="P744" s="11" t="str">
        <f>IF($A744="","",IFERROR(VALUE(MID(TRIM('Template Setup'!$C$8),FIND("-",TRIM('Template Setup'!$C$8))+1,10)),0))</f>
        <v/>
      </c>
      <c r="Q744" s="9" t="str">
        <f>IF($A744="","",$A744&amp;"-"&amp;'Template Setup'!$C$16)</f>
        <v/>
      </c>
      <c r="R744" s="24" t="str">
        <f t="shared" si="45"/>
        <v/>
      </c>
      <c r="S744" s="24"/>
      <c r="T744" s="24" t="str">
        <f t="shared" si="46"/>
        <v/>
      </c>
      <c r="U744" s="6" t="str">
        <f t="shared" si="48"/>
        <v/>
      </c>
    </row>
    <row r="745" spans="1:21">
      <c r="A745" s="11"/>
      <c r="B745" s="11"/>
      <c r="C745" s="11"/>
      <c r="D745" s="11" t="str">
        <f>IF($A745="","",_xlfn.TEXTJOIN(", ",TRUE,IF($G745&gt;0,'Template Setup'!$C$4,""),IF($H745&gt;0,'Template Setup'!$C$5,""),IF($I745&gt;0,'Template Setup'!$C$6,""),IF($J745&gt;0,'Template Setup'!$C$7,""),IF($K745&gt;0,'Template Setup'!$C$8,"")))</f>
        <v/>
      </c>
      <c r="E745" s="6" t="str" cm="1">
        <f t="array" ref="E745">IF($A745="","",_xlfn.LET(_xlpm.sheets,CHOOSE({1,2,3,4,5},'Template Setup'!$C$4,'Template Setup'!$C$5,'Template Setup'!$C$6,'Template Setup'!$C$7,'Template Setup'!$C$8),_xlpm.nums,CHOOSE({1,2,3,4,5},$L745,$M745,$N745,$O745,$P745),_xlpm.qtys,CHOOSE({1,2,3,4,5},$G745,$H745,$I745,$J745,$K745),_xlpm.validNums,_xlfn._xlws.FILTER(_xlpm.nums,_xlpm.qtys&gt;0),_xlpm.validSheets,_xlfn._xlws.FILTER(_xlpm.sheets,_xlpm.qtys&gt;0),_xlpm.mx,IFERROR(MAX(_xlpm.validNums),0),IF(_xlpm.mx=0,"",INDEX(_xlpm.validSheets,MATCH(_xlpm.mx,_xlpm.validNums,0))&amp;" (+"&amp;$R745&amp;")")))</f>
        <v/>
      </c>
      <c r="F745" s="11" t="str">
        <f t="shared" si="47"/>
        <v/>
      </c>
      <c r="G745" s="12" t="str">
        <f ca="1">IF($A745="","",IFERROR(SUMIF(INDIRECT("'"&amp;'Template Setup'!$C$4&amp;"'!C:C"),$A745,INDIRECT("'"&amp;'Template Setup'!$C$4&amp;"'!A:A")),0))</f>
        <v/>
      </c>
      <c r="H745" s="12" t="str">
        <f ca="1">IF($A745="","",IFERROR(SUMIF(INDIRECT("'"&amp;'Template Setup'!$C$5&amp;"'!C:C"),$A745,INDIRECT("'"&amp;'Template Setup'!$C$5&amp;"'!A:A")),0))</f>
        <v/>
      </c>
      <c r="I745" s="12" t="str">
        <f ca="1">IF($A745="","",IFERROR(SUMIF(INDIRECT("'"&amp;'Template Setup'!$C$6&amp;"'!C:C"),$A745,INDIRECT("'"&amp;'Template Setup'!$C$6&amp;"'!A:A")),0))</f>
        <v/>
      </c>
      <c r="J745" s="12" t="str">
        <f ca="1">IF($A745="","",IFERROR(SUMIF(INDIRECT("'"&amp;'Template Setup'!$C$7&amp;"'!C:C"),$A745,INDIRECT("'"&amp;'Template Setup'!$C$7&amp;"'!A:A")),0))</f>
        <v/>
      </c>
      <c r="K745" s="12" t="str">
        <f ca="1">IF($A745="","",IFERROR(SUMIF(INDIRECT("'"&amp;'Template Setup'!$C$8&amp;"'!C:C"),$A745,INDIRECT("'"&amp;'Template Setup'!$C$8&amp;"'!A:A")),0))</f>
        <v/>
      </c>
      <c r="L745" s="11" t="str">
        <f>IF($A745="","",IFERROR(VALUE(MID(TRIM('Template Setup'!$C$4),FIND("-",TRIM('Template Setup'!$C$4))+1,10)),0))</f>
        <v/>
      </c>
      <c r="M745" s="11" t="str">
        <f>IF($A745="","",IFERROR(VALUE(MID(TRIM('Template Setup'!$C$5),FIND("-",TRIM('Template Setup'!$C$5))+1,10)),0))</f>
        <v/>
      </c>
      <c r="N745" s="11" t="str">
        <f>IF($A745="","",IFERROR(VALUE(MID(TRIM('Template Setup'!$C$6),FIND("-",TRIM('Template Setup'!$C$6))+1,10)),0))</f>
        <v/>
      </c>
      <c r="O745" s="11" t="str">
        <f>IF($A745="","",IFERROR(VALUE(MID(TRIM('Template Setup'!$C$7),FIND("-",TRIM('Template Setup'!$C$7))+1,10)),0))</f>
        <v/>
      </c>
      <c r="P745" s="11" t="str">
        <f>IF($A745="","",IFERROR(VALUE(MID(TRIM('Template Setup'!$C$8),FIND("-",TRIM('Template Setup'!$C$8))+1,10)),0))</f>
        <v/>
      </c>
      <c r="Q745" s="9" t="str">
        <f>IF($A745="","",$A745&amp;"-"&amp;'Template Setup'!$C$16)</f>
        <v/>
      </c>
      <c r="R745" s="24" t="str">
        <f t="shared" si="45"/>
        <v/>
      </c>
      <c r="S745" s="24"/>
      <c r="T745" s="24" t="str">
        <f t="shared" si="46"/>
        <v/>
      </c>
      <c r="U745" s="6" t="str">
        <f t="shared" si="48"/>
        <v/>
      </c>
    </row>
    <row r="746" spans="1:21">
      <c r="A746" s="11"/>
      <c r="B746" s="11"/>
      <c r="C746" s="11"/>
      <c r="D746" s="11" t="str">
        <f>IF($A746="","",_xlfn.TEXTJOIN(", ",TRUE,IF($G746&gt;0,'Template Setup'!$C$4,""),IF($H746&gt;0,'Template Setup'!$C$5,""),IF($I746&gt;0,'Template Setup'!$C$6,""),IF($J746&gt;0,'Template Setup'!$C$7,""),IF($K746&gt;0,'Template Setup'!$C$8,"")))</f>
        <v/>
      </c>
      <c r="E746" s="6" t="str" cm="1">
        <f t="array" ref="E746">IF($A746="","",_xlfn.LET(_xlpm.sheets,CHOOSE({1,2,3,4,5},'Template Setup'!$C$4,'Template Setup'!$C$5,'Template Setup'!$C$6,'Template Setup'!$C$7,'Template Setup'!$C$8),_xlpm.nums,CHOOSE({1,2,3,4,5},$L746,$M746,$N746,$O746,$P746),_xlpm.qtys,CHOOSE({1,2,3,4,5},$G746,$H746,$I746,$J746,$K746),_xlpm.validNums,_xlfn._xlws.FILTER(_xlpm.nums,_xlpm.qtys&gt;0),_xlpm.validSheets,_xlfn._xlws.FILTER(_xlpm.sheets,_xlpm.qtys&gt;0),_xlpm.mx,IFERROR(MAX(_xlpm.validNums),0),IF(_xlpm.mx=0,"",INDEX(_xlpm.validSheets,MATCH(_xlpm.mx,_xlpm.validNums,0))&amp;" (+"&amp;$R746&amp;")")))</f>
        <v/>
      </c>
      <c r="F746" s="11" t="str">
        <f t="shared" si="47"/>
        <v/>
      </c>
      <c r="G746" s="12" t="str">
        <f ca="1">IF($A746="","",IFERROR(SUMIF(INDIRECT("'"&amp;'Template Setup'!$C$4&amp;"'!C:C"),$A746,INDIRECT("'"&amp;'Template Setup'!$C$4&amp;"'!A:A")),0))</f>
        <v/>
      </c>
      <c r="H746" s="12" t="str">
        <f ca="1">IF($A746="","",IFERROR(SUMIF(INDIRECT("'"&amp;'Template Setup'!$C$5&amp;"'!C:C"),$A746,INDIRECT("'"&amp;'Template Setup'!$C$5&amp;"'!A:A")),0))</f>
        <v/>
      </c>
      <c r="I746" s="12" t="str">
        <f ca="1">IF($A746="","",IFERROR(SUMIF(INDIRECT("'"&amp;'Template Setup'!$C$6&amp;"'!C:C"),$A746,INDIRECT("'"&amp;'Template Setup'!$C$6&amp;"'!A:A")),0))</f>
        <v/>
      </c>
      <c r="J746" s="12" t="str">
        <f ca="1">IF($A746="","",IFERROR(SUMIF(INDIRECT("'"&amp;'Template Setup'!$C$7&amp;"'!C:C"),$A746,INDIRECT("'"&amp;'Template Setup'!$C$7&amp;"'!A:A")),0))</f>
        <v/>
      </c>
      <c r="K746" s="12" t="str">
        <f ca="1">IF($A746="","",IFERROR(SUMIF(INDIRECT("'"&amp;'Template Setup'!$C$8&amp;"'!C:C"),$A746,INDIRECT("'"&amp;'Template Setup'!$C$8&amp;"'!A:A")),0))</f>
        <v/>
      </c>
      <c r="L746" s="11" t="str">
        <f>IF($A746="","",IFERROR(VALUE(MID(TRIM('Template Setup'!$C$4),FIND("-",TRIM('Template Setup'!$C$4))+1,10)),0))</f>
        <v/>
      </c>
      <c r="M746" s="11" t="str">
        <f>IF($A746="","",IFERROR(VALUE(MID(TRIM('Template Setup'!$C$5),FIND("-",TRIM('Template Setup'!$C$5))+1,10)),0))</f>
        <v/>
      </c>
      <c r="N746" s="11" t="str">
        <f>IF($A746="","",IFERROR(VALUE(MID(TRIM('Template Setup'!$C$6),FIND("-",TRIM('Template Setup'!$C$6))+1,10)),0))</f>
        <v/>
      </c>
      <c r="O746" s="11" t="str">
        <f>IF($A746="","",IFERROR(VALUE(MID(TRIM('Template Setup'!$C$7),FIND("-",TRIM('Template Setup'!$C$7))+1,10)),0))</f>
        <v/>
      </c>
      <c r="P746" s="11" t="str">
        <f>IF($A746="","",IFERROR(VALUE(MID(TRIM('Template Setup'!$C$8),FIND("-",TRIM('Template Setup'!$C$8))+1,10)),0))</f>
        <v/>
      </c>
      <c r="Q746" s="9" t="str">
        <f>IF($A746="","",$A746&amp;"-"&amp;'Template Setup'!$C$16)</f>
        <v/>
      </c>
      <c r="R746" s="24" t="str">
        <f t="shared" si="45"/>
        <v/>
      </c>
      <c r="S746" s="24"/>
      <c r="T746" s="24" t="str">
        <f t="shared" si="46"/>
        <v/>
      </c>
      <c r="U746" s="6" t="str">
        <f t="shared" si="48"/>
        <v/>
      </c>
    </row>
    <row r="747" spans="1:21">
      <c r="A747" s="11"/>
      <c r="B747" s="11"/>
      <c r="C747" s="11"/>
      <c r="D747" s="11" t="str">
        <f>IF($A747="","",_xlfn.TEXTJOIN(", ",TRUE,IF($G747&gt;0,'Template Setup'!$C$4,""),IF($H747&gt;0,'Template Setup'!$C$5,""),IF($I747&gt;0,'Template Setup'!$C$6,""),IF($J747&gt;0,'Template Setup'!$C$7,""),IF($K747&gt;0,'Template Setup'!$C$8,"")))</f>
        <v/>
      </c>
      <c r="E747" s="6" t="str" cm="1">
        <f t="array" ref="E747">IF($A747="","",_xlfn.LET(_xlpm.sheets,CHOOSE({1,2,3,4,5},'Template Setup'!$C$4,'Template Setup'!$C$5,'Template Setup'!$C$6,'Template Setup'!$C$7,'Template Setup'!$C$8),_xlpm.nums,CHOOSE({1,2,3,4,5},$L747,$M747,$N747,$O747,$P747),_xlpm.qtys,CHOOSE({1,2,3,4,5},$G747,$H747,$I747,$J747,$K747),_xlpm.validNums,_xlfn._xlws.FILTER(_xlpm.nums,_xlpm.qtys&gt;0),_xlpm.validSheets,_xlfn._xlws.FILTER(_xlpm.sheets,_xlpm.qtys&gt;0),_xlpm.mx,IFERROR(MAX(_xlpm.validNums),0),IF(_xlpm.mx=0,"",INDEX(_xlpm.validSheets,MATCH(_xlpm.mx,_xlpm.validNums,0))&amp;" (+"&amp;$R747&amp;")")))</f>
        <v/>
      </c>
      <c r="F747" s="11" t="str">
        <f t="shared" si="47"/>
        <v/>
      </c>
      <c r="G747" s="12" t="str">
        <f ca="1">IF($A747="","",IFERROR(SUMIF(INDIRECT("'"&amp;'Template Setup'!$C$4&amp;"'!C:C"),$A747,INDIRECT("'"&amp;'Template Setup'!$C$4&amp;"'!A:A")),0))</f>
        <v/>
      </c>
      <c r="H747" s="12" t="str">
        <f ca="1">IF($A747="","",IFERROR(SUMIF(INDIRECT("'"&amp;'Template Setup'!$C$5&amp;"'!C:C"),$A747,INDIRECT("'"&amp;'Template Setup'!$C$5&amp;"'!A:A")),0))</f>
        <v/>
      </c>
      <c r="I747" s="12" t="str">
        <f ca="1">IF($A747="","",IFERROR(SUMIF(INDIRECT("'"&amp;'Template Setup'!$C$6&amp;"'!C:C"),$A747,INDIRECT("'"&amp;'Template Setup'!$C$6&amp;"'!A:A")),0))</f>
        <v/>
      </c>
      <c r="J747" s="12" t="str">
        <f ca="1">IF($A747="","",IFERROR(SUMIF(INDIRECT("'"&amp;'Template Setup'!$C$7&amp;"'!C:C"),$A747,INDIRECT("'"&amp;'Template Setup'!$C$7&amp;"'!A:A")),0))</f>
        <v/>
      </c>
      <c r="K747" s="12" t="str">
        <f ca="1">IF($A747="","",IFERROR(SUMIF(INDIRECT("'"&amp;'Template Setup'!$C$8&amp;"'!C:C"),$A747,INDIRECT("'"&amp;'Template Setup'!$C$8&amp;"'!A:A")),0))</f>
        <v/>
      </c>
      <c r="L747" s="11" t="str">
        <f>IF($A747="","",IFERROR(VALUE(MID(TRIM('Template Setup'!$C$4),FIND("-",TRIM('Template Setup'!$C$4))+1,10)),0))</f>
        <v/>
      </c>
      <c r="M747" s="11" t="str">
        <f>IF($A747="","",IFERROR(VALUE(MID(TRIM('Template Setup'!$C$5),FIND("-",TRIM('Template Setup'!$C$5))+1,10)),0))</f>
        <v/>
      </c>
      <c r="N747" s="11" t="str">
        <f>IF($A747="","",IFERROR(VALUE(MID(TRIM('Template Setup'!$C$6),FIND("-",TRIM('Template Setup'!$C$6))+1,10)),0))</f>
        <v/>
      </c>
      <c r="O747" s="11" t="str">
        <f>IF($A747="","",IFERROR(VALUE(MID(TRIM('Template Setup'!$C$7),FIND("-",TRIM('Template Setup'!$C$7))+1,10)),0))</f>
        <v/>
      </c>
      <c r="P747" s="11" t="str">
        <f>IF($A747="","",IFERROR(VALUE(MID(TRIM('Template Setup'!$C$8),FIND("-",TRIM('Template Setup'!$C$8))+1,10)),0))</f>
        <v/>
      </c>
      <c r="Q747" s="9" t="str">
        <f>IF($A747="","",$A747&amp;"-"&amp;'Template Setup'!$C$16)</f>
        <v/>
      </c>
      <c r="R747" s="24" t="str">
        <f t="shared" si="45"/>
        <v/>
      </c>
      <c r="S747" s="24"/>
      <c r="T747" s="24" t="str">
        <f t="shared" si="46"/>
        <v/>
      </c>
      <c r="U747" s="6" t="str">
        <f t="shared" si="48"/>
        <v/>
      </c>
    </row>
    <row r="748" spans="1:21">
      <c r="A748" s="11"/>
      <c r="B748" s="11"/>
      <c r="C748" s="11"/>
      <c r="D748" s="11" t="str">
        <f>IF($A748="","",_xlfn.TEXTJOIN(", ",TRUE,IF($G748&gt;0,'Template Setup'!$C$4,""),IF($H748&gt;0,'Template Setup'!$C$5,""),IF($I748&gt;0,'Template Setup'!$C$6,""),IF($J748&gt;0,'Template Setup'!$C$7,""),IF($K748&gt;0,'Template Setup'!$C$8,"")))</f>
        <v/>
      </c>
      <c r="E748" s="6" t="str" cm="1">
        <f t="array" ref="E748">IF($A748="","",_xlfn.LET(_xlpm.sheets,CHOOSE({1,2,3,4,5},'Template Setup'!$C$4,'Template Setup'!$C$5,'Template Setup'!$C$6,'Template Setup'!$C$7,'Template Setup'!$C$8),_xlpm.nums,CHOOSE({1,2,3,4,5},$L748,$M748,$N748,$O748,$P748),_xlpm.qtys,CHOOSE({1,2,3,4,5},$G748,$H748,$I748,$J748,$K748),_xlpm.validNums,_xlfn._xlws.FILTER(_xlpm.nums,_xlpm.qtys&gt;0),_xlpm.validSheets,_xlfn._xlws.FILTER(_xlpm.sheets,_xlpm.qtys&gt;0),_xlpm.mx,IFERROR(MAX(_xlpm.validNums),0),IF(_xlpm.mx=0,"",INDEX(_xlpm.validSheets,MATCH(_xlpm.mx,_xlpm.validNums,0))&amp;" (+"&amp;$R748&amp;")")))</f>
        <v/>
      </c>
      <c r="F748" s="11" t="str">
        <f t="shared" si="47"/>
        <v/>
      </c>
      <c r="G748" s="12" t="str">
        <f ca="1">IF($A748="","",IFERROR(SUMIF(INDIRECT("'"&amp;'Template Setup'!$C$4&amp;"'!C:C"),$A748,INDIRECT("'"&amp;'Template Setup'!$C$4&amp;"'!A:A")),0))</f>
        <v/>
      </c>
      <c r="H748" s="12" t="str">
        <f ca="1">IF($A748="","",IFERROR(SUMIF(INDIRECT("'"&amp;'Template Setup'!$C$5&amp;"'!C:C"),$A748,INDIRECT("'"&amp;'Template Setup'!$C$5&amp;"'!A:A")),0))</f>
        <v/>
      </c>
      <c r="I748" s="12" t="str">
        <f ca="1">IF($A748="","",IFERROR(SUMIF(INDIRECT("'"&amp;'Template Setup'!$C$6&amp;"'!C:C"),$A748,INDIRECT("'"&amp;'Template Setup'!$C$6&amp;"'!A:A")),0))</f>
        <v/>
      </c>
      <c r="J748" s="12" t="str">
        <f ca="1">IF($A748="","",IFERROR(SUMIF(INDIRECT("'"&amp;'Template Setup'!$C$7&amp;"'!C:C"),$A748,INDIRECT("'"&amp;'Template Setup'!$C$7&amp;"'!A:A")),0))</f>
        <v/>
      </c>
      <c r="K748" s="12" t="str">
        <f ca="1">IF($A748="","",IFERROR(SUMIF(INDIRECT("'"&amp;'Template Setup'!$C$8&amp;"'!C:C"),$A748,INDIRECT("'"&amp;'Template Setup'!$C$8&amp;"'!A:A")),0))</f>
        <v/>
      </c>
      <c r="L748" s="11" t="str">
        <f>IF($A748="","",IFERROR(VALUE(MID(TRIM('Template Setup'!$C$4),FIND("-",TRIM('Template Setup'!$C$4))+1,10)),0))</f>
        <v/>
      </c>
      <c r="M748" s="11" t="str">
        <f>IF($A748="","",IFERROR(VALUE(MID(TRIM('Template Setup'!$C$5),FIND("-",TRIM('Template Setup'!$C$5))+1,10)),0))</f>
        <v/>
      </c>
      <c r="N748" s="11" t="str">
        <f>IF($A748="","",IFERROR(VALUE(MID(TRIM('Template Setup'!$C$6),FIND("-",TRIM('Template Setup'!$C$6))+1,10)),0))</f>
        <v/>
      </c>
      <c r="O748" s="11" t="str">
        <f>IF($A748="","",IFERROR(VALUE(MID(TRIM('Template Setup'!$C$7),FIND("-",TRIM('Template Setup'!$C$7))+1,10)),0))</f>
        <v/>
      </c>
      <c r="P748" s="11" t="str">
        <f>IF($A748="","",IFERROR(VALUE(MID(TRIM('Template Setup'!$C$8),FIND("-",TRIM('Template Setup'!$C$8))+1,10)),0))</f>
        <v/>
      </c>
      <c r="Q748" s="9" t="str">
        <f>IF($A748="","",$A748&amp;"-"&amp;'Template Setup'!$C$16)</f>
        <v/>
      </c>
      <c r="R748" s="24" t="str">
        <f t="shared" si="45"/>
        <v/>
      </c>
      <c r="S748" s="24"/>
      <c r="T748" s="24" t="str">
        <f t="shared" si="46"/>
        <v/>
      </c>
      <c r="U748" s="6" t="str">
        <f t="shared" si="48"/>
        <v/>
      </c>
    </row>
    <row r="749" spans="1:21">
      <c r="A749" s="11"/>
      <c r="B749" s="11"/>
      <c r="C749" s="11"/>
      <c r="D749" s="11" t="str">
        <f>IF($A749="","",_xlfn.TEXTJOIN(", ",TRUE,IF($G749&gt;0,'Template Setup'!$C$4,""),IF($H749&gt;0,'Template Setup'!$C$5,""),IF($I749&gt;0,'Template Setup'!$C$6,""),IF($J749&gt;0,'Template Setup'!$C$7,""),IF($K749&gt;0,'Template Setup'!$C$8,"")))</f>
        <v/>
      </c>
      <c r="E749" s="6" t="str" cm="1">
        <f t="array" ref="E749">IF($A749="","",_xlfn.LET(_xlpm.sheets,CHOOSE({1,2,3,4,5},'Template Setup'!$C$4,'Template Setup'!$C$5,'Template Setup'!$C$6,'Template Setup'!$C$7,'Template Setup'!$C$8),_xlpm.nums,CHOOSE({1,2,3,4,5},$L749,$M749,$N749,$O749,$P749),_xlpm.qtys,CHOOSE({1,2,3,4,5},$G749,$H749,$I749,$J749,$K749),_xlpm.validNums,_xlfn._xlws.FILTER(_xlpm.nums,_xlpm.qtys&gt;0),_xlpm.validSheets,_xlfn._xlws.FILTER(_xlpm.sheets,_xlpm.qtys&gt;0),_xlpm.mx,IFERROR(MAX(_xlpm.validNums),0),IF(_xlpm.mx=0,"",INDEX(_xlpm.validSheets,MATCH(_xlpm.mx,_xlpm.validNums,0))&amp;" (+"&amp;$R749&amp;")")))</f>
        <v/>
      </c>
      <c r="F749" s="11" t="str">
        <f t="shared" si="47"/>
        <v/>
      </c>
      <c r="G749" s="12" t="str">
        <f ca="1">IF($A749="","",IFERROR(SUMIF(INDIRECT("'"&amp;'Template Setup'!$C$4&amp;"'!C:C"),$A749,INDIRECT("'"&amp;'Template Setup'!$C$4&amp;"'!A:A")),0))</f>
        <v/>
      </c>
      <c r="H749" s="12" t="str">
        <f ca="1">IF($A749="","",IFERROR(SUMIF(INDIRECT("'"&amp;'Template Setup'!$C$5&amp;"'!C:C"),$A749,INDIRECT("'"&amp;'Template Setup'!$C$5&amp;"'!A:A")),0))</f>
        <v/>
      </c>
      <c r="I749" s="12" t="str">
        <f ca="1">IF($A749="","",IFERROR(SUMIF(INDIRECT("'"&amp;'Template Setup'!$C$6&amp;"'!C:C"),$A749,INDIRECT("'"&amp;'Template Setup'!$C$6&amp;"'!A:A")),0))</f>
        <v/>
      </c>
      <c r="J749" s="12" t="str">
        <f ca="1">IF($A749="","",IFERROR(SUMIF(INDIRECT("'"&amp;'Template Setup'!$C$7&amp;"'!C:C"),$A749,INDIRECT("'"&amp;'Template Setup'!$C$7&amp;"'!A:A")),0))</f>
        <v/>
      </c>
      <c r="K749" s="12" t="str">
        <f ca="1">IF($A749="","",IFERROR(SUMIF(INDIRECT("'"&amp;'Template Setup'!$C$8&amp;"'!C:C"),$A749,INDIRECT("'"&amp;'Template Setup'!$C$8&amp;"'!A:A")),0))</f>
        <v/>
      </c>
      <c r="L749" s="11" t="str">
        <f>IF($A749="","",IFERROR(VALUE(MID(TRIM('Template Setup'!$C$4),FIND("-",TRIM('Template Setup'!$C$4))+1,10)),0))</f>
        <v/>
      </c>
      <c r="M749" s="11" t="str">
        <f>IF($A749="","",IFERROR(VALUE(MID(TRIM('Template Setup'!$C$5),FIND("-",TRIM('Template Setup'!$C$5))+1,10)),0))</f>
        <v/>
      </c>
      <c r="N749" s="11" t="str">
        <f>IF($A749="","",IFERROR(VALUE(MID(TRIM('Template Setup'!$C$6),FIND("-",TRIM('Template Setup'!$C$6))+1,10)),0))</f>
        <v/>
      </c>
      <c r="O749" s="11" t="str">
        <f>IF($A749="","",IFERROR(VALUE(MID(TRIM('Template Setup'!$C$7),FIND("-",TRIM('Template Setup'!$C$7))+1,10)),0))</f>
        <v/>
      </c>
      <c r="P749" s="11" t="str">
        <f>IF($A749="","",IFERROR(VALUE(MID(TRIM('Template Setup'!$C$8),FIND("-",TRIM('Template Setup'!$C$8))+1,10)),0))</f>
        <v/>
      </c>
      <c r="Q749" s="9" t="str">
        <f>IF($A749="","",$A749&amp;"-"&amp;'Template Setup'!$C$16)</f>
        <v/>
      </c>
      <c r="R749" s="24" t="str">
        <f t="shared" si="45"/>
        <v/>
      </c>
      <c r="S749" s="24"/>
      <c r="T749" s="24" t="str">
        <f t="shared" si="46"/>
        <v/>
      </c>
      <c r="U749" s="6" t="str">
        <f t="shared" si="48"/>
        <v/>
      </c>
    </row>
    <row r="750" spans="1:21">
      <c r="A750" s="11"/>
      <c r="B750" s="11"/>
      <c r="C750" s="11"/>
      <c r="D750" s="11" t="str">
        <f>IF($A750="","",_xlfn.TEXTJOIN(", ",TRUE,IF($G750&gt;0,'Template Setup'!$C$4,""),IF($H750&gt;0,'Template Setup'!$C$5,""),IF($I750&gt;0,'Template Setup'!$C$6,""),IF($J750&gt;0,'Template Setup'!$C$7,""),IF($K750&gt;0,'Template Setup'!$C$8,"")))</f>
        <v/>
      </c>
      <c r="E750" s="6" t="str" cm="1">
        <f t="array" ref="E750">IF($A750="","",_xlfn.LET(_xlpm.sheets,CHOOSE({1,2,3,4,5},'Template Setup'!$C$4,'Template Setup'!$C$5,'Template Setup'!$C$6,'Template Setup'!$C$7,'Template Setup'!$C$8),_xlpm.nums,CHOOSE({1,2,3,4,5},$L750,$M750,$N750,$O750,$P750),_xlpm.qtys,CHOOSE({1,2,3,4,5},$G750,$H750,$I750,$J750,$K750),_xlpm.validNums,_xlfn._xlws.FILTER(_xlpm.nums,_xlpm.qtys&gt;0),_xlpm.validSheets,_xlfn._xlws.FILTER(_xlpm.sheets,_xlpm.qtys&gt;0),_xlpm.mx,IFERROR(MAX(_xlpm.validNums),0),IF(_xlpm.mx=0,"",INDEX(_xlpm.validSheets,MATCH(_xlpm.mx,_xlpm.validNums,0))&amp;" (+"&amp;$R750&amp;")")))</f>
        <v/>
      </c>
      <c r="F750" s="11" t="str">
        <f t="shared" si="47"/>
        <v/>
      </c>
      <c r="G750" s="12" t="str">
        <f ca="1">IF($A750="","",IFERROR(SUMIF(INDIRECT("'"&amp;'Template Setup'!$C$4&amp;"'!C:C"),$A750,INDIRECT("'"&amp;'Template Setup'!$C$4&amp;"'!A:A")),0))</f>
        <v/>
      </c>
      <c r="H750" s="12" t="str">
        <f ca="1">IF($A750="","",IFERROR(SUMIF(INDIRECT("'"&amp;'Template Setup'!$C$5&amp;"'!C:C"),$A750,INDIRECT("'"&amp;'Template Setup'!$C$5&amp;"'!A:A")),0))</f>
        <v/>
      </c>
      <c r="I750" s="12" t="str">
        <f ca="1">IF($A750="","",IFERROR(SUMIF(INDIRECT("'"&amp;'Template Setup'!$C$6&amp;"'!C:C"),$A750,INDIRECT("'"&amp;'Template Setup'!$C$6&amp;"'!A:A")),0))</f>
        <v/>
      </c>
      <c r="J750" s="12" t="str">
        <f ca="1">IF($A750="","",IFERROR(SUMIF(INDIRECT("'"&amp;'Template Setup'!$C$7&amp;"'!C:C"),$A750,INDIRECT("'"&amp;'Template Setup'!$C$7&amp;"'!A:A")),0))</f>
        <v/>
      </c>
      <c r="K750" s="12" t="str">
        <f ca="1">IF($A750="","",IFERROR(SUMIF(INDIRECT("'"&amp;'Template Setup'!$C$8&amp;"'!C:C"),$A750,INDIRECT("'"&amp;'Template Setup'!$C$8&amp;"'!A:A")),0))</f>
        <v/>
      </c>
      <c r="L750" s="11" t="str">
        <f>IF($A750="","",IFERROR(VALUE(MID(TRIM('Template Setup'!$C$4),FIND("-",TRIM('Template Setup'!$C$4))+1,10)),0))</f>
        <v/>
      </c>
      <c r="M750" s="11" t="str">
        <f>IF($A750="","",IFERROR(VALUE(MID(TRIM('Template Setup'!$C$5),FIND("-",TRIM('Template Setup'!$C$5))+1,10)),0))</f>
        <v/>
      </c>
      <c r="N750" s="11" t="str">
        <f>IF($A750="","",IFERROR(VALUE(MID(TRIM('Template Setup'!$C$6),FIND("-",TRIM('Template Setup'!$C$6))+1,10)),0))</f>
        <v/>
      </c>
      <c r="O750" s="11" t="str">
        <f>IF($A750="","",IFERROR(VALUE(MID(TRIM('Template Setup'!$C$7),FIND("-",TRIM('Template Setup'!$C$7))+1,10)),0))</f>
        <v/>
      </c>
      <c r="P750" s="11" t="str">
        <f>IF($A750="","",IFERROR(VALUE(MID(TRIM('Template Setup'!$C$8),FIND("-",TRIM('Template Setup'!$C$8))+1,10)),0))</f>
        <v/>
      </c>
      <c r="Q750" s="9" t="str">
        <f>IF($A750="","",$A750&amp;"-"&amp;'Template Setup'!$C$16)</f>
        <v/>
      </c>
      <c r="R750" s="24" t="str">
        <f t="shared" si="45"/>
        <v/>
      </c>
      <c r="S750" s="24"/>
      <c r="T750" s="24" t="str">
        <f t="shared" si="46"/>
        <v/>
      </c>
      <c r="U750" s="6" t="str">
        <f t="shared" si="48"/>
        <v/>
      </c>
    </row>
    <row r="751" spans="1:21">
      <c r="A751" s="11"/>
      <c r="B751" s="11"/>
      <c r="C751" s="11"/>
      <c r="D751" s="11" t="str">
        <f>IF($A751="","",_xlfn.TEXTJOIN(", ",TRUE,IF($G751&gt;0,'Template Setup'!$C$4,""),IF($H751&gt;0,'Template Setup'!$C$5,""),IF($I751&gt;0,'Template Setup'!$C$6,""),IF($J751&gt;0,'Template Setup'!$C$7,""),IF($K751&gt;0,'Template Setup'!$C$8,"")))</f>
        <v/>
      </c>
      <c r="E751" s="6" t="str" cm="1">
        <f t="array" ref="E751">IF($A751="","",_xlfn.LET(_xlpm.sheets,CHOOSE({1,2,3,4,5},'Template Setup'!$C$4,'Template Setup'!$C$5,'Template Setup'!$C$6,'Template Setup'!$C$7,'Template Setup'!$C$8),_xlpm.nums,CHOOSE({1,2,3,4,5},$L751,$M751,$N751,$O751,$P751),_xlpm.qtys,CHOOSE({1,2,3,4,5},$G751,$H751,$I751,$J751,$K751),_xlpm.validNums,_xlfn._xlws.FILTER(_xlpm.nums,_xlpm.qtys&gt;0),_xlpm.validSheets,_xlfn._xlws.FILTER(_xlpm.sheets,_xlpm.qtys&gt;0),_xlpm.mx,IFERROR(MAX(_xlpm.validNums),0),IF(_xlpm.mx=0,"",INDEX(_xlpm.validSheets,MATCH(_xlpm.mx,_xlpm.validNums,0))&amp;" (+"&amp;$R751&amp;")")))</f>
        <v/>
      </c>
      <c r="F751" s="11" t="str">
        <f t="shared" si="47"/>
        <v/>
      </c>
      <c r="G751" s="12" t="str">
        <f ca="1">IF($A751="","",IFERROR(SUMIF(INDIRECT("'"&amp;'Template Setup'!$C$4&amp;"'!C:C"),$A751,INDIRECT("'"&amp;'Template Setup'!$C$4&amp;"'!A:A")),0))</f>
        <v/>
      </c>
      <c r="H751" s="12" t="str">
        <f ca="1">IF($A751="","",IFERROR(SUMIF(INDIRECT("'"&amp;'Template Setup'!$C$5&amp;"'!C:C"),$A751,INDIRECT("'"&amp;'Template Setup'!$C$5&amp;"'!A:A")),0))</f>
        <v/>
      </c>
      <c r="I751" s="12" t="str">
        <f ca="1">IF($A751="","",IFERROR(SUMIF(INDIRECT("'"&amp;'Template Setup'!$C$6&amp;"'!C:C"),$A751,INDIRECT("'"&amp;'Template Setup'!$C$6&amp;"'!A:A")),0))</f>
        <v/>
      </c>
      <c r="J751" s="12" t="str">
        <f ca="1">IF($A751="","",IFERROR(SUMIF(INDIRECT("'"&amp;'Template Setup'!$C$7&amp;"'!C:C"),$A751,INDIRECT("'"&amp;'Template Setup'!$C$7&amp;"'!A:A")),0))</f>
        <v/>
      </c>
      <c r="K751" s="12" t="str">
        <f ca="1">IF($A751="","",IFERROR(SUMIF(INDIRECT("'"&amp;'Template Setup'!$C$8&amp;"'!C:C"),$A751,INDIRECT("'"&amp;'Template Setup'!$C$8&amp;"'!A:A")),0))</f>
        <v/>
      </c>
      <c r="L751" s="11" t="str">
        <f>IF($A751="","",IFERROR(VALUE(MID(TRIM('Template Setup'!$C$4),FIND("-",TRIM('Template Setup'!$C$4))+1,10)),0))</f>
        <v/>
      </c>
      <c r="M751" s="11" t="str">
        <f>IF($A751="","",IFERROR(VALUE(MID(TRIM('Template Setup'!$C$5),FIND("-",TRIM('Template Setup'!$C$5))+1,10)),0))</f>
        <v/>
      </c>
      <c r="N751" s="11" t="str">
        <f>IF($A751="","",IFERROR(VALUE(MID(TRIM('Template Setup'!$C$6),FIND("-",TRIM('Template Setup'!$C$6))+1,10)),0))</f>
        <v/>
      </c>
      <c r="O751" s="11" t="str">
        <f>IF($A751="","",IFERROR(VALUE(MID(TRIM('Template Setup'!$C$7),FIND("-",TRIM('Template Setup'!$C$7))+1,10)),0))</f>
        <v/>
      </c>
      <c r="P751" s="11" t="str">
        <f>IF($A751="","",IFERROR(VALUE(MID(TRIM('Template Setup'!$C$8),FIND("-",TRIM('Template Setup'!$C$8))+1,10)),0))</f>
        <v/>
      </c>
      <c r="Q751" s="9" t="str">
        <f>IF($A751="","",$A751&amp;"-"&amp;'Template Setup'!$C$16)</f>
        <v/>
      </c>
      <c r="R751" s="24" t="str">
        <f t="shared" si="45"/>
        <v/>
      </c>
      <c r="S751" s="24"/>
      <c r="T751" s="24" t="str">
        <f t="shared" si="46"/>
        <v/>
      </c>
      <c r="U751" s="6" t="str">
        <f t="shared" si="48"/>
        <v/>
      </c>
    </row>
    <row r="752" spans="1:21">
      <c r="A752" s="11"/>
      <c r="B752" s="11"/>
      <c r="C752" s="11"/>
      <c r="D752" s="11" t="str">
        <f>IF($A752="","",_xlfn.TEXTJOIN(", ",TRUE,IF($G752&gt;0,'Template Setup'!$C$4,""),IF($H752&gt;0,'Template Setup'!$C$5,""),IF($I752&gt;0,'Template Setup'!$C$6,""),IF($J752&gt;0,'Template Setup'!$C$7,""),IF($K752&gt;0,'Template Setup'!$C$8,"")))</f>
        <v/>
      </c>
      <c r="E752" s="6" t="str" cm="1">
        <f t="array" ref="E752">IF($A752="","",_xlfn.LET(_xlpm.sheets,CHOOSE({1,2,3,4,5},'Template Setup'!$C$4,'Template Setup'!$C$5,'Template Setup'!$C$6,'Template Setup'!$C$7,'Template Setup'!$C$8),_xlpm.nums,CHOOSE({1,2,3,4,5},$L752,$M752,$N752,$O752,$P752),_xlpm.qtys,CHOOSE({1,2,3,4,5},$G752,$H752,$I752,$J752,$K752),_xlpm.validNums,_xlfn._xlws.FILTER(_xlpm.nums,_xlpm.qtys&gt;0),_xlpm.validSheets,_xlfn._xlws.FILTER(_xlpm.sheets,_xlpm.qtys&gt;0),_xlpm.mx,IFERROR(MAX(_xlpm.validNums),0),IF(_xlpm.mx=0,"",INDEX(_xlpm.validSheets,MATCH(_xlpm.mx,_xlpm.validNums,0))&amp;" (+"&amp;$R752&amp;")")))</f>
        <v/>
      </c>
      <c r="F752" s="11" t="str">
        <f t="shared" si="47"/>
        <v/>
      </c>
      <c r="G752" s="12" t="str">
        <f ca="1">IF($A752="","",IFERROR(SUMIF(INDIRECT("'"&amp;'Template Setup'!$C$4&amp;"'!C:C"),$A752,INDIRECT("'"&amp;'Template Setup'!$C$4&amp;"'!A:A")),0))</f>
        <v/>
      </c>
      <c r="H752" s="12" t="str">
        <f ca="1">IF($A752="","",IFERROR(SUMIF(INDIRECT("'"&amp;'Template Setup'!$C$5&amp;"'!C:C"),$A752,INDIRECT("'"&amp;'Template Setup'!$C$5&amp;"'!A:A")),0))</f>
        <v/>
      </c>
      <c r="I752" s="12" t="str">
        <f ca="1">IF($A752="","",IFERROR(SUMIF(INDIRECT("'"&amp;'Template Setup'!$C$6&amp;"'!C:C"),$A752,INDIRECT("'"&amp;'Template Setup'!$C$6&amp;"'!A:A")),0))</f>
        <v/>
      </c>
      <c r="J752" s="12" t="str">
        <f ca="1">IF($A752="","",IFERROR(SUMIF(INDIRECT("'"&amp;'Template Setup'!$C$7&amp;"'!C:C"),$A752,INDIRECT("'"&amp;'Template Setup'!$C$7&amp;"'!A:A")),0))</f>
        <v/>
      </c>
      <c r="K752" s="12" t="str">
        <f ca="1">IF($A752="","",IFERROR(SUMIF(INDIRECT("'"&amp;'Template Setup'!$C$8&amp;"'!C:C"),$A752,INDIRECT("'"&amp;'Template Setup'!$C$8&amp;"'!A:A")),0))</f>
        <v/>
      </c>
      <c r="L752" s="11" t="str">
        <f>IF($A752="","",IFERROR(VALUE(MID(TRIM('Template Setup'!$C$4),FIND("-",TRIM('Template Setup'!$C$4))+1,10)),0))</f>
        <v/>
      </c>
      <c r="M752" s="11" t="str">
        <f>IF($A752="","",IFERROR(VALUE(MID(TRIM('Template Setup'!$C$5),FIND("-",TRIM('Template Setup'!$C$5))+1,10)),0))</f>
        <v/>
      </c>
      <c r="N752" s="11" t="str">
        <f>IF($A752="","",IFERROR(VALUE(MID(TRIM('Template Setup'!$C$6),FIND("-",TRIM('Template Setup'!$C$6))+1,10)),0))</f>
        <v/>
      </c>
      <c r="O752" s="11" t="str">
        <f>IF($A752="","",IFERROR(VALUE(MID(TRIM('Template Setup'!$C$7),FIND("-",TRIM('Template Setup'!$C$7))+1,10)),0))</f>
        <v/>
      </c>
      <c r="P752" s="11" t="str">
        <f>IF($A752="","",IFERROR(VALUE(MID(TRIM('Template Setup'!$C$8),FIND("-",TRIM('Template Setup'!$C$8))+1,10)),0))</f>
        <v/>
      </c>
      <c r="Q752" s="9" t="str">
        <f>IF($A752="","",$A752&amp;"-"&amp;'Template Setup'!$C$16)</f>
        <v/>
      </c>
      <c r="R752" s="24" t="str">
        <f t="shared" si="45"/>
        <v/>
      </c>
      <c r="S752" s="24"/>
      <c r="T752" s="24" t="str">
        <f t="shared" si="46"/>
        <v/>
      </c>
      <c r="U752" s="6" t="str">
        <f t="shared" si="48"/>
        <v/>
      </c>
    </row>
    <row r="753" spans="1:21">
      <c r="A753" s="11"/>
      <c r="B753" s="11"/>
      <c r="C753" s="11"/>
      <c r="D753" s="11" t="str">
        <f>IF($A753="","",_xlfn.TEXTJOIN(", ",TRUE,IF($G753&gt;0,'Template Setup'!$C$4,""),IF($H753&gt;0,'Template Setup'!$C$5,""),IF($I753&gt;0,'Template Setup'!$C$6,""),IF($J753&gt;0,'Template Setup'!$C$7,""),IF($K753&gt;0,'Template Setup'!$C$8,"")))</f>
        <v/>
      </c>
      <c r="E753" s="6" t="str" cm="1">
        <f t="array" ref="E753">IF($A753="","",_xlfn.LET(_xlpm.sheets,CHOOSE({1,2,3,4,5},'Template Setup'!$C$4,'Template Setup'!$C$5,'Template Setup'!$C$6,'Template Setup'!$C$7,'Template Setup'!$C$8),_xlpm.nums,CHOOSE({1,2,3,4,5},$L753,$M753,$N753,$O753,$P753),_xlpm.qtys,CHOOSE({1,2,3,4,5},$G753,$H753,$I753,$J753,$K753),_xlpm.validNums,_xlfn._xlws.FILTER(_xlpm.nums,_xlpm.qtys&gt;0),_xlpm.validSheets,_xlfn._xlws.FILTER(_xlpm.sheets,_xlpm.qtys&gt;0),_xlpm.mx,IFERROR(MAX(_xlpm.validNums),0),IF(_xlpm.mx=0,"",INDEX(_xlpm.validSheets,MATCH(_xlpm.mx,_xlpm.validNums,0))&amp;" (+"&amp;$R753&amp;")")))</f>
        <v/>
      </c>
      <c r="F753" s="11" t="str">
        <f t="shared" si="47"/>
        <v/>
      </c>
      <c r="G753" s="12" t="str">
        <f ca="1">IF($A753="","",IFERROR(SUMIF(INDIRECT("'"&amp;'Template Setup'!$C$4&amp;"'!C:C"),$A753,INDIRECT("'"&amp;'Template Setup'!$C$4&amp;"'!A:A")),0))</f>
        <v/>
      </c>
      <c r="H753" s="12" t="str">
        <f ca="1">IF($A753="","",IFERROR(SUMIF(INDIRECT("'"&amp;'Template Setup'!$C$5&amp;"'!C:C"),$A753,INDIRECT("'"&amp;'Template Setup'!$C$5&amp;"'!A:A")),0))</f>
        <v/>
      </c>
      <c r="I753" s="12" t="str">
        <f ca="1">IF($A753="","",IFERROR(SUMIF(INDIRECT("'"&amp;'Template Setup'!$C$6&amp;"'!C:C"),$A753,INDIRECT("'"&amp;'Template Setup'!$C$6&amp;"'!A:A")),0))</f>
        <v/>
      </c>
      <c r="J753" s="12" t="str">
        <f ca="1">IF($A753="","",IFERROR(SUMIF(INDIRECT("'"&amp;'Template Setup'!$C$7&amp;"'!C:C"),$A753,INDIRECT("'"&amp;'Template Setup'!$C$7&amp;"'!A:A")),0))</f>
        <v/>
      </c>
      <c r="K753" s="12" t="str">
        <f ca="1">IF($A753="","",IFERROR(SUMIF(INDIRECT("'"&amp;'Template Setup'!$C$8&amp;"'!C:C"),$A753,INDIRECT("'"&amp;'Template Setup'!$C$8&amp;"'!A:A")),0))</f>
        <v/>
      </c>
      <c r="L753" s="11" t="str">
        <f>IF($A753="","",IFERROR(VALUE(MID(TRIM('Template Setup'!$C$4),FIND("-",TRIM('Template Setup'!$C$4))+1,10)),0))</f>
        <v/>
      </c>
      <c r="M753" s="11" t="str">
        <f>IF($A753="","",IFERROR(VALUE(MID(TRIM('Template Setup'!$C$5),FIND("-",TRIM('Template Setup'!$C$5))+1,10)),0))</f>
        <v/>
      </c>
      <c r="N753" s="11" t="str">
        <f>IF($A753="","",IFERROR(VALUE(MID(TRIM('Template Setup'!$C$6),FIND("-",TRIM('Template Setup'!$C$6))+1,10)),0))</f>
        <v/>
      </c>
      <c r="O753" s="11" t="str">
        <f>IF($A753="","",IFERROR(VALUE(MID(TRIM('Template Setup'!$C$7),FIND("-",TRIM('Template Setup'!$C$7))+1,10)),0))</f>
        <v/>
      </c>
      <c r="P753" s="11" t="str">
        <f>IF($A753="","",IFERROR(VALUE(MID(TRIM('Template Setup'!$C$8),FIND("-",TRIM('Template Setup'!$C$8))+1,10)),0))</f>
        <v/>
      </c>
      <c r="Q753" s="9" t="str">
        <f>IF($A753="","",$A753&amp;"-"&amp;'Template Setup'!$C$16)</f>
        <v/>
      </c>
      <c r="R753" s="24" t="str">
        <f t="shared" si="45"/>
        <v/>
      </c>
      <c r="S753" s="24"/>
      <c r="T753" s="24" t="str">
        <f t="shared" si="46"/>
        <v/>
      </c>
      <c r="U753" s="6" t="str">
        <f t="shared" si="48"/>
        <v/>
      </c>
    </row>
    <row r="754" spans="1:21">
      <c r="A754" s="11"/>
      <c r="B754" s="11"/>
      <c r="C754" s="11"/>
      <c r="D754" s="11" t="str">
        <f>IF($A754="","",_xlfn.TEXTJOIN(", ",TRUE,IF($G754&gt;0,'Template Setup'!$C$4,""),IF($H754&gt;0,'Template Setup'!$C$5,""),IF($I754&gt;0,'Template Setup'!$C$6,""),IF($J754&gt;0,'Template Setup'!$C$7,""),IF($K754&gt;0,'Template Setup'!$C$8,"")))</f>
        <v/>
      </c>
      <c r="E754" s="6" t="str" cm="1">
        <f t="array" ref="E754">IF($A754="","",_xlfn.LET(_xlpm.sheets,CHOOSE({1,2,3,4,5},'Template Setup'!$C$4,'Template Setup'!$C$5,'Template Setup'!$C$6,'Template Setup'!$C$7,'Template Setup'!$C$8),_xlpm.nums,CHOOSE({1,2,3,4,5},$L754,$M754,$N754,$O754,$P754),_xlpm.qtys,CHOOSE({1,2,3,4,5},$G754,$H754,$I754,$J754,$K754),_xlpm.validNums,_xlfn._xlws.FILTER(_xlpm.nums,_xlpm.qtys&gt;0),_xlpm.validSheets,_xlfn._xlws.FILTER(_xlpm.sheets,_xlpm.qtys&gt;0),_xlpm.mx,IFERROR(MAX(_xlpm.validNums),0),IF(_xlpm.mx=0,"",INDEX(_xlpm.validSheets,MATCH(_xlpm.mx,_xlpm.validNums,0))&amp;" (+"&amp;$R754&amp;")")))</f>
        <v/>
      </c>
      <c r="F754" s="11" t="str">
        <f t="shared" si="47"/>
        <v/>
      </c>
      <c r="G754" s="12" t="str">
        <f ca="1">IF($A754="","",IFERROR(SUMIF(INDIRECT("'"&amp;'Template Setup'!$C$4&amp;"'!C:C"),$A754,INDIRECT("'"&amp;'Template Setup'!$C$4&amp;"'!A:A")),0))</f>
        <v/>
      </c>
      <c r="H754" s="12" t="str">
        <f ca="1">IF($A754="","",IFERROR(SUMIF(INDIRECT("'"&amp;'Template Setup'!$C$5&amp;"'!C:C"),$A754,INDIRECT("'"&amp;'Template Setup'!$C$5&amp;"'!A:A")),0))</f>
        <v/>
      </c>
      <c r="I754" s="12" t="str">
        <f ca="1">IF($A754="","",IFERROR(SUMIF(INDIRECT("'"&amp;'Template Setup'!$C$6&amp;"'!C:C"),$A754,INDIRECT("'"&amp;'Template Setup'!$C$6&amp;"'!A:A")),0))</f>
        <v/>
      </c>
      <c r="J754" s="12" t="str">
        <f ca="1">IF($A754="","",IFERROR(SUMIF(INDIRECT("'"&amp;'Template Setup'!$C$7&amp;"'!C:C"),$A754,INDIRECT("'"&amp;'Template Setup'!$C$7&amp;"'!A:A")),0))</f>
        <v/>
      </c>
      <c r="K754" s="12" t="str">
        <f ca="1">IF($A754="","",IFERROR(SUMIF(INDIRECT("'"&amp;'Template Setup'!$C$8&amp;"'!C:C"),$A754,INDIRECT("'"&amp;'Template Setup'!$C$8&amp;"'!A:A")),0))</f>
        <v/>
      </c>
      <c r="L754" s="11" t="str">
        <f>IF($A754="","",IFERROR(VALUE(MID(TRIM('Template Setup'!$C$4),FIND("-",TRIM('Template Setup'!$C$4))+1,10)),0))</f>
        <v/>
      </c>
      <c r="M754" s="11" t="str">
        <f>IF($A754="","",IFERROR(VALUE(MID(TRIM('Template Setup'!$C$5),FIND("-",TRIM('Template Setup'!$C$5))+1,10)),0))</f>
        <v/>
      </c>
      <c r="N754" s="11" t="str">
        <f>IF($A754="","",IFERROR(VALUE(MID(TRIM('Template Setup'!$C$6),FIND("-",TRIM('Template Setup'!$C$6))+1,10)),0))</f>
        <v/>
      </c>
      <c r="O754" s="11" t="str">
        <f>IF($A754="","",IFERROR(VALUE(MID(TRIM('Template Setup'!$C$7),FIND("-",TRIM('Template Setup'!$C$7))+1,10)),0))</f>
        <v/>
      </c>
      <c r="P754" s="11" t="str">
        <f>IF($A754="","",IFERROR(VALUE(MID(TRIM('Template Setup'!$C$8),FIND("-",TRIM('Template Setup'!$C$8))+1,10)),0))</f>
        <v/>
      </c>
      <c r="Q754" s="9" t="str">
        <f>IF($A754="","",$A754&amp;"-"&amp;'Template Setup'!$C$16)</f>
        <v/>
      </c>
      <c r="R754" s="24" t="str">
        <f t="shared" si="45"/>
        <v/>
      </c>
      <c r="S754" s="24"/>
      <c r="T754" s="24" t="str">
        <f t="shared" si="46"/>
        <v/>
      </c>
      <c r="U754" s="6" t="str">
        <f t="shared" si="48"/>
        <v/>
      </c>
    </row>
    <row r="755" spans="1:21">
      <c r="A755" s="11"/>
      <c r="B755" s="11"/>
      <c r="C755" s="11"/>
      <c r="D755" s="11" t="str">
        <f>IF($A755="","",_xlfn.TEXTJOIN(", ",TRUE,IF($G755&gt;0,'Template Setup'!$C$4,""),IF($H755&gt;0,'Template Setup'!$C$5,""),IF($I755&gt;0,'Template Setup'!$C$6,""),IF($J755&gt;0,'Template Setup'!$C$7,""),IF($K755&gt;0,'Template Setup'!$C$8,"")))</f>
        <v/>
      </c>
      <c r="E755" s="6" t="str" cm="1">
        <f t="array" ref="E755">IF($A755="","",_xlfn.LET(_xlpm.sheets,CHOOSE({1,2,3,4,5},'Template Setup'!$C$4,'Template Setup'!$C$5,'Template Setup'!$C$6,'Template Setup'!$C$7,'Template Setup'!$C$8),_xlpm.nums,CHOOSE({1,2,3,4,5},$L755,$M755,$N755,$O755,$P755),_xlpm.qtys,CHOOSE({1,2,3,4,5},$G755,$H755,$I755,$J755,$K755),_xlpm.validNums,_xlfn._xlws.FILTER(_xlpm.nums,_xlpm.qtys&gt;0),_xlpm.validSheets,_xlfn._xlws.FILTER(_xlpm.sheets,_xlpm.qtys&gt;0),_xlpm.mx,IFERROR(MAX(_xlpm.validNums),0),IF(_xlpm.mx=0,"",INDEX(_xlpm.validSheets,MATCH(_xlpm.mx,_xlpm.validNums,0))&amp;" (+"&amp;$R755&amp;")")))</f>
        <v/>
      </c>
      <c r="F755" s="11" t="str">
        <f t="shared" si="47"/>
        <v/>
      </c>
      <c r="G755" s="12" t="str">
        <f ca="1">IF($A755="","",IFERROR(SUMIF(INDIRECT("'"&amp;'Template Setup'!$C$4&amp;"'!C:C"),$A755,INDIRECT("'"&amp;'Template Setup'!$C$4&amp;"'!A:A")),0))</f>
        <v/>
      </c>
      <c r="H755" s="12" t="str">
        <f ca="1">IF($A755="","",IFERROR(SUMIF(INDIRECT("'"&amp;'Template Setup'!$C$5&amp;"'!C:C"),$A755,INDIRECT("'"&amp;'Template Setup'!$C$5&amp;"'!A:A")),0))</f>
        <v/>
      </c>
      <c r="I755" s="12" t="str">
        <f ca="1">IF($A755="","",IFERROR(SUMIF(INDIRECT("'"&amp;'Template Setup'!$C$6&amp;"'!C:C"),$A755,INDIRECT("'"&amp;'Template Setup'!$C$6&amp;"'!A:A")),0))</f>
        <v/>
      </c>
      <c r="J755" s="12" t="str">
        <f ca="1">IF($A755="","",IFERROR(SUMIF(INDIRECT("'"&amp;'Template Setup'!$C$7&amp;"'!C:C"),$A755,INDIRECT("'"&amp;'Template Setup'!$C$7&amp;"'!A:A")),0))</f>
        <v/>
      </c>
      <c r="K755" s="12" t="str">
        <f ca="1">IF($A755="","",IFERROR(SUMIF(INDIRECT("'"&amp;'Template Setup'!$C$8&amp;"'!C:C"),$A755,INDIRECT("'"&amp;'Template Setup'!$C$8&amp;"'!A:A")),0))</f>
        <v/>
      </c>
      <c r="L755" s="11" t="str">
        <f>IF($A755="","",IFERROR(VALUE(MID(TRIM('Template Setup'!$C$4),FIND("-",TRIM('Template Setup'!$C$4))+1,10)),0))</f>
        <v/>
      </c>
      <c r="M755" s="11" t="str">
        <f>IF($A755="","",IFERROR(VALUE(MID(TRIM('Template Setup'!$C$5),FIND("-",TRIM('Template Setup'!$C$5))+1,10)),0))</f>
        <v/>
      </c>
      <c r="N755" s="11" t="str">
        <f>IF($A755="","",IFERROR(VALUE(MID(TRIM('Template Setup'!$C$6),FIND("-",TRIM('Template Setup'!$C$6))+1,10)),0))</f>
        <v/>
      </c>
      <c r="O755" s="11" t="str">
        <f>IF($A755="","",IFERROR(VALUE(MID(TRIM('Template Setup'!$C$7),FIND("-",TRIM('Template Setup'!$C$7))+1,10)),0))</f>
        <v/>
      </c>
      <c r="P755" s="11" t="str">
        <f>IF($A755="","",IFERROR(VALUE(MID(TRIM('Template Setup'!$C$8),FIND("-",TRIM('Template Setup'!$C$8))+1,10)),0))</f>
        <v/>
      </c>
      <c r="Q755" s="9" t="str">
        <f>IF($A755="","",$A755&amp;"-"&amp;'Template Setup'!$C$16)</f>
        <v/>
      </c>
      <c r="R755" s="24" t="str">
        <f t="shared" si="45"/>
        <v/>
      </c>
      <c r="S755" s="24"/>
      <c r="T755" s="24" t="str">
        <f t="shared" si="46"/>
        <v/>
      </c>
      <c r="U755" s="6" t="str">
        <f t="shared" si="48"/>
        <v/>
      </c>
    </row>
    <row r="756" spans="1:21">
      <c r="A756" s="11"/>
      <c r="B756" s="11"/>
      <c r="C756" s="11"/>
      <c r="D756" s="11" t="str">
        <f>IF($A756="","",_xlfn.TEXTJOIN(", ",TRUE,IF($G756&gt;0,'Template Setup'!$C$4,""),IF($H756&gt;0,'Template Setup'!$C$5,""),IF($I756&gt;0,'Template Setup'!$C$6,""),IF($J756&gt;0,'Template Setup'!$C$7,""),IF($K756&gt;0,'Template Setup'!$C$8,"")))</f>
        <v/>
      </c>
      <c r="E756" s="6" t="str" cm="1">
        <f t="array" ref="E756">IF($A756="","",_xlfn.LET(_xlpm.sheets,CHOOSE({1,2,3,4,5},'Template Setup'!$C$4,'Template Setup'!$C$5,'Template Setup'!$C$6,'Template Setup'!$C$7,'Template Setup'!$C$8),_xlpm.nums,CHOOSE({1,2,3,4,5},$L756,$M756,$N756,$O756,$P756),_xlpm.qtys,CHOOSE({1,2,3,4,5},$G756,$H756,$I756,$J756,$K756),_xlpm.validNums,_xlfn._xlws.FILTER(_xlpm.nums,_xlpm.qtys&gt;0),_xlpm.validSheets,_xlfn._xlws.FILTER(_xlpm.sheets,_xlpm.qtys&gt;0),_xlpm.mx,IFERROR(MAX(_xlpm.validNums),0),IF(_xlpm.mx=0,"",INDEX(_xlpm.validSheets,MATCH(_xlpm.mx,_xlpm.validNums,0))&amp;" (+"&amp;$R756&amp;")")))</f>
        <v/>
      </c>
      <c r="F756" s="11" t="str">
        <f t="shared" si="47"/>
        <v/>
      </c>
      <c r="G756" s="12" t="str">
        <f ca="1">IF($A756="","",IFERROR(SUMIF(INDIRECT("'"&amp;'Template Setup'!$C$4&amp;"'!C:C"),$A756,INDIRECT("'"&amp;'Template Setup'!$C$4&amp;"'!A:A")),0))</f>
        <v/>
      </c>
      <c r="H756" s="12" t="str">
        <f ca="1">IF($A756="","",IFERROR(SUMIF(INDIRECT("'"&amp;'Template Setup'!$C$5&amp;"'!C:C"),$A756,INDIRECT("'"&amp;'Template Setup'!$C$5&amp;"'!A:A")),0))</f>
        <v/>
      </c>
      <c r="I756" s="12" t="str">
        <f ca="1">IF($A756="","",IFERROR(SUMIF(INDIRECT("'"&amp;'Template Setup'!$C$6&amp;"'!C:C"),$A756,INDIRECT("'"&amp;'Template Setup'!$C$6&amp;"'!A:A")),0))</f>
        <v/>
      </c>
      <c r="J756" s="12" t="str">
        <f ca="1">IF($A756="","",IFERROR(SUMIF(INDIRECT("'"&amp;'Template Setup'!$C$7&amp;"'!C:C"),$A756,INDIRECT("'"&amp;'Template Setup'!$C$7&amp;"'!A:A")),0))</f>
        <v/>
      </c>
      <c r="K756" s="12" t="str">
        <f ca="1">IF($A756="","",IFERROR(SUMIF(INDIRECT("'"&amp;'Template Setup'!$C$8&amp;"'!C:C"),$A756,INDIRECT("'"&amp;'Template Setup'!$C$8&amp;"'!A:A")),0))</f>
        <v/>
      </c>
      <c r="L756" s="11" t="str">
        <f>IF($A756="","",IFERROR(VALUE(MID(TRIM('Template Setup'!$C$4),FIND("-",TRIM('Template Setup'!$C$4))+1,10)),0))</f>
        <v/>
      </c>
      <c r="M756" s="11" t="str">
        <f>IF($A756="","",IFERROR(VALUE(MID(TRIM('Template Setup'!$C$5),FIND("-",TRIM('Template Setup'!$C$5))+1,10)),0))</f>
        <v/>
      </c>
      <c r="N756" s="11" t="str">
        <f>IF($A756="","",IFERROR(VALUE(MID(TRIM('Template Setup'!$C$6),FIND("-",TRIM('Template Setup'!$C$6))+1,10)),0))</f>
        <v/>
      </c>
      <c r="O756" s="11" t="str">
        <f>IF($A756="","",IFERROR(VALUE(MID(TRIM('Template Setup'!$C$7),FIND("-",TRIM('Template Setup'!$C$7))+1,10)),0))</f>
        <v/>
      </c>
      <c r="P756" s="11" t="str">
        <f>IF($A756="","",IFERROR(VALUE(MID(TRIM('Template Setup'!$C$8),FIND("-",TRIM('Template Setup'!$C$8))+1,10)),0))</f>
        <v/>
      </c>
      <c r="Q756" s="9" t="str">
        <f>IF($A756="","",$A756&amp;"-"&amp;'Template Setup'!$C$16)</f>
        <v/>
      </c>
      <c r="R756" s="24" t="str">
        <f t="shared" si="45"/>
        <v/>
      </c>
      <c r="S756" s="24"/>
      <c r="T756" s="24" t="str">
        <f t="shared" si="46"/>
        <v/>
      </c>
      <c r="U756" s="6" t="str">
        <f t="shared" si="48"/>
        <v/>
      </c>
    </row>
    <row r="757" spans="1:21">
      <c r="A757" s="11"/>
      <c r="B757" s="11"/>
      <c r="C757" s="11"/>
      <c r="D757" s="11" t="str">
        <f>IF($A757="","",_xlfn.TEXTJOIN(", ",TRUE,IF($G757&gt;0,'Template Setup'!$C$4,""),IF($H757&gt;0,'Template Setup'!$C$5,""),IF($I757&gt;0,'Template Setup'!$C$6,""),IF($J757&gt;0,'Template Setup'!$C$7,""),IF($K757&gt;0,'Template Setup'!$C$8,"")))</f>
        <v/>
      </c>
      <c r="E757" s="6" t="str" cm="1">
        <f t="array" ref="E757">IF($A757="","",_xlfn.LET(_xlpm.sheets,CHOOSE({1,2,3,4,5},'Template Setup'!$C$4,'Template Setup'!$C$5,'Template Setup'!$C$6,'Template Setup'!$C$7,'Template Setup'!$C$8),_xlpm.nums,CHOOSE({1,2,3,4,5},$L757,$M757,$N757,$O757,$P757),_xlpm.qtys,CHOOSE({1,2,3,4,5},$G757,$H757,$I757,$J757,$K757),_xlpm.validNums,_xlfn._xlws.FILTER(_xlpm.nums,_xlpm.qtys&gt;0),_xlpm.validSheets,_xlfn._xlws.FILTER(_xlpm.sheets,_xlpm.qtys&gt;0),_xlpm.mx,IFERROR(MAX(_xlpm.validNums),0),IF(_xlpm.mx=0,"",INDEX(_xlpm.validSheets,MATCH(_xlpm.mx,_xlpm.validNums,0))&amp;" (+"&amp;$R757&amp;")")))</f>
        <v/>
      </c>
      <c r="F757" s="11" t="str">
        <f t="shared" si="47"/>
        <v/>
      </c>
      <c r="G757" s="12" t="str">
        <f ca="1">IF($A757="","",IFERROR(SUMIF(INDIRECT("'"&amp;'Template Setup'!$C$4&amp;"'!C:C"),$A757,INDIRECT("'"&amp;'Template Setup'!$C$4&amp;"'!A:A")),0))</f>
        <v/>
      </c>
      <c r="H757" s="12" t="str">
        <f ca="1">IF($A757="","",IFERROR(SUMIF(INDIRECT("'"&amp;'Template Setup'!$C$5&amp;"'!C:C"),$A757,INDIRECT("'"&amp;'Template Setup'!$C$5&amp;"'!A:A")),0))</f>
        <v/>
      </c>
      <c r="I757" s="12" t="str">
        <f ca="1">IF($A757="","",IFERROR(SUMIF(INDIRECT("'"&amp;'Template Setup'!$C$6&amp;"'!C:C"),$A757,INDIRECT("'"&amp;'Template Setup'!$C$6&amp;"'!A:A")),0))</f>
        <v/>
      </c>
      <c r="J757" s="12" t="str">
        <f ca="1">IF($A757="","",IFERROR(SUMIF(INDIRECT("'"&amp;'Template Setup'!$C$7&amp;"'!C:C"),$A757,INDIRECT("'"&amp;'Template Setup'!$C$7&amp;"'!A:A")),0))</f>
        <v/>
      </c>
      <c r="K757" s="12" t="str">
        <f ca="1">IF($A757="","",IFERROR(SUMIF(INDIRECT("'"&amp;'Template Setup'!$C$8&amp;"'!C:C"),$A757,INDIRECT("'"&amp;'Template Setup'!$C$8&amp;"'!A:A")),0))</f>
        <v/>
      </c>
      <c r="L757" s="11" t="str">
        <f>IF($A757="","",IFERROR(VALUE(MID(TRIM('Template Setup'!$C$4),FIND("-",TRIM('Template Setup'!$C$4))+1,10)),0))</f>
        <v/>
      </c>
      <c r="M757" s="11" t="str">
        <f>IF($A757="","",IFERROR(VALUE(MID(TRIM('Template Setup'!$C$5),FIND("-",TRIM('Template Setup'!$C$5))+1,10)),0))</f>
        <v/>
      </c>
      <c r="N757" s="11" t="str">
        <f>IF($A757="","",IFERROR(VALUE(MID(TRIM('Template Setup'!$C$6),FIND("-",TRIM('Template Setup'!$C$6))+1,10)),0))</f>
        <v/>
      </c>
      <c r="O757" s="11" t="str">
        <f>IF($A757="","",IFERROR(VALUE(MID(TRIM('Template Setup'!$C$7),FIND("-",TRIM('Template Setup'!$C$7))+1,10)),0))</f>
        <v/>
      </c>
      <c r="P757" s="11" t="str">
        <f>IF($A757="","",IFERROR(VALUE(MID(TRIM('Template Setup'!$C$8),FIND("-",TRIM('Template Setup'!$C$8))+1,10)),0))</f>
        <v/>
      </c>
      <c r="Q757" s="9" t="str">
        <f>IF($A757="","",$A757&amp;"-"&amp;'Template Setup'!$C$16)</f>
        <v/>
      </c>
      <c r="R757" s="24" t="str">
        <f t="shared" si="45"/>
        <v/>
      </c>
      <c r="S757" s="24"/>
      <c r="T757" s="24" t="str">
        <f t="shared" si="46"/>
        <v/>
      </c>
      <c r="U757" s="6" t="str">
        <f t="shared" si="48"/>
        <v/>
      </c>
    </row>
    <row r="758" spans="1:21">
      <c r="A758" s="11"/>
      <c r="B758" s="11"/>
      <c r="C758" s="11"/>
      <c r="D758" s="11" t="str">
        <f>IF($A758="","",_xlfn.TEXTJOIN(", ",TRUE,IF($G758&gt;0,'Template Setup'!$C$4,""),IF($H758&gt;0,'Template Setup'!$C$5,""),IF($I758&gt;0,'Template Setup'!$C$6,""),IF($J758&gt;0,'Template Setup'!$C$7,""),IF($K758&gt;0,'Template Setup'!$C$8,"")))</f>
        <v/>
      </c>
      <c r="E758" s="6" t="str" cm="1">
        <f t="array" ref="E758">IF($A758="","",_xlfn.LET(_xlpm.sheets,CHOOSE({1,2,3,4,5},'Template Setup'!$C$4,'Template Setup'!$C$5,'Template Setup'!$C$6,'Template Setup'!$C$7,'Template Setup'!$C$8),_xlpm.nums,CHOOSE({1,2,3,4,5},$L758,$M758,$N758,$O758,$P758),_xlpm.qtys,CHOOSE({1,2,3,4,5},$G758,$H758,$I758,$J758,$K758),_xlpm.validNums,_xlfn._xlws.FILTER(_xlpm.nums,_xlpm.qtys&gt;0),_xlpm.validSheets,_xlfn._xlws.FILTER(_xlpm.sheets,_xlpm.qtys&gt;0),_xlpm.mx,IFERROR(MAX(_xlpm.validNums),0),IF(_xlpm.mx=0,"",INDEX(_xlpm.validSheets,MATCH(_xlpm.mx,_xlpm.validNums,0))&amp;" (+"&amp;$R758&amp;")")))</f>
        <v/>
      </c>
      <c r="F758" s="11" t="str">
        <f t="shared" si="47"/>
        <v/>
      </c>
      <c r="G758" s="12" t="str">
        <f ca="1">IF($A758="","",IFERROR(SUMIF(INDIRECT("'"&amp;'Template Setup'!$C$4&amp;"'!C:C"),$A758,INDIRECT("'"&amp;'Template Setup'!$C$4&amp;"'!A:A")),0))</f>
        <v/>
      </c>
      <c r="H758" s="12" t="str">
        <f ca="1">IF($A758="","",IFERROR(SUMIF(INDIRECT("'"&amp;'Template Setup'!$C$5&amp;"'!C:C"),$A758,INDIRECT("'"&amp;'Template Setup'!$C$5&amp;"'!A:A")),0))</f>
        <v/>
      </c>
      <c r="I758" s="12" t="str">
        <f ca="1">IF($A758="","",IFERROR(SUMIF(INDIRECT("'"&amp;'Template Setup'!$C$6&amp;"'!C:C"),$A758,INDIRECT("'"&amp;'Template Setup'!$C$6&amp;"'!A:A")),0))</f>
        <v/>
      </c>
      <c r="J758" s="12" t="str">
        <f ca="1">IF($A758="","",IFERROR(SUMIF(INDIRECT("'"&amp;'Template Setup'!$C$7&amp;"'!C:C"),$A758,INDIRECT("'"&amp;'Template Setup'!$C$7&amp;"'!A:A")),0))</f>
        <v/>
      </c>
      <c r="K758" s="12" t="str">
        <f ca="1">IF($A758="","",IFERROR(SUMIF(INDIRECT("'"&amp;'Template Setup'!$C$8&amp;"'!C:C"),$A758,INDIRECT("'"&amp;'Template Setup'!$C$8&amp;"'!A:A")),0))</f>
        <v/>
      </c>
      <c r="L758" s="11" t="str">
        <f>IF($A758="","",IFERROR(VALUE(MID(TRIM('Template Setup'!$C$4),FIND("-",TRIM('Template Setup'!$C$4))+1,10)),0))</f>
        <v/>
      </c>
      <c r="M758" s="11" t="str">
        <f>IF($A758="","",IFERROR(VALUE(MID(TRIM('Template Setup'!$C$5),FIND("-",TRIM('Template Setup'!$C$5))+1,10)),0))</f>
        <v/>
      </c>
      <c r="N758" s="11" t="str">
        <f>IF($A758="","",IFERROR(VALUE(MID(TRIM('Template Setup'!$C$6),FIND("-",TRIM('Template Setup'!$C$6))+1,10)),0))</f>
        <v/>
      </c>
      <c r="O758" s="11" t="str">
        <f>IF($A758="","",IFERROR(VALUE(MID(TRIM('Template Setup'!$C$7),FIND("-",TRIM('Template Setup'!$C$7))+1,10)),0))</f>
        <v/>
      </c>
      <c r="P758" s="11" t="str">
        <f>IF($A758="","",IFERROR(VALUE(MID(TRIM('Template Setup'!$C$8),FIND("-",TRIM('Template Setup'!$C$8))+1,10)),0))</f>
        <v/>
      </c>
      <c r="Q758" s="9" t="str">
        <f>IF($A758="","",$A758&amp;"-"&amp;'Template Setup'!$C$16)</f>
        <v/>
      </c>
      <c r="R758" s="24" t="str">
        <f t="shared" si="45"/>
        <v/>
      </c>
      <c r="S758" s="24"/>
      <c r="T758" s="24" t="str">
        <f t="shared" si="46"/>
        <v/>
      </c>
      <c r="U758" s="6" t="str">
        <f t="shared" si="48"/>
        <v/>
      </c>
    </row>
    <row r="759" spans="1:21">
      <c r="A759" s="11"/>
      <c r="B759" s="11"/>
      <c r="C759" s="11"/>
      <c r="D759" s="11" t="str">
        <f>IF($A759="","",_xlfn.TEXTJOIN(", ",TRUE,IF($G759&gt;0,'Template Setup'!$C$4,""),IF($H759&gt;0,'Template Setup'!$C$5,""),IF($I759&gt;0,'Template Setup'!$C$6,""),IF($J759&gt;0,'Template Setup'!$C$7,""),IF($K759&gt;0,'Template Setup'!$C$8,"")))</f>
        <v/>
      </c>
      <c r="E759" s="6" t="str" cm="1">
        <f t="array" ref="E759">IF($A759="","",_xlfn.LET(_xlpm.sheets,CHOOSE({1,2,3,4,5},'Template Setup'!$C$4,'Template Setup'!$C$5,'Template Setup'!$C$6,'Template Setup'!$C$7,'Template Setup'!$C$8),_xlpm.nums,CHOOSE({1,2,3,4,5},$L759,$M759,$N759,$O759,$P759),_xlpm.qtys,CHOOSE({1,2,3,4,5},$G759,$H759,$I759,$J759,$K759),_xlpm.validNums,_xlfn._xlws.FILTER(_xlpm.nums,_xlpm.qtys&gt;0),_xlpm.validSheets,_xlfn._xlws.FILTER(_xlpm.sheets,_xlpm.qtys&gt;0),_xlpm.mx,IFERROR(MAX(_xlpm.validNums),0),IF(_xlpm.mx=0,"",INDEX(_xlpm.validSheets,MATCH(_xlpm.mx,_xlpm.validNums,0))&amp;" (+"&amp;$R759&amp;")")))</f>
        <v/>
      </c>
      <c r="F759" s="11" t="str">
        <f t="shared" si="47"/>
        <v/>
      </c>
      <c r="G759" s="12" t="str">
        <f ca="1">IF($A759="","",IFERROR(SUMIF(INDIRECT("'"&amp;'Template Setup'!$C$4&amp;"'!C:C"),$A759,INDIRECT("'"&amp;'Template Setup'!$C$4&amp;"'!A:A")),0))</f>
        <v/>
      </c>
      <c r="H759" s="12" t="str">
        <f ca="1">IF($A759="","",IFERROR(SUMIF(INDIRECT("'"&amp;'Template Setup'!$C$5&amp;"'!C:C"),$A759,INDIRECT("'"&amp;'Template Setup'!$C$5&amp;"'!A:A")),0))</f>
        <v/>
      </c>
      <c r="I759" s="12" t="str">
        <f ca="1">IF($A759="","",IFERROR(SUMIF(INDIRECT("'"&amp;'Template Setup'!$C$6&amp;"'!C:C"),$A759,INDIRECT("'"&amp;'Template Setup'!$C$6&amp;"'!A:A")),0))</f>
        <v/>
      </c>
      <c r="J759" s="12" t="str">
        <f ca="1">IF($A759="","",IFERROR(SUMIF(INDIRECT("'"&amp;'Template Setup'!$C$7&amp;"'!C:C"),$A759,INDIRECT("'"&amp;'Template Setup'!$C$7&amp;"'!A:A")),0))</f>
        <v/>
      </c>
      <c r="K759" s="12" t="str">
        <f ca="1">IF($A759="","",IFERROR(SUMIF(INDIRECT("'"&amp;'Template Setup'!$C$8&amp;"'!C:C"),$A759,INDIRECT("'"&amp;'Template Setup'!$C$8&amp;"'!A:A")),0))</f>
        <v/>
      </c>
      <c r="L759" s="11" t="str">
        <f>IF($A759="","",IFERROR(VALUE(MID(TRIM('Template Setup'!$C$4),FIND("-",TRIM('Template Setup'!$C$4))+1,10)),0))</f>
        <v/>
      </c>
      <c r="M759" s="11" t="str">
        <f>IF($A759="","",IFERROR(VALUE(MID(TRIM('Template Setup'!$C$5),FIND("-",TRIM('Template Setup'!$C$5))+1,10)),0))</f>
        <v/>
      </c>
      <c r="N759" s="11" t="str">
        <f>IF($A759="","",IFERROR(VALUE(MID(TRIM('Template Setup'!$C$6),FIND("-",TRIM('Template Setup'!$C$6))+1,10)),0))</f>
        <v/>
      </c>
      <c r="O759" s="11" t="str">
        <f>IF($A759="","",IFERROR(VALUE(MID(TRIM('Template Setup'!$C$7),FIND("-",TRIM('Template Setup'!$C$7))+1,10)),0))</f>
        <v/>
      </c>
      <c r="P759" s="11" t="str">
        <f>IF($A759="","",IFERROR(VALUE(MID(TRIM('Template Setup'!$C$8),FIND("-",TRIM('Template Setup'!$C$8))+1,10)),0))</f>
        <v/>
      </c>
      <c r="Q759" s="9" t="str">
        <f>IF($A759="","",$A759&amp;"-"&amp;'Template Setup'!$C$16)</f>
        <v/>
      </c>
      <c r="R759" s="24" t="str">
        <f t="shared" si="45"/>
        <v/>
      </c>
      <c r="S759" s="24"/>
      <c r="T759" s="24" t="str">
        <f t="shared" si="46"/>
        <v/>
      </c>
      <c r="U759" s="6" t="str">
        <f t="shared" si="48"/>
        <v/>
      </c>
    </row>
    <row r="760" spans="1:21">
      <c r="A760" s="11"/>
      <c r="B760" s="11"/>
      <c r="C760" s="11"/>
      <c r="D760" s="11" t="str">
        <f>IF($A760="","",_xlfn.TEXTJOIN(", ",TRUE,IF($G760&gt;0,'Template Setup'!$C$4,""),IF($H760&gt;0,'Template Setup'!$C$5,""),IF($I760&gt;0,'Template Setup'!$C$6,""),IF($J760&gt;0,'Template Setup'!$C$7,""),IF($K760&gt;0,'Template Setup'!$C$8,"")))</f>
        <v/>
      </c>
      <c r="E760" s="6" t="str" cm="1">
        <f t="array" ref="E760">IF($A760="","",_xlfn.LET(_xlpm.sheets,CHOOSE({1,2,3,4,5},'Template Setup'!$C$4,'Template Setup'!$C$5,'Template Setup'!$C$6,'Template Setup'!$C$7,'Template Setup'!$C$8),_xlpm.nums,CHOOSE({1,2,3,4,5},$L760,$M760,$N760,$O760,$P760),_xlpm.qtys,CHOOSE({1,2,3,4,5},$G760,$H760,$I760,$J760,$K760),_xlpm.validNums,_xlfn._xlws.FILTER(_xlpm.nums,_xlpm.qtys&gt;0),_xlpm.validSheets,_xlfn._xlws.FILTER(_xlpm.sheets,_xlpm.qtys&gt;0),_xlpm.mx,IFERROR(MAX(_xlpm.validNums),0),IF(_xlpm.mx=0,"",INDEX(_xlpm.validSheets,MATCH(_xlpm.mx,_xlpm.validNums,0))&amp;" (+"&amp;$R760&amp;")")))</f>
        <v/>
      </c>
      <c r="F760" s="11" t="str">
        <f t="shared" si="47"/>
        <v/>
      </c>
      <c r="G760" s="12" t="str">
        <f ca="1">IF($A760="","",IFERROR(SUMIF(INDIRECT("'"&amp;'Template Setup'!$C$4&amp;"'!C:C"),$A760,INDIRECT("'"&amp;'Template Setup'!$C$4&amp;"'!A:A")),0))</f>
        <v/>
      </c>
      <c r="H760" s="12" t="str">
        <f ca="1">IF($A760="","",IFERROR(SUMIF(INDIRECT("'"&amp;'Template Setup'!$C$5&amp;"'!C:C"),$A760,INDIRECT("'"&amp;'Template Setup'!$C$5&amp;"'!A:A")),0))</f>
        <v/>
      </c>
      <c r="I760" s="12" t="str">
        <f ca="1">IF($A760="","",IFERROR(SUMIF(INDIRECT("'"&amp;'Template Setup'!$C$6&amp;"'!C:C"),$A760,INDIRECT("'"&amp;'Template Setup'!$C$6&amp;"'!A:A")),0))</f>
        <v/>
      </c>
      <c r="J760" s="12" t="str">
        <f ca="1">IF($A760="","",IFERROR(SUMIF(INDIRECT("'"&amp;'Template Setup'!$C$7&amp;"'!C:C"),$A760,INDIRECT("'"&amp;'Template Setup'!$C$7&amp;"'!A:A")),0))</f>
        <v/>
      </c>
      <c r="K760" s="12" t="str">
        <f ca="1">IF($A760="","",IFERROR(SUMIF(INDIRECT("'"&amp;'Template Setup'!$C$8&amp;"'!C:C"),$A760,INDIRECT("'"&amp;'Template Setup'!$C$8&amp;"'!A:A")),0))</f>
        <v/>
      </c>
      <c r="L760" s="11" t="str">
        <f>IF($A760="","",IFERROR(VALUE(MID(TRIM('Template Setup'!$C$4),FIND("-",TRIM('Template Setup'!$C$4))+1,10)),0))</f>
        <v/>
      </c>
      <c r="M760" s="11" t="str">
        <f>IF($A760="","",IFERROR(VALUE(MID(TRIM('Template Setup'!$C$5),FIND("-",TRIM('Template Setup'!$C$5))+1,10)),0))</f>
        <v/>
      </c>
      <c r="N760" s="11" t="str">
        <f>IF($A760="","",IFERROR(VALUE(MID(TRIM('Template Setup'!$C$6),FIND("-",TRIM('Template Setup'!$C$6))+1,10)),0))</f>
        <v/>
      </c>
      <c r="O760" s="11" t="str">
        <f>IF($A760="","",IFERROR(VALUE(MID(TRIM('Template Setup'!$C$7),FIND("-",TRIM('Template Setup'!$C$7))+1,10)),0))</f>
        <v/>
      </c>
      <c r="P760" s="11" t="str">
        <f>IF($A760="","",IFERROR(VALUE(MID(TRIM('Template Setup'!$C$8),FIND("-",TRIM('Template Setup'!$C$8))+1,10)),0))</f>
        <v/>
      </c>
      <c r="Q760" s="9" t="str">
        <f>IF($A760="","",$A760&amp;"-"&amp;'Template Setup'!$C$16)</f>
        <v/>
      </c>
      <c r="R760" s="24" t="str">
        <f t="shared" si="45"/>
        <v/>
      </c>
      <c r="S760" s="24"/>
      <c r="T760" s="24" t="str">
        <f t="shared" si="46"/>
        <v/>
      </c>
      <c r="U760" s="6" t="str">
        <f t="shared" si="48"/>
        <v/>
      </c>
    </row>
    <row r="761" spans="1:21">
      <c r="A761" s="11"/>
      <c r="B761" s="11"/>
      <c r="C761" s="11"/>
      <c r="D761" s="11" t="str">
        <f>IF($A761="","",_xlfn.TEXTJOIN(", ",TRUE,IF($G761&gt;0,'Template Setup'!$C$4,""),IF($H761&gt;0,'Template Setup'!$C$5,""),IF($I761&gt;0,'Template Setup'!$C$6,""),IF($J761&gt;0,'Template Setup'!$C$7,""),IF($K761&gt;0,'Template Setup'!$C$8,"")))</f>
        <v/>
      </c>
      <c r="E761" s="6" t="str" cm="1">
        <f t="array" ref="E761">IF($A761="","",_xlfn.LET(_xlpm.sheets,CHOOSE({1,2,3,4,5},'Template Setup'!$C$4,'Template Setup'!$C$5,'Template Setup'!$C$6,'Template Setup'!$C$7,'Template Setup'!$C$8),_xlpm.nums,CHOOSE({1,2,3,4,5},$L761,$M761,$N761,$O761,$P761),_xlpm.qtys,CHOOSE({1,2,3,4,5},$G761,$H761,$I761,$J761,$K761),_xlpm.validNums,_xlfn._xlws.FILTER(_xlpm.nums,_xlpm.qtys&gt;0),_xlpm.validSheets,_xlfn._xlws.FILTER(_xlpm.sheets,_xlpm.qtys&gt;0),_xlpm.mx,IFERROR(MAX(_xlpm.validNums),0),IF(_xlpm.mx=0,"",INDEX(_xlpm.validSheets,MATCH(_xlpm.mx,_xlpm.validNums,0))&amp;" (+"&amp;$R761&amp;")")))</f>
        <v/>
      </c>
      <c r="F761" s="11" t="str">
        <f t="shared" si="47"/>
        <v/>
      </c>
      <c r="G761" s="12" t="str">
        <f ca="1">IF($A761="","",IFERROR(SUMIF(INDIRECT("'"&amp;'Template Setup'!$C$4&amp;"'!C:C"),$A761,INDIRECT("'"&amp;'Template Setup'!$C$4&amp;"'!A:A")),0))</f>
        <v/>
      </c>
      <c r="H761" s="12" t="str">
        <f ca="1">IF($A761="","",IFERROR(SUMIF(INDIRECT("'"&amp;'Template Setup'!$C$5&amp;"'!C:C"),$A761,INDIRECT("'"&amp;'Template Setup'!$C$5&amp;"'!A:A")),0))</f>
        <v/>
      </c>
      <c r="I761" s="12" t="str">
        <f ca="1">IF($A761="","",IFERROR(SUMIF(INDIRECT("'"&amp;'Template Setup'!$C$6&amp;"'!C:C"),$A761,INDIRECT("'"&amp;'Template Setup'!$C$6&amp;"'!A:A")),0))</f>
        <v/>
      </c>
      <c r="J761" s="12" t="str">
        <f ca="1">IF($A761="","",IFERROR(SUMIF(INDIRECT("'"&amp;'Template Setup'!$C$7&amp;"'!C:C"),$A761,INDIRECT("'"&amp;'Template Setup'!$C$7&amp;"'!A:A")),0))</f>
        <v/>
      </c>
      <c r="K761" s="12" t="str">
        <f ca="1">IF($A761="","",IFERROR(SUMIF(INDIRECT("'"&amp;'Template Setup'!$C$8&amp;"'!C:C"),$A761,INDIRECT("'"&amp;'Template Setup'!$C$8&amp;"'!A:A")),0))</f>
        <v/>
      </c>
      <c r="L761" s="11" t="str">
        <f>IF($A761="","",IFERROR(VALUE(MID(TRIM('Template Setup'!$C$4),FIND("-",TRIM('Template Setup'!$C$4))+1,10)),0))</f>
        <v/>
      </c>
      <c r="M761" s="11" t="str">
        <f>IF($A761="","",IFERROR(VALUE(MID(TRIM('Template Setup'!$C$5),FIND("-",TRIM('Template Setup'!$C$5))+1,10)),0))</f>
        <v/>
      </c>
      <c r="N761" s="11" t="str">
        <f>IF($A761="","",IFERROR(VALUE(MID(TRIM('Template Setup'!$C$6),FIND("-",TRIM('Template Setup'!$C$6))+1,10)),0))</f>
        <v/>
      </c>
      <c r="O761" s="11" t="str">
        <f>IF($A761="","",IFERROR(VALUE(MID(TRIM('Template Setup'!$C$7),FIND("-",TRIM('Template Setup'!$C$7))+1,10)),0))</f>
        <v/>
      </c>
      <c r="P761" s="11" t="str">
        <f>IF($A761="","",IFERROR(VALUE(MID(TRIM('Template Setup'!$C$8),FIND("-",TRIM('Template Setup'!$C$8))+1,10)),0))</f>
        <v/>
      </c>
      <c r="Q761" s="9" t="str">
        <f>IF($A761="","",$A761&amp;"-"&amp;'Template Setup'!$C$16)</f>
        <v/>
      </c>
      <c r="R761" s="24" t="str">
        <f t="shared" si="45"/>
        <v/>
      </c>
      <c r="S761" s="24"/>
      <c r="T761" s="24" t="str">
        <f t="shared" si="46"/>
        <v/>
      </c>
      <c r="U761" s="6" t="str">
        <f t="shared" si="48"/>
        <v/>
      </c>
    </row>
    <row r="762" spans="1:21">
      <c r="A762" s="11"/>
      <c r="B762" s="11"/>
      <c r="C762" s="11"/>
      <c r="D762" s="11" t="str">
        <f>IF($A762="","",_xlfn.TEXTJOIN(", ",TRUE,IF($G762&gt;0,'Template Setup'!$C$4,""),IF($H762&gt;0,'Template Setup'!$C$5,""),IF($I762&gt;0,'Template Setup'!$C$6,""),IF($J762&gt;0,'Template Setup'!$C$7,""),IF($K762&gt;0,'Template Setup'!$C$8,"")))</f>
        <v/>
      </c>
      <c r="E762" s="6" t="str" cm="1">
        <f t="array" ref="E762">IF($A762="","",_xlfn.LET(_xlpm.sheets,CHOOSE({1,2,3,4,5},'Template Setup'!$C$4,'Template Setup'!$C$5,'Template Setup'!$C$6,'Template Setup'!$C$7,'Template Setup'!$C$8),_xlpm.nums,CHOOSE({1,2,3,4,5},$L762,$M762,$N762,$O762,$P762),_xlpm.qtys,CHOOSE({1,2,3,4,5},$G762,$H762,$I762,$J762,$K762),_xlpm.validNums,_xlfn._xlws.FILTER(_xlpm.nums,_xlpm.qtys&gt;0),_xlpm.validSheets,_xlfn._xlws.FILTER(_xlpm.sheets,_xlpm.qtys&gt;0),_xlpm.mx,IFERROR(MAX(_xlpm.validNums),0),IF(_xlpm.mx=0,"",INDEX(_xlpm.validSheets,MATCH(_xlpm.mx,_xlpm.validNums,0))&amp;" (+"&amp;$R762&amp;")")))</f>
        <v/>
      </c>
      <c r="F762" s="11" t="str">
        <f t="shared" si="47"/>
        <v/>
      </c>
      <c r="G762" s="12" t="str">
        <f ca="1">IF($A762="","",IFERROR(SUMIF(INDIRECT("'"&amp;'Template Setup'!$C$4&amp;"'!C:C"),$A762,INDIRECT("'"&amp;'Template Setup'!$C$4&amp;"'!A:A")),0))</f>
        <v/>
      </c>
      <c r="H762" s="12" t="str">
        <f ca="1">IF($A762="","",IFERROR(SUMIF(INDIRECT("'"&amp;'Template Setup'!$C$5&amp;"'!C:C"),$A762,INDIRECT("'"&amp;'Template Setup'!$C$5&amp;"'!A:A")),0))</f>
        <v/>
      </c>
      <c r="I762" s="12" t="str">
        <f ca="1">IF($A762="","",IFERROR(SUMIF(INDIRECT("'"&amp;'Template Setup'!$C$6&amp;"'!C:C"),$A762,INDIRECT("'"&amp;'Template Setup'!$C$6&amp;"'!A:A")),0))</f>
        <v/>
      </c>
      <c r="J762" s="12" t="str">
        <f ca="1">IF($A762="","",IFERROR(SUMIF(INDIRECT("'"&amp;'Template Setup'!$C$7&amp;"'!C:C"),$A762,INDIRECT("'"&amp;'Template Setup'!$C$7&amp;"'!A:A")),0))</f>
        <v/>
      </c>
      <c r="K762" s="12" t="str">
        <f ca="1">IF($A762="","",IFERROR(SUMIF(INDIRECT("'"&amp;'Template Setup'!$C$8&amp;"'!C:C"),$A762,INDIRECT("'"&amp;'Template Setup'!$C$8&amp;"'!A:A")),0))</f>
        <v/>
      </c>
      <c r="L762" s="11" t="str">
        <f>IF($A762="","",IFERROR(VALUE(MID(TRIM('Template Setup'!$C$4),FIND("-",TRIM('Template Setup'!$C$4))+1,10)),0))</f>
        <v/>
      </c>
      <c r="M762" s="11" t="str">
        <f>IF($A762="","",IFERROR(VALUE(MID(TRIM('Template Setup'!$C$5),FIND("-",TRIM('Template Setup'!$C$5))+1,10)),0))</f>
        <v/>
      </c>
      <c r="N762" s="11" t="str">
        <f>IF($A762="","",IFERROR(VALUE(MID(TRIM('Template Setup'!$C$6),FIND("-",TRIM('Template Setup'!$C$6))+1,10)),0))</f>
        <v/>
      </c>
      <c r="O762" s="11" t="str">
        <f>IF($A762="","",IFERROR(VALUE(MID(TRIM('Template Setup'!$C$7),FIND("-",TRIM('Template Setup'!$C$7))+1,10)),0))</f>
        <v/>
      </c>
      <c r="P762" s="11" t="str">
        <f>IF($A762="","",IFERROR(VALUE(MID(TRIM('Template Setup'!$C$8),FIND("-",TRIM('Template Setup'!$C$8))+1,10)),0))</f>
        <v/>
      </c>
      <c r="Q762" s="9" t="str">
        <f>IF($A762="","",$A762&amp;"-"&amp;'Template Setup'!$C$16)</f>
        <v/>
      </c>
      <c r="R762" s="24" t="str">
        <f t="shared" si="45"/>
        <v/>
      </c>
      <c r="S762" s="24"/>
      <c r="T762" s="24" t="str">
        <f t="shared" si="46"/>
        <v/>
      </c>
      <c r="U762" s="6" t="str">
        <f t="shared" si="48"/>
        <v/>
      </c>
    </row>
    <row r="763" spans="1:21">
      <c r="A763" s="11"/>
      <c r="B763" s="11"/>
      <c r="C763" s="11"/>
      <c r="D763" s="11" t="str">
        <f>IF($A763="","",_xlfn.TEXTJOIN(", ",TRUE,IF($G763&gt;0,'Template Setup'!$C$4,""),IF($H763&gt;0,'Template Setup'!$C$5,""),IF($I763&gt;0,'Template Setup'!$C$6,""),IF($J763&gt;0,'Template Setup'!$C$7,""),IF($K763&gt;0,'Template Setup'!$C$8,"")))</f>
        <v/>
      </c>
      <c r="E763" s="6" t="str" cm="1">
        <f t="array" ref="E763">IF($A763="","",_xlfn.LET(_xlpm.sheets,CHOOSE({1,2,3,4,5},'Template Setup'!$C$4,'Template Setup'!$C$5,'Template Setup'!$C$6,'Template Setup'!$C$7,'Template Setup'!$C$8),_xlpm.nums,CHOOSE({1,2,3,4,5},$L763,$M763,$N763,$O763,$P763),_xlpm.qtys,CHOOSE({1,2,3,4,5},$G763,$H763,$I763,$J763,$K763),_xlpm.validNums,_xlfn._xlws.FILTER(_xlpm.nums,_xlpm.qtys&gt;0),_xlpm.validSheets,_xlfn._xlws.FILTER(_xlpm.sheets,_xlpm.qtys&gt;0),_xlpm.mx,IFERROR(MAX(_xlpm.validNums),0),IF(_xlpm.mx=0,"",INDEX(_xlpm.validSheets,MATCH(_xlpm.mx,_xlpm.validNums,0))&amp;" (+"&amp;$R763&amp;")")))</f>
        <v/>
      </c>
      <c r="F763" s="11" t="str">
        <f t="shared" si="47"/>
        <v/>
      </c>
      <c r="G763" s="12" t="str">
        <f ca="1">IF($A763="","",IFERROR(SUMIF(INDIRECT("'"&amp;'Template Setup'!$C$4&amp;"'!C:C"),$A763,INDIRECT("'"&amp;'Template Setup'!$C$4&amp;"'!A:A")),0))</f>
        <v/>
      </c>
      <c r="H763" s="12" t="str">
        <f ca="1">IF($A763="","",IFERROR(SUMIF(INDIRECT("'"&amp;'Template Setup'!$C$5&amp;"'!C:C"),$A763,INDIRECT("'"&amp;'Template Setup'!$C$5&amp;"'!A:A")),0))</f>
        <v/>
      </c>
      <c r="I763" s="12" t="str">
        <f ca="1">IF($A763="","",IFERROR(SUMIF(INDIRECT("'"&amp;'Template Setup'!$C$6&amp;"'!C:C"),$A763,INDIRECT("'"&amp;'Template Setup'!$C$6&amp;"'!A:A")),0))</f>
        <v/>
      </c>
      <c r="J763" s="12" t="str">
        <f ca="1">IF($A763="","",IFERROR(SUMIF(INDIRECT("'"&amp;'Template Setup'!$C$7&amp;"'!C:C"),$A763,INDIRECT("'"&amp;'Template Setup'!$C$7&amp;"'!A:A")),0))</f>
        <v/>
      </c>
      <c r="K763" s="12" t="str">
        <f ca="1">IF($A763="","",IFERROR(SUMIF(INDIRECT("'"&amp;'Template Setup'!$C$8&amp;"'!C:C"),$A763,INDIRECT("'"&amp;'Template Setup'!$C$8&amp;"'!A:A")),0))</f>
        <v/>
      </c>
      <c r="L763" s="11" t="str">
        <f>IF($A763="","",IFERROR(VALUE(MID(TRIM('Template Setup'!$C$4),FIND("-",TRIM('Template Setup'!$C$4))+1,10)),0))</f>
        <v/>
      </c>
      <c r="M763" s="11" t="str">
        <f>IF($A763="","",IFERROR(VALUE(MID(TRIM('Template Setup'!$C$5),FIND("-",TRIM('Template Setup'!$C$5))+1,10)),0))</f>
        <v/>
      </c>
      <c r="N763" s="11" t="str">
        <f>IF($A763="","",IFERROR(VALUE(MID(TRIM('Template Setup'!$C$6),FIND("-",TRIM('Template Setup'!$C$6))+1,10)),0))</f>
        <v/>
      </c>
      <c r="O763" s="11" t="str">
        <f>IF($A763="","",IFERROR(VALUE(MID(TRIM('Template Setup'!$C$7),FIND("-",TRIM('Template Setup'!$C$7))+1,10)),0))</f>
        <v/>
      </c>
      <c r="P763" s="11" t="str">
        <f>IF($A763="","",IFERROR(VALUE(MID(TRIM('Template Setup'!$C$8),FIND("-",TRIM('Template Setup'!$C$8))+1,10)),0))</f>
        <v/>
      </c>
      <c r="Q763" s="9" t="str">
        <f>IF($A763="","",$A763&amp;"-"&amp;'Template Setup'!$C$16)</f>
        <v/>
      </c>
      <c r="R763" s="24" t="str">
        <f t="shared" si="45"/>
        <v/>
      </c>
      <c r="S763" s="24"/>
      <c r="T763" s="24" t="str">
        <f t="shared" si="46"/>
        <v/>
      </c>
      <c r="U763" s="6" t="str">
        <f t="shared" si="48"/>
        <v/>
      </c>
    </row>
    <row r="764" spans="1:21">
      <c r="A764" s="11"/>
      <c r="B764" s="11"/>
      <c r="C764" s="11"/>
      <c r="D764" s="11" t="str">
        <f>IF($A764="","",_xlfn.TEXTJOIN(", ",TRUE,IF($G764&gt;0,'Template Setup'!$C$4,""),IF($H764&gt;0,'Template Setup'!$C$5,""),IF($I764&gt;0,'Template Setup'!$C$6,""),IF($J764&gt;0,'Template Setup'!$C$7,""),IF($K764&gt;0,'Template Setup'!$C$8,"")))</f>
        <v/>
      </c>
      <c r="E764" s="6" t="str" cm="1">
        <f t="array" ref="E764">IF($A764="","",_xlfn.LET(_xlpm.sheets,CHOOSE({1,2,3,4,5},'Template Setup'!$C$4,'Template Setup'!$C$5,'Template Setup'!$C$6,'Template Setup'!$C$7,'Template Setup'!$C$8),_xlpm.nums,CHOOSE({1,2,3,4,5},$L764,$M764,$N764,$O764,$P764),_xlpm.qtys,CHOOSE({1,2,3,4,5},$G764,$H764,$I764,$J764,$K764),_xlpm.validNums,_xlfn._xlws.FILTER(_xlpm.nums,_xlpm.qtys&gt;0),_xlpm.validSheets,_xlfn._xlws.FILTER(_xlpm.sheets,_xlpm.qtys&gt;0),_xlpm.mx,IFERROR(MAX(_xlpm.validNums),0),IF(_xlpm.mx=0,"",INDEX(_xlpm.validSheets,MATCH(_xlpm.mx,_xlpm.validNums,0))&amp;" (+"&amp;$R764&amp;")")))</f>
        <v/>
      </c>
      <c r="F764" s="11" t="str">
        <f t="shared" si="47"/>
        <v/>
      </c>
      <c r="G764" s="12" t="str">
        <f ca="1">IF($A764="","",IFERROR(SUMIF(INDIRECT("'"&amp;'Template Setup'!$C$4&amp;"'!C:C"),$A764,INDIRECT("'"&amp;'Template Setup'!$C$4&amp;"'!A:A")),0))</f>
        <v/>
      </c>
      <c r="H764" s="12" t="str">
        <f ca="1">IF($A764="","",IFERROR(SUMIF(INDIRECT("'"&amp;'Template Setup'!$C$5&amp;"'!C:C"),$A764,INDIRECT("'"&amp;'Template Setup'!$C$5&amp;"'!A:A")),0))</f>
        <v/>
      </c>
      <c r="I764" s="12" t="str">
        <f ca="1">IF($A764="","",IFERROR(SUMIF(INDIRECT("'"&amp;'Template Setup'!$C$6&amp;"'!C:C"),$A764,INDIRECT("'"&amp;'Template Setup'!$C$6&amp;"'!A:A")),0))</f>
        <v/>
      </c>
      <c r="J764" s="12" t="str">
        <f ca="1">IF($A764="","",IFERROR(SUMIF(INDIRECT("'"&amp;'Template Setup'!$C$7&amp;"'!C:C"),$A764,INDIRECT("'"&amp;'Template Setup'!$C$7&amp;"'!A:A")),0))</f>
        <v/>
      </c>
      <c r="K764" s="12" t="str">
        <f ca="1">IF($A764="","",IFERROR(SUMIF(INDIRECT("'"&amp;'Template Setup'!$C$8&amp;"'!C:C"),$A764,INDIRECT("'"&amp;'Template Setup'!$C$8&amp;"'!A:A")),0))</f>
        <v/>
      </c>
      <c r="L764" s="11" t="str">
        <f>IF($A764="","",IFERROR(VALUE(MID(TRIM('Template Setup'!$C$4),FIND("-",TRIM('Template Setup'!$C$4))+1,10)),0))</f>
        <v/>
      </c>
      <c r="M764" s="11" t="str">
        <f>IF($A764="","",IFERROR(VALUE(MID(TRIM('Template Setup'!$C$5),FIND("-",TRIM('Template Setup'!$C$5))+1,10)),0))</f>
        <v/>
      </c>
      <c r="N764" s="11" t="str">
        <f>IF($A764="","",IFERROR(VALUE(MID(TRIM('Template Setup'!$C$6),FIND("-",TRIM('Template Setup'!$C$6))+1,10)),0))</f>
        <v/>
      </c>
      <c r="O764" s="11" t="str">
        <f>IF($A764="","",IFERROR(VALUE(MID(TRIM('Template Setup'!$C$7),FIND("-",TRIM('Template Setup'!$C$7))+1,10)),0))</f>
        <v/>
      </c>
      <c r="P764" s="11" t="str">
        <f>IF($A764="","",IFERROR(VALUE(MID(TRIM('Template Setup'!$C$8),FIND("-",TRIM('Template Setup'!$C$8))+1,10)),0))</f>
        <v/>
      </c>
      <c r="Q764" s="9" t="str">
        <f>IF($A764="","",$A764&amp;"-"&amp;'Template Setup'!$C$16)</f>
        <v/>
      </c>
      <c r="R764" s="24" t="str">
        <f t="shared" si="45"/>
        <v/>
      </c>
      <c r="S764" s="24"/>
      <c r="T764" s="24" t="str">
        <f t="shared" si="46"/>
        <v/>
      </c>
      <c r="U764" s="6" t="str">
        <f t="shared" si="48"/>
        <v/>
      </c>
    </row>
    <row r="765" spans="1:21">
      <c r="A765" s="11"/>
      <c r="B765" s="11"/>
      <c r="C765" s="11"/>
      <c r="D765" s="11" t="str">
        <f>IF($A765="","",_xlfn.TEXTJOIN(", ",TRUE,IF($G765&gt;0,'Template Setup'!$C$4,""),IF($H765&gt;0,'Template Setup'!$C$5,""),IF($I765&gt;0,'Template Setup'!$C$6,""),IF($J765&gt;0,'Template Setup'!$C$7,""),IF($K765&gt;0,'Template Setup'!$C$8,"")))</f>
        <v/>
      </c>
      <c r="E765" s="6" t="str" cm="1">
        <f t="array" ref="E765">IF($A765="","",_xlfn.LET(_xlpm.sheets,CHOOSE({1,2,3,4,5},'Template Setup'!$C$4,'Template Setup'!$C$5,'Template Setup'!$C$6,'Template Setup'!$C$7,'Template Setup'!$C$8),_xlpm.nums,CHOOSE({1,2,3,4,5},$L765,$M765,$N765,$O765,$P765),_xlpm.qtys,CHOOSE({1,2,3,4,5},$G765,$H765,$I765,$J765,$K765),_xlpm.validNums,_xlfn._xlws.FILTER(_xlpm.nums,_xlpm.qtys&gt;0),_xlpm.validSheets,_xlfn._xlws.FILTER(_xlpm.sheets,_xlpm.qtys&gt;0),_xlpm.mx,IFERROR(MAX(_xlpm.validNums),0),IF(_xlpm.mx=0,"",INDEX(_xlpm.validSheets,MATCH(_xlpm.mx,_xlpm.validNums,0))&amp;" (+"&amp;$R765&amp;")")))</f>
        <v/>
      </c>
      <c r="F765" s="11" t="str">
        <f t="shared" si="47"/>
        <v/>
      </c>
      <c r="G765" s="12" t="str">
        <f ca="1">IF($A765="","",IFERROR(SUMIF(INDIRECT("'"&amp;'Template Setup'!$C$4&amp;"'!C:C"),$A765,INDIRECT("'"&amp;'Template Setup'!$C$4&amp;"'!A:A")),0))</f>
        <v/>
      </c>
      <c r="H765" s="12" t="str">
        <f ca="1">IF($A765="","",IFERROR(SUMIF(INDIRECT("'"&amp;'Template Setup'!$C$5&amp;"'!C:C"),$A765,INDIRECT("'"&amp;'Template Setup'!$C$5&amp;"'!A:A")),0))</f>
        <v/>
      </c>
      <c r="I765" s="12" t="str">
        <f ca="1">IF($A765="","",IFERROR(SUMIF(INDIRECT("'"&amp;'Template Setup'!$C$6&amp;"'!C:C"),$A765,INDIRECT("'"&amp;'Template Setup'!$C$6&amp;"'!A:A")),0))</f>
        <v/>
      </c>
      <c r="J765" s="12" t="str">
        <f ca="1">IF($A765="","",IFERROR(SUMIF(INDIRECT("'"&amp;'Template Setup'!$C$7&amp;"'!C:C"),$A765,INDIRECT("'"&amp;'Template Setup'!$C$7&amp;"'!A:A")),0))</f>
        <v/>
      </c>
      <c r="K765" s="12" t="str">
        <f ca="1">IF($A765="","",IFERROR(SUMIF(INDIRECT("'"&amp;'Template Setup'!$C$8&amp;"'!C:C"),$A765,INDIRECT("'"&amp;'Template Setup'!$C$8&amp;"'!A:A")),0))</f>
        <v/>
      </c>
      <c r="L765" s="11" t="str">
        <f>IF($A765="","",IFERROR(VALUE(MID(TRIM('Template Setup'!$C$4),FIND("-",TRIM('Template Setup'!$C$4))+1,10)),0))</f>
        <v/>
      </c>
      <c r="M765" s="11" t="str">
        <f>IF($A765="","",IFERROR(VALUE(MID(TRIM('Template Setup'!$C$5),FIND("-",TRIM('Template Setup'!$C$5))+1,10)),0))</f>
        <v/>
      </c>
      <c r="N765" s="11" t="str">
        <f>IF($A765="","",IFERROR(VALUE(MID(TRIM('Template Setup'!$C$6),FIND("-",TRIM('Template Setup'!$C$6))+1,10)),0))</f>
        <v/>
      </c>
      <c r="O765" s="11" t="str">
        <f>IF($A765="","",IFERROR(VALUE(MID(TRIM('Template Setup'!$C$7),FIND("-",TRIM('Template Setup'!$C$7))+1,10)),0))</f>
        <v/>
      </c>
      <c r="P765" s="11" t="str">
        <f>IF($A765="","",IFERROR(VALUE(MID(TRIM('Template Setup'!$C$8),FIND("-",TRIM('Template Setup'!$C$8))+1,10)),0))</f>
        <v/>
      </c>
      <c r="Q765" s="9" t="str">
        <f>IF($A765="","",$A765&amp;"-"&amp;'Template Setup'!$C$16)</f>
        <v/>
      </c>
      <c r="R765" s="24" t="str">
        <f t="shared" si="45"/>
        <v/>
      </c>
      <c r="S765" s="24"/>
      <c r="T765" s="24" t="str">
        <f t="shared" si="46"/>
        <v/>
      </c>
      <c r="U765" s="6" t="str">
        <f t="shared" si="48"/>
        <v/>
      </c>
    </row>
    <row r="766" spans="1:21">
      <c r="A766" s="11"/>
      <c r="B766" s="11"/>
      <c r="C766" s="11"/>
      <c r="D766" s="11" t="str">
        <f>IF($A766="","",_xlfn.TEXTJOIN(", ",TRUE,IF($G766&gt;0,'Template Setup'!$C$4,""),IF($H766&gt;0,'Template Setup'!$C$5,""),IF($I766&gt;0,'Template Setup'!$C$6,""),IF($J766&gt;0,'Template Setup'!$C$7,""),IF($K766&gt;0,'Template Setup'!$C$8,"")))</f>
        <v/>
      </c>
      <c r="E766" s="6" t="str" cm="1">
        <f t="array" ref="E766">IF($A766="","",_xlfn.LET(_xlpm.sheets,CHOOSE({1,2,3,4,5},'Template Setup'!$C$4,'Template Setup'!$C$5,'Template Setup'!$C$6,'Template Setup'!$C$7,'Template Setup'!$C$8),_xlpm.nums,CHOOSE({1,2,3,4,5},$L766,$M766,$N766,$O766,$P766),_xlpm.qtys,CHOOSE({1,2,3,4,5},$G766,$H766,$I766,$J766,$K766),_xlpm.validNums,_xlfn._xlws.FILTER(_xlpm.nums,_xlpm.qtys&gt;0),_xlpm.validSheets,_xlfn._xlws.FILTER(_xlpm.sheets,_xlpm.qtys&gt;0),_xlpm.mx,IFERROR(MAX(_xlpm.validNums),0),IF(_xlpm.mx=0,"",INDEX(_xlpm.validSheets,MATCH(_xlpm.mx,_xlpm.validNums,0))&amp;" (+"&amp;$R766&amp;")")))</f>
        <v/>
      </c>
      <c r="F766" s="11" t="str">
        <f t="shared" si="47"/>
        <v/>
      </c>
      <c r="G766" s="12" t="str">
        <f ca="1">IF($A766="","",IFERROR(SUMIF(INDIRECT("'"&amp;'Template Setup'!$C$4&amp;"'!C:C"),$A766,INDIRECT("'"&amp;'Template Setup'!$C$4&amp;"'!A:A")),0))</f>
        <v/>
      </c>
      <c r="H766" s="12" t="str">
        <f ca="1">IF($A766="","",IFERROR(SUMIF(INDIRECT("'"&amp;'Template Setup'!$C$5&amp;"'!C:C"),$A766,INDIRECT("'"&amp;'Template Setup'!$C$5&amp;"'!A:A")),0))</f>
        <v/>
      </c>
      <c r="I766" s="12" t="str">
        <f ca="1">IF($A766="","",IFERROR(SUMIF(INDIRECT("'"&amp;'Template Setup'!$C$6&amp;"'!C:C"),$A766,INDIRECT("'"&amp;'Template Setup'!$C$6&amp;"'!A:A")),0))</f>
        <v/>
      </c>
      <c r="J766" s="12" t="str">
        <f ca="1">IF($A766="","",IFERROR(SUMIF(INDIRECT("'"&amp;'Template Setup'!$C$7&amp;"'!C:C"),$A766,INDIRECT("'"&amp;'Template Setup'!$C$7&amp;"'!A:A")),0))</f>
        <v/>
      </c>
      <c r="K766" s="12" t="str">
        <f ca="1">IF($A766="","",IFERROR(SUMIF(INDIRECT("'"&amp;'Template Setup'!$C$8&amp;"'!C:C"),$A766,INDIRECT("'"&amp;'Template Setup'!$C$8&amp;"'!A:A")),0))</f>
        <v/>
      </c>
      <c r="L766" s="11" t="str">
        <f>IF($A766="","",IFERROR(VALUE(MID(TRIM('Template Setup'!$C$4),FIND("-",TRIM('Template Setup'!$C$4))+1,10)),0))</f>
        <v/>
      </c>
      <c r="M766" s="11" t="str">
        <f>IF($A766="","",IFERROR(VALUE(MID(TRIM('Template Setup'!$C$5),FIND("-",TRIM('Template Setup'!$C$5))+1,10)),0))</f>
        <v/>
      </c>
      <c r="N766" s="11" t="str">
        <f>IF($A766="","",IFERROR(VALUE(MID(TRIM('Template Setup'!$C$6),FIND("-",TRIM('Template Setup'!$C$6))+1,10)),0))</f>
        <v/>
      </c>
      <c r="O766" s="11" t="str">
        <f>IF($A766="","",IFERROR(VALUE(MID(TRIM('Template Setup'!$C$7),FIND("-",TRIM('Template Setup'!$C$7))+1,10)),0))</f>
        <v/>
      </c>
      <c r="P766" s="11" t="str">
        <f>IF($A766="","",IFERROR(VALUE(MID(TRIM('Template Setup'!$C$8),FIND("-",TRIM('Template Setup'!$C$8))+1,10)),0))</f>
        <v/>
      </c>
      <c r="Q766" s="9" t="str">
        <f>IF($A766="","",$A766&amp;"-"&amp;'Template Setup'!$C$16)</f>
        <v/>
      </c>
      <c r="R766" s="24" t="str">
        <f t="shared" si="45"/>
        <v/>
      </c>
      <c r="S766" s="24"/>
      <c r="T766" s="24" t="str">
        <f t="shared" si="46"/>
        <v/>
      </c>
      <c r="U766" s="6" t="str">
        <f t="shared" si="48"/>
        <v/>
      </c>
    </row>
    <row r="767" spans="1:21">
      <c r="A767" s="11"/>
      <c r="B767" s="11"/>
      <c r="C767" s="11"/>
      <c r="D767" s="11" t="str">
        <f>IF($A767="","",_xlfn.TEXTJOIN(", ",TRUE,IF($G767&gt;0,'Template Setup'!$C$4,""),IF($H767&gt;0,'Template Setup'!$C$5,""),IF($I767&gt;0,'Template Setup'!$C$6,""),IF($J767&gt;0,'Template Setup'!$C$7,""),IF($K767&gt;0,'Template Setup'!$C$8,"")))</f>
        <v/>
      </c>
      <c r="E767" s="6" t="str" cm="1">
        <f t="array" ref="E767">IF($A767="","",_xlfn.LET(_xlpm.sheets,CHOOSE({1,2,3,4,5},'Template Setup'!$C$4,'Template Setup'!$C$5,'Template Setup'!$C$6,'Template Setup'!$C$7,'Template Setup'!$C$8),_xlpm.nums,CHOOSE({1,2,3,4,5},$L767,$M767,$N767,$O767,$P767),_xlpm.qtys,CHOOSE({1,2,3,4,5},$G767,$H767,$I767,$J767,$K767),_xlpm.validNums,_xlfn._xlws.FILTER(_xlpm.nums,_xlpm.qtys&gt;0),_xlpm.validSheets,_xlfn._xlws.FILTER(_xlpm.sheets,_xlpm.qtys&gt;0),_xlpm.mx,IFERROR(MAX(_xlpm.validNums),0),IF(_xlpm.mx=0,"",INDEX(_xlpm.validSheets,MATCH(_xlpm.mx,_xlpm.validNums,0))&amp;" (+"&amp;$R767&amp;")")))</f>
        <v/>
      </c>
      <c r="F767" s="11" t="str">
        <f t="shared" si="47"/>
        <v/>
      </c>
      <c r="G767" s="12" t="str">
        <f ca="1">IF($A767="","",IFERROR(SUMIF(INDIRECT("'"&amp;'Template Setup'!$C$4&amp;"'!C:C"),$A767,INDIRECT("'"&amp;'Template Setup'!$C$4&amp;"'!A:A")),0))</f>
        <v/>
      </c>
      <c r="H767" s="12" t="str">
        <f ca="1">IF($A767="","",IFERROR(SUMIF(INDIRECT("'"&amp;'Template Setup'!$C$5&amp;"'!C:C"),$A767,INDIRECT("'"&amp;'Template Setup'!$C$5&amp;"'!A:A")),0))</f>
        <v/>
      </c>
      <c r="I767" s="12" t="str">
        <f ca="1">IF($A767="","",IFERROR(SUMIF(INDIRECT("'"&amp;'Template Setup'!$C$6&amp;"'!C:C"),$A767,INDIRECT("'"&amp;'Template Setup'!$C$6&amp;"'!A:A")),0))</f>
        <v/>
      </c>
      <c r="J767" s="12" t="str">
        <f ca="1">IF($A767="","",IFERROR(SUMIF(INDIRECT("'"&amp;'Template Setup'!$C$7&amp;"'!C:C"),$A767,INDIRECT("'"&amp;'Template Setup'!$C$7&amp;"'!A:A")),0))</f>
        <v/>
      </c>
      <c r="K767" s="12" t="str">
        <f ca="1">IF($A767="","",IFERROR(SUMIF(INDIRECT("'"&amp;'Template Setup'!$C$8&amp;"'!C:C"),$A767,INDIRECT("'"&amp;'Template Setup'!$C$8&amp;"'!A:A")),0))</f>
        <v/>
      </c>
      <c r="L767" s="11" t="str">
        <f>IF($A767="","",IFERROR(VALUE(MID(TRIM('Template Setup'!$C$4),FIND("-",TRIM('Template Setup'!$C$4))+1,10)),0))</f>
        <v/>
      </c>
      <c r="M767" s="11" t="str">
        <f>IF($A767="","",IFERROR(VALUE(MID(TRIM('Template Setup'!$C$5),FIND("-",TRIM('Template Setup'!$C$5))+1,10)),0))</f>
        <v/>
      </c>
      <c r="N767" s="11" t="str">
        <f>IF($A767="","",IFERROR(VALUE(MID(TRIM('Template Setup'!$C$6),FIND("-",TRIM('Template Setup'!$C$6))+1,10)),0))</f>
        <v/>
      </c>
      <c r="O767" s="11" t="str">
        <f>IF($A767="","",IFERROR(VALUE(MID(TRIM('Template Setup'!$C$7),FIND("-",TRIM('Template Setup'!$C$7))+1,10)),0))</f>
        <v/>
      </c>
      <c r="P767" s="11" t="str">
        <f>IF($A767="","",IFERROR(VALUE(MID(TRIM('Template Setup'!$C$8),FIND("-",TRIM('Template Setup'!$C$8))+1,10)),0))</f>
        <v/>
      </c>
      <c r="Q767" s="9" t="str">
        <f>IF($A767="","",$A767&amp;"-"&amp;'Template Setup'!$C$16)</f>
        <v/>
      </c>
      <c r="R767" s="24" t="str">
        <f t="shared" si="45"/>
        <v/>
      </c>
      <c r="S767" s="24"/>
      <c r="T767" s="24" t="str">
        <f t="shared" si="46"/>
        <v/>
      </c>
      <c r="U767" s="6" t="str">
        <f t="shared" si="48"/>
        <v/>
      </c>
    </row>
    <row r="768" spans="1:21">
      <c r="A768" s="11"/>
      <c r="B768" s="11"/>
      <c r="C768" s="11"/>
      <c r="D768" s="11" t="str">
        <f>IF($A768="","",_xlfn.TEXTJOIN(", ",TRUE,IF($G768&gt;0,'Template Setup'!$C$4,""),IF($H768&gt;0,'Template Setup'!$C$5,""),IF($I768&gt;0,'Template Setup'!$C$6,""),IF($J768&gt;0,'Template Setup'!$C$7,""),IF($K768&gt;0,'Template Setup'!$C$8,"")))</f>
        <v/>
      </c>
      <c r="E768" s="6" t="str" cm="1">
        <f t="array" ref="E768">IF($A768="","",_xlfn.LET(_xlpm.sheets,CHOOSE({1,2,3,4,5},'Template Setup'!$C$4,'Template Setup'!$C$5,'Template Setup'!$C$6,'Template Setup'!$C$7,'Template Setup'!$C$8),_xlpm.nums,CHOOSE({1,2,3,4,5},$L768,$M768,$N768,$O768,$P768),_xlpm.qtys,CHOOSE({1,2,3,4,5},$G768,$H768,$I768,$J768,$K768),_xlpm.validNums,_xlfn._xlws.FILTER(_xlpm.nums,_xlpm.qtys&gt;0),_xlpm.validSheets,_xlfn._xlws.FILTER(_xlpm.sheets,_xlpm.qtys&gt;0),_xlpm.mx,IFERROR(MAX(_xlpm.validNums),0),IF(_xlpm.mx=0,"",INDEX(_xlpm.validSheets,MATCH(_xlpm.mx,_xlpm.validNums,0))&amp;" (+"&amp;$R768&amp;")")))</f>
        <v/>
      </c>
      <c r="F768" s="11" t="str">
        <f t="shared" si="47"/>
        <v/>
      </c>
      <c r="G768" s="12" t="str">
        <f ca="1">IF($A768="","",IFERROR(SUMIF(INDIRECT("'"&amp;'Template Setup'!$C$4&amp;"'!C:C"),$A768,INDIRECT("'"&amp;'Template Setup'!$C$4&amp;"'!A:A")),0))</f>
        <v/>
      </c>
      <c r="H768" s="12" t="str">
        <f ca="1">IF($A768="","",IFERROR(SUMIF(INDIRECT("'"&amp;'Template Setup'!$C$5&amp;"'!C:C"),$A768,INDIRECT("'"&amp;'Template Setup'!$C$5&amp;"'!A:A")),0))</f>
        <v/>
      </c>
      <c r="I768" s="12" t="str">
        <f ca="1">IF($A768="","",IFERROR(SUMIF(INDIRECT("'"&amp;'Template Setup'!$C$6&amp;"'!C:C"),$A768,INDIRECT("'"&amp;'Template Setup'!$C$6&amp;"'!A:A")),0))</f>
        <v/>
      </c>
      <c r="J768" s="12" t="str">
        <f ca="1">IF($A768="","",IFERROR(SUMIF(INDIRECT("'"&amp;'Template Setup'!$C$7&amp;"'!C:C"),$A768,INDIRECT("'"&amp;'Template Setup'!$C$7&amp;"'!A:A")),0))</f>
        <v/>
      </c>
      <c r="K768" s="12" t="str">
        <f ca="1">IF($A768="","",IFERROR(SUMIF(INDIRECT("'"&amp;'Template Setup'!$C$8&amp;"'!C:C"),$A768,INDIRECT("'"&amp;'Template Setup'!$C$8&amp;"'!A:A")),0))</f>
        <v/>
      </c>
      <c r="L768" s="11" t="str">
        <f>IF($A768="","",IFERROR(VALUE(MID(TRIM('Template Setup'!$C$4),FIND("-",TRIM('Template Setup'!$C$4))+1,10)),0))</f>
        <v/>
      </c>
      <c r="M768" s="11" t="str">
        <f>IF($A768="","",IFERROR(VALUE(MID(TRIM('Template Setup'!$C$5),FIND("-",TRIM('Template Setup'!$C$5))+1,10)),0))</f>
        <v/>
      </c>
      <c r="N768" s="11" t="str">
        <f>IF($A768="","",IFERROR(VALUE(MID(TRIM('Template Setup'!$C$6),FIND("-",TRIM('Template Setup'!$C$6))+1,10)),0))</f>
        <v/>
      </c>
      <c r="O768" s="11" t="str">
        <f>IF($A768="","",IFERROR(VALUE(MID(TRIM('Template Setup'!$C$7),FIND("-",TRIM('Template Setup'!$C$7))+1,10)),0))</f>
        <v/>
      </c>
      <c r="P768" s="11" t="str">
        <f>IF($A768="","",IFERROR(VALUE(MID(TRIM('Template Setup'!$C$8),FIND("-",TRIM('Template Setup'!$C$8))+1,10)),0))</f>
        <v/>
      </c>
      <c r="Q768" s="9" t="str">
        <f>IF($A768="","",$A768&amp;"-"&amp;'Template Setup'!$C$16)</f>
        <v/>
      </c>
      <c r="R768" s="24" t="str">
        <f t="shared" si="45"/>
        <v/>
      </c>
      <c r="S768" s="24"/>
      <c r="T768" s="24" t="str">
        <f t="shared" si="46"/>
        <v/>
      </c>
      <c r="U768" s="6" t="str">
        <f t="shared" si="48"/>
        <v/>
      </c>
    </row>
    <row r="769" spans="1:21">
      <c r="A769" s="11"/>
      <c r="B769" s="11"/>
      <c r="C769" s="11"/>
      <c r="D769" s="11" t="str">
        <f>IF($A769="","",_xlfn.TEXTJOIN(", ",TRUE,IF($G769&gt;0,'Template Setup'!$C$4,""),IF($H769&gt;0,'Template Setup'!$C$5,""),IF($I769&gt;0,'Template Setup'!$C$6,""),IF($J769&gt;0,'Template Setup'!$C$7,""),IF($K769&gt;0,'Template Setup'!$C$8,"")))</f>
        <v/>
      </c>
      <c r="E769" s="6" t="str" cm="1">
        <f t="array" ref="E769">IF($A769="","",_xlfn.LET(_xlpm.sheets,CHOOSE({1,2,3,4,5},'Template Setup'!$C$4,'Template Setup'!$C$5,'Template Setup'!$C$6,'Template Setup'!$C$7,'Template Setup'!$C$8),_xlpm.nums,CHOOSE({1,2,3,4,5},$L769,$M769,$N769,$O769,$P769),_xlpm.qtys,CHOOSE({1,2,3,4,5},$G769,$H769,$I769,$J769,$K769),_xlpm.validNums,_xlfn._xlws.FILTER(_xlpm.nums,_xlpm.qtys&gt;0),_xlpm.validSheets,_xlfn._xlws.FILTER(_xlpm.sheets,_xlpm.qtys&gt;0),_xlpm.mx,IFERROR(MAX(_xlpm.validNums),0),IF(_xlpm.mx=0,"",INDEX(_xlpm.validSheets,MATCH(_xlpm.mx,_xlpm.validNums,0))&amp;" (+"&amp;$R769&amp;")")))</f>
        <v/>
      </c>
      <c r="F769" s="11" t="str">
        <f t="shared" si="47"/>
        <v/>
      </c>
      <c r="G769" s="12" t="str">
        <f ca="1">IF($A769="","",IFERROR(SUMIF(INDIRECT("'"&amp;'Template Setup'!$C$4&amp;"'!C:C"),$A769,INDIRECT("'"&amp;'Template Setup'!$C$4&amp;"'!A:A")),0))</f>
        <v/>
      </c>
      <c r="H769" s="12" t="str">
        <f ca="1">IF($A769="","",IFERROR(SUMIF(INDIRECT("'"&amp;'Template Setup'!$C$5&amp;"'!C:C"),$A769,INDIRECT("'"&amp;'Template Setup'!$C$5&amp;"'!A:A")),0))</f>
        <v/>
      </c>
      <c r="I769" s="12" t="str">
        <f ca="1">IF($A769="","",IFERROR(SUMIF(INDIRECT("'"&amp;'Template Setup'!$C$6&amp;"'!C:C"),$A769,INDIRECT("'"&amp;'Template Setup'!$C$6&amp;"'!A:A")),0))</f>
        <v/>
      </c>
      <c r="J769" s="12" t="str">
        <f ca="1">IF($A769="","",IFERROR(SUMIF(INDIRECT("'"&amp;'Template Setup'!$C$7&amp;"'!C:C"),$A769,INDIRECT("'"&amp;'Template Setup'!$C$7&amp;"'!A:A")),0))</f>
        <v/>
      </c>
      <c r="K769" s="12" t="str">
        <f ca="1">IF($A769="","",IFERROR(SUMIF(INDIRECT("'"&amp;'Template Setup'!$C$8&amp;"'!C:C"),$A769,INDIRECT("'"&amp;'Template Setup'!$C$8&amp;"'!A:A")),0))</f>
        <v/>
      </c>
      <c r="L769" s="11" t="str">
        <f>IF($A769="","",IFERROR(VALUE(MID(TRIM('Template Setup'!$C$4),FIND("-",TRIM('Template Setup'!$C$4))+1,10)),0))</f>
        <v/>
      </c>
      <c r="M769" s="11" t="str">
        <f>IF($A769="","",IFERROR(VALUE(MID(TRIM('Template Setup'!$C$5),FIND("-",TRIM('Template Setup'!$C$5))+1,10)),0))</f>
        <v/>
      </c>
      <c r="N769" s="11" t="str">
        <f>IF($A769="","",IFERROR(VALUE(MID(TRIM('Template Setup'!$C$6),FIND("-",TRIM('Template Setup'!$C$6))+1,10)),0))</f>
        <v/>
      </c>
      <c r="O769" s="11" t="str">
        <f>IF($A769="","",IFERROR(VALUE(MID(TRIM('Template Setup'!$C$7),FIND("-",TRIM('Template Setup'!$C$7))+1,10)),0))</f>
        <v/>
      </c>
      <c r="P769" s="11" t="str">
        <f>IF($A769="","",IFERROR(VALUE(MID(TRIM('Template Setup'!$C$8),FIND("-",TRIM('Template Setup'!$C$8))+1,10)),0))</f>
        <v/>
      </c>
      <c r="Q769" s="9" t="str">
        <f>IF($A769="","",$A769&amp;"-"&amp;'Template Setup'!$C$16)</f>
        <v/>
      </c>
      <c r="R769" s="24" t="str">
        <f t="shared" si="45"/>
        <v/>
      </c>
      <c r="S769" s="24"/>
      <c r="T769" s="24" t="str">
        <f t="shared" si="46"/>
        <v/>
      </c>
      <c r="U769" s="6" t="str">
        <f t="shared" si="48"/>
        <v/>
      </c>
    </row>
    <row r="770" spans="1:21">
      <c r="A770" s="11"/>
      <c r="B770" s="11"/>
      <c r="C770" s="11"/>
      <c r="D770" s="11" t="str">
        <f>IF($A770="","",_xlfn.TEXTJOIN(", ",TRUE,IF($G770&gt;0,'Template Setup'!$C$4,""),IF($H770&gt;0,'Template Setup'!$C$5,""),IF($I770&gt;0,'Template Setup'!$C$6,""),IF($J770&gt;0,'Template Setup'!$C$7,""),IF($K770&gt;0,'Template Setup'!$C$8,"")))</f>
        <v/>
      </c>
      <c r="E770" s="6" t="str" cm="1">
        <f t="array" ref="E770">IF($A770="","",_xlfn.LET(_xlpm.sheets,CHOOSE({1,2,3,4,5},'Template Setup'!$C$4,'Template Setup'!$C$5,'Template Setup'!$C$6,'Template Setup'!$C$7,'Template Setup'!$C$8),_xlpm.nums,CHOOSE({1,2,3,4,5},$L770,$M770,$N770,$O770,$P770),_xlpm.qtys,CHOOSE({1,2,3,4,5},$G770,$H770,$I770,$J770,$K770),_xlpm.validNums,_xlfn._xlws.FILTER(_xlpm.nums,_xlpm.qtys&gt;0),_xlpm.validSheets,_xlfn._xlws.FILTER(_xlpm.sheets,_xlpm.qtys&gt;0),_xlpm.mx,IFERROR(MAX(_xlpm.validNums),0),IF(_xlpm.mx=0,"",INDEX(_xlpm.validSheets,MATCH(_xlpm.mx,_xlpm.validNums,0))&amp;" (+"&amp;$R770&amp;")")))</f>
        <v/>
      </c>
      <c r="F770" s="11" t="str">
        <f t="shared" si="47"/>
        <v/>
      </c>
      <c r="G770" s="12" t="str">
        <f ca="1">IF($A770="","",IFERROR(SUMIF(INDIRECT("'"&amp;'Template Setup'!$C$4&amp;"'!C:C"),$A770,INDIRECT("'"&amp;'Template Setup'!$C$4&amp;"'!A:A")),0))</f>
        <v/>
      </c>
      <c r="H770" s="12" t="str">
        <f ca="1">IF($A770="","",IFERROR(SUMIF(INDIRECT("'"&amp;'Template Setup'!$C$5&amp;"'!C:C"),$A770,INDIRECT("'"&amp;'Template Setup'!$C$5&amp;"'!A:A")),0))</f>
        <v/>
      </c>
      <c r="I770" s="12" t="str">
        <f ca="1">IF($A770="","",IFERROR(SUMIF(INDIRECT("'"&amp;'Template Setup'!$C$6&amp;"'!C:C"),$A770,INDIRECT("'"&amp;'Template Setup'!$C$6&amp;"'!A:A")),0))</f>
        <v/>
      </c>
      <c r="J770" s="12" t="str">
        <f ca="1">IF($A770="","",IFERROR(SUMIF(INDIRECT("'"&amp;'Template Setup'!$C$7&amp;"'!C:C"),$A770,INDIRECT("'"&amp;'Template Setup'!$C$7&amp;"'!A:A")),0))</f>
        <v/>
      </c>
      <c r="K770" s="12" t="str">
        <f ca="1">IF($A770="","",IFERROR(SUMIF(INDIRECT("'"&amp;'Template Setup'!$C$8&amp;"'!C:C"),$A770,INDIRECT("'"&amp;'Template Setup'!$C$8&amp;"'!A:A")),0))</f>
        <v/>
      </c>
      <c r="L770" s="11" t="str">
        <f>IF($A770="","",IFERROR(VALUE(MID(TRIM('Template Setup'!$C$4),FIND("-",TRIM('Template Setup'!$C$4))+1,10)),0))</f>
        <v/>
      </c>
      <c r="M770" s="11" t="str">
        <f>IF($A770="","",IFERROR(VALUE(MID(TRIM('Template Setup'!$C$5),FIND("-",TRIM('Template Setup'!$C$5))+1,10)),0))</f>
        <v/>
      </c>
      <c r="N770" s="11" t="str">
        <f>IF($A770="","",IFERROR(VALUE(MID(TRIM('Template Setup'!$C$6),FIND("-",TRIM('Template Setup'!$C$6))+1,10)),0))</f>
        <v/>
      </c>
      <c r="O770" s="11" t="str">
        <f>IF($A770="","",IFERROR(VALUE(MID(TRIM('Template Setup'!$C$7),FIND("-",TRIM('Template Setup'!$C$7))+1,10)),0))</f>
        <v/>
      </c>
      <c r="P770" s="11" t="str">
        <f>IF($A770="","",IFERROR(VALUE(MID(TRIM('Template Setup'!$C$8),FIND("-",TRIM('Template Setup'!$C$8))+1,10)),0))</f>
        <v/>
      </c>
      <c r="Q770" s="9" t="str">
        <f>IF($A770="","",$A770&amp;"-"&amp;'Template Setup'!$C$16)</f>
        <v/>
      </c>
      <c r="R770" s="24" t="str">
        <f t="shared" ref="R770:R833" si="49">IF($A770="","",SUM($G770:$K770))</f>
        <v/>
      </c>
      <c r="S770" s="24"/>
      <c r="T770" s="24" t="str">
        <f t="shared" ref="T770:T833" si="50">IF($A770="","",IF(ISBLANK(S770),"",N(R770)+S770))</f>
        <v/>
      </c>
      <c r="U770" s="6" t="str">
        <f t="shared" si="48"/>
        <v/>
      </c>
    </row>
    <row r="771" spans="1:21">
      <c r="A771" s="11"/>
      <c r="B771" s="11"/>
      <c r="C771" s="11"/>
      <c r="D771" s="11" t="str">
        <f>IF($A771="","",_xlfn.TEXTJOIN(", ",TRUE,IF($G771&gt;0,'Template Setup'!$C$4,""),IF($H771&gt;0,'Template Setup'!$C$5,""),IF($I771&gt;0,'Template Setup'!$C$6,""),IF($J771&gt;0,'Template Setup'!$C$7,""),IF($K771&gt;0,'Template Setup'!$C$8,"")))</f>
        <v/>
      </c>
      <c r="E771" s="6" t="str" cm="1">
        <f t="array" ref="E771">IF($A771="","",_xlfn.LET(_xlpm.sheets,CHOOSE({1,2,3,4,5},'Template Setup'!$C$4,'Template Setup'!$C$5,'Template Setup'!$C$6,'Template Setup'!$C$7,'Template Setup'!$C$8),_xlpm.nums,CHOOSE({1,2,3,4,5},$L771,$M771,$N771,$O771,$P771),_xlpm.qtys,CHOOSE({1,2,3,4,5},$G771,$H771,$I771,$J771,$K771),_xlpm.validNums,_xlfn._xlws.FILTER(_xlpm.nums,_xlpm.qtys&gt;0),_xlpm.validSheets,_xlfn._xlws.FILTER(_xlpm.sheets,_xlpm.qtys&gt;0),_xlpm.mx,IFERROR(MAX(_xlpm.validNums),0),IF(_xlpm.mx=0,"",INDEX(_xlpm.validSheets,MATCH(_xlpm.mx,_xlpm.validNums,0))&amp;" (+"&amp;$R771&amp;")")))</f>
        <v/>
      </c>
      <c r="F771" s="11" t="str">
        <f t="shared" ref="F771:F834" si="51">IF($E771="","","PACP-"&amp;LEFT($E771,FIND("-",$E771)-1)&amp;"-000"&amp;MID($E771,FIND("-",$E771)+1,3))</f>
        <v/>
      </c>
      <c r="G771" s="12" t="str">
        <f ca="1">IF($A771="","",IFERROR(SUMIF(INDIRECT("'"&amp;'Template Setup'!$C$4&amp;"'!C:C"),$A771,INDIRECT("'"&amp;'Template Setup'!$C$4&amp;"'!A:A")),0))</f>
        <v/>
      </c>
      <c r="H771" s="12" t="str">
        <f ca="1">IF($A771="","",IFERROR(SUMIF(INDIRECT("'"&amp;'Template Setup'!$C$5&amp;"'!C:C"),$A771,INDIRECT("'"&amp;'Template Setup'!$C$5&amp;"'!A:A")),0))</f>
        <v/>
      </c>
      <c r="I771" s="12" t="str">
        <f ca="1">IF($A771="","",IFERROR(SUMIF(INDIRECT("'"&amp;'Template Setup'!$C$6&amp;"'!C:C"),$A771,INDIRECT("'"&amp;'Template Setup'!$C$6&amp;"'!A:A")),0))</f>
        <v/>
      </c>
      <c r="J771" s="12" t="str">
        <f ca="1">IF($A771="","",IFERROR(SUMIF(INDIRECT("'"&amp;'Template Setup'!$C$7&amp;"'!C:C"),$A771,INDIRECT("'"&amp;'Template Setup'!$C$7&amp;"'!A:A")),0))</f>
        <v/>
      </c>
      <c r="K771" s="12" t="str">
        <f ca="1">IF($A771="","",IFERROR(SUMIF(INDIRECT("'"&amp;'Template Setup'!$C$8&amp;"'!C:C"),$A771,INDIRECT("'"&amp;'Template Setup'!$C$8&amp;"'!A:A")),0))</f>
        <v/>
      </c>
      <c r="L771" s="11" t="str">
        <f>IF($A771="","",IFERROR(VALUE(MID(TRIM('Template Setup'!$C$4),FIND("-",TRIM('Template Setup'!$C$4))+1,10)),0))</f>
        <v/>
      </c>
      <c r="M771" s="11" t="str">
        <f>IF($A771="","",IFERROR(VALUE(MID(TRIM('Template Setup'!$C$5),FIND("-",TRIM('Template Setup'!$C$5))+1,10)),0))</f>
        <v/>
      </c>
      <c r="N771" s="11" t="str">
        <f>IF($A771="","",IFERROR(VALUE(MID(TRIM('Template Setup'!$C$6),FIND("-",TRIM('Template Setup'!$C$6))+1,10)),0))</f>
        <v/>
      </c>
      <c r="O771" s="11" t="str">
        <f>IF($A771="","",IFERROR(VALUE(MID(TRIM('Template Setup'!$C$7),FIND("-",TRIM('Template Setup'!$C$7))+1,10)),0))</f>
        <v/>
      </c>
      <c r="P771" s="11" t="str">
        <f>IF($A771="","",IFERROR(VALUE(MID(TRIM('Template Setup'!$C$8),FIND("-",TRIM('Template Setup'!$C$8))+1,10)),0))</f>
        <v/>
      </c>
      <c r="Q771" s="9" t="str">
        <f>IF($A771="","",$A771&amp;"-"&amp;'Template Setup'!$C$16)</f>
        <v/>
      </c>
      <c r="R771" s="24" t="str">
        <f t="shared" si="49"/>
        <v/>
      </c>
      <c r="S771" s="24"/>
      <c r="T771" s="24" t="str">
        <f t="shared" si="50"/>
        <v/>
      </c>
      <c r="U771" s="6" t="str">
        <f t="shared" si="48"/>
        <v/>
      </c>
    </row>
    <row r="772" spans="1:21">
      <c r="A772" s="11"/>
      <c r="B772" s="11"/>
      <c r="C772" s="11"/>
      <c r="D772" s="11" t="str">
        <f>IF($A772="","",_xlfn.TEXTJOIN(", ",TRUE,IF($G772&gt;0,'Template Setup'!$C$4,""),IF($H772&gt;0,'Template Setup'!$C$5,""),IF($I772&gt;0,'Template Setup'!$C$6,""),IF($J772&gt;0,'Template Setup'!$C$7,""),IF($K772&gt;0,'Template Setup'!$C$8,"")))</f>
        <v/>
      </c>
      <c r="E772" s="6" t="str" cm="1">
        <f t="array" ref="E772">IF($A772="","",_xlfn.LET(_xlpm.sheets,CHOOSE({1,2,3,4,5},'Template Setup'!$C$4,'Template Setup'!$C$5,'Template Setup'!$C$6,'Template Setup'!$C$7,'Template Setup'!$C$8),_xlpm.nums,CHOOSE({1,2,3,4,5},$L772,$M772,$N772,$O772,$P772),_xlpm.qtys,CHOOSE({1,2,3,4,5},$G772,$H772,$I772,$J772,$K772),_xlpm.validNums,_xlfn._xlws.FILTER(_xlpm.nums,_xlpm.qtys&gt;0),_xlpm.validSheets,_xlfn._xlws.FILTER(_xlpm.sheets,_xlpm.qtys&gt;0),_xlpm.mx,IFERROR(MAX(_xlpm.validNums),0),IF(_xlpm.mx=0,"",INDEX(_xlpm.validSheets,MATCH(_xlpm.mx,_xlpm.validNums,0))&amp;" (+"&amp;$R772&amp;")")))</f>
        <v/>
      </c>
      <c r="F772" s="11" t="str">
        <f t="shared" si="51"/>
        <v/>
      </c>
      <c r="G772" s="12" t="str">
        <f ca="1">IF($A772="","",IFERROR(SUMIF(INDIRECT("'"&amp;'Template Setup'!$C$4&amp;"'!C:C"),$A772,INDIRECT("'"&amp;'Template Setup'!$C$4&amp;"'!A:A")),0))</f>
        <v/>
      </c>
      <c r="H772" s="12" t="str">
        <f ca="1">IF($A772="","",IFERROR(SUMIF(INDIRECT("'"&amp;'Template Setup'!$C$5&amp;"'!C:C"),$A772,INDIRECT("'"&amp;'Template Setup'!$C$5&amp;"'!A:A")),0))</f>
        <v/>
      </c>
      <c r="I772" s="12" t="str">
        <f ca="1">IF($A772="","",IFERROR(SUMIF(INDIRECT("'"&amp;'Template Setup'!$C$6&amp;"'!C:C"),$A772,INDIRECT("'"&amp;'Template Setup'!$C$6&amp;"'!A:A")),0))</f>
        <v/>
      </c>
      <c r="J772" s="12" t="str">
        <f ca="1">IF($A772="","",IFERROR(SUMIF(INDIRECT("'"&amp;'Template Setup'!$C$7&amp;"'!C:C"),$A772,INDIRECT("'"&amp;'Template Setup'!$C$7&amp;"'!A:A")),0))</f>
        <v/>
      </c>
      <c r="K772" s="12" t="str">
        <f ca="1">IF($A772="","",IFERROR(SUMIF(INDIRECT("'"&amp;'Template Setup'!$C$8&amp;"'!C:C"),$A772,INDIRECT("'"&amp;'Template Setup'!$C$8&amp;"'!A:A")),0))</f>
        <v/>
      </c>
      <c r="L772" s="11" t="str">
        <f>IF($A772="","",IFERROR(VALUE(MID(TRIM('Template Setup'!$C$4),FIND("-",TRIM('Template Setup'!$C$4))+1,10)),0))</f>
        <v/>
      </c>
      <c r="M772" s="11" t="str">
        <f>IF($A772="","",IFERROR(VALUE(MID(TRIM('Template Setup'!$C$5),FIND("-",TRIM('Template Setup'!$C$5))+1,10)),0))</f>
        <v/>
      </c>
      <c r="N772" s="11" t="str">
        <f>IF($A772="","",IFERROR(VALUE(MID(TRIM('Template Setup'!$C$6),FIND("-",TRIM('Template Setup'!$C$6))+1,10)),0))</f>
        <v/>
      </c>
      <c r="O772" s="11" t="str">
        <f>IF($A772="","",IFERROR(VALUE(MID(TRIM('Template Setup'!$C$7),FIND("-",TRIM('Template Setup'!$C$7))+1,10)),0))</f>
        <v/>
      </c>
      <c r="P772" s="11" t="str">
        <f>IF($A772="","",IFERROR(VALUE(MID(TRIM('Template Setup'!$C$8),FIND("-",TRIM('Template Setup'!$C$8))+1,10)),0))</f>
        <v/>
      </c>
      <c r="Q772" s="9" t="str">
        <f>IF($A772="","",$A772&amp;"-"&amp;'Template Setup'!$C$16)</f>
        <v/>
      </c>
      <c r="R772" s="24" t="str">
        <f t="shared" si="49"/>
        <v/>
      </c>
      <c r="S772" s="24"/>
      <c r="T772" s="24" t="str">
        <f t="shared" si="50"/>
        <v/>
      </c>
      <c r="U772" s="6" t="str">
        <f t="shared" si="48"/>
        <v/>
      </c>
    </row>
    <row r="773" spans="1:21">
      <c r="A773" s="11"/>
      <c r="B773" s="11"/>
      <c r="C773" s="11"/>
      <c r="D773" s="11" t="str">
        <f>IF($A773="","",_xlfn.TEXTJOIN(", ",TRUE,IF($G773&gt;0,'Template Setup'!$C$4,""),IF($H773&gt;0,'Template Setup'!$C$5,""),IF($I773&gt;0,'Template Setup'!$C$6,""),IF($J773&gt;0,'Template Setup'!$C$7,""),IF($K773&gt;0,'Template Setup'!$C$8,"")))</f>
        <v/>
      </c>
      <c r="E773" s="6" t="str" cm="1">
        <f t="array" ref="E773">IF($A773="","",_xlfn.LET(_xlpm.sheets,CHOOSE({1,2,3,4,5},'Template Setup'!$C$4,'Template Setup'!$C$5,'Template Setup'!$C$6,'Template Setup'!$C$7,'Template Setup'!$C$8),_xlpm.nums,CHOOSE({1,2,3,4,5},$L773,$M773,$N773,$O773,$P773),_xlpm.qtys,CHOOSE({1,2,3,4,5},$G773,$H773,$I773,$J773,$K773),_xlpm.validNums,_xlfn._xlws.FILTER(_xlpm.nums,_xlpm.qtys&gt;0),_xlpm.validSheets,_xlfn._xlws.FILTER(_xlpm.sheets,_xlpm.qtys&gt;0),_xlpm.mx,IFERROR(MAX(_xlpm.validNums),0),IF(_xlpm.mx=0,"",INDEX(_xlpm.validSheets,MATCH(_xlpm.mx,_xlpm.validNums,0))&amp;" (+"&amp;$R773&amp;")")))</f>
        <v/>
      </c>
      <c r="F773" s="11" t="str">
        <f t="shared" si="51"/>
        <v/>
      </c>
      <c r="G773" s="12" t="str">
        <f ca="1">IF($A773="","",IFERROR(SUMIF(INDIRECT("'"&amp;'Template Setup'!$C$4&amp;"'!C:C"),$A773,INDIRECT("'"&amp;'Template Setup'!$C$4&amp;"'!A:A")),0))</f>
        <v/>
      </c>
      <c r="H773" s="12" t="str">
        <f ca="1">IF($A773="","",IFERROR(SUMIF(INDIRECT("'"&amp;'Template Setup'!$C$5&amp;"'!C:C"),$A773,INDIRECT("'"&amp;'Template Setup'!$C$5&amp;"'!A:A")),0))</f>
        <v/>
      </c>
      <c r="I773" s="12" t="str">
        <f ca="1">IF($A773="","",IFERROR(SUMIF(INDIRECT("'"&amp;'Template Setup'!$C$6&amp;"'!C:C"),$A773,INDIRECT("'"&amp;'Template Setup'!$C$6&amp;"'!A:A")),0))</f>
        <v/>
      </c>
      <c r="J773" s="12" t="str">
        <f ca="1">IF($A773="","",IFERROR(SUMIF(INDIRECT("'"&amp;'Template Setup'!$C$7&amp;"'!C:C"),$A773,INDIRECT("'"&amp;'Template Setup'!$C$7&amp;"'!A:A")),0))</f>
        <v/>
      </c>
      <c r="K773" s="12" t="str">
        <f ca="1">IF($A773="","",IFERROR(SUMIF(INDIRECT("'"&amp;'Template Setup'!$C$8&amp;"'!C:C"),$A773,INDIRECT("'"&amp;'Template Setup'!$C$8&amp;"'!A:A")),0))</f>
        <v/>
      </c>
      <c r="L773" s="11" t="str">
        <f>IF($A773="","",IFERROR(VALUE(MID(TRIM('Template Setup'!$C$4),FIND("-",TRIM('Template Setup'!$C$4))+1,10)),0))</f>
        <v/>
      </c>
      <c r="M773" s="11" t="str">
        <f>IF($A773="","",IFERROR(VALUE(MID(TRIM('Template Setup'!$C$5),FIND("-",TRIM('Template Setup'!$C$5))+1,10)),0))</f>
        <v/>
      </c>
      <c r="N773" s="11" t="str">
        <f>IF($A773="","",IFERROR(VALUE(MID(TRIM('Template Setup'!$C$6),FIND("-",TRIM('Template Setup'!$C$6))+1,10)),0))</f>
        <v/>
      </c>
      <c r="O773" s="11" t="str">
        <f>IF($A773="","",IFERROR(VALUE(MID(TRIM('Template Setup'!$C$7),FIND("-",TRIM('Template Setup'!$C$7))+1,10)),0))</f>
        <v/>
      </c>
      <c r="P773" s="11" t="str">
        <f>IF($A773="","",IFERROR(VALUE(MID(TRIM('Template Setup'!$C$8),FIND("-",TRIM('Template Setup'!$C$8))+1,10)),0))</f>
        <v/>
      </c>
      <c r="Q773" s="9" t="str">
        <f>IF($A773="","",$A773&amp;"-"&amp;'Template Setup'!$C$16)</f>
        <v/>
      </c>
      <c r="R773" s="24" t="str">
        <f t="shared" si="49"/>
        <v/>
      </c>
      <c r="S773" s="24"/>
      <c r="T773" s="24" t="str">
        <f t="shared" si="50"/>
        <v/>
      </c>
      <c r="U773" s="6" t="str">
        <f t="shared" si="48"/>
        <v/>
      </c>
    </row>
    <row r="774" spans="1:21">
      <c r="A774" s="11"/>
      <c r="B774" s="11"/>
      <c r="C774" s="11"/>
      <c r="D774" s="11" t="str">
        <f>IF($A774="","",_xlfn.TEXTJOIN(", ",TRUE,IF($G774&gt;0,'Template Setup'!$C$4,""),IF($H774&gt;0,'Template Setup'!$C$5,""),IF($I774&gt;0,'Template Setup'!$C$6,""),IF($J774&gt;0,'Template Setup'!$C$7,""),IF($K774&gt;0,'Template Setup'!$C$8,"")))</f>
        <v/>
      </c>
      <c r="E774" s="6" t="str" cm="1">
        <f t="array" ref="E774">IF($A774="","",_xlfn.LET(_xlpm.sheets,CHOOSE({1,2,3,4,5},'Template Setup'!$C$4,'Template Setup'!$C$5,'Template Setup'!$C$6,'Template Setup'!$C$7,'Template Setup'!$C$8),_xlpm.nums,CHOOSE({1,2,3,4,5},$L774,$M774,$N774,$O774,$P774),_xlpm.qtys,CHOOSE({1,2,3,4,5},$G774,$H774,$I774,$J774,$K774),_xlpm.validNums,_xlfn._xlws.FILTER(_xlpm.nums,_xlpm.qtys&gt;0),_xlpm.validSheets,_xlfn._xlws.FILTER(_xlpm.sheets,_xlpm.qtys&gt;0),_xlpm.mx,IFERROR(MAX(_xlpm.validNums),0),IF(_xlpm.mx=0,"",INDEX(_xlpm.validSheets,MATCH(_xlpm.mx,_xlpm.validNums,0))&amp;" (+"&amp;$R774&amp;")")))</f>
        <v/>
      </c>
      <c r="F774" s="11" t="str">
        <f t="shared" si="51"/>
        <v/>
      </c>
      <c r="G774" s="12" t="str">
        <f ca="1">IF($A774="","",IFERROR(SUMIF(INDIRECT("'"&amp;'Template Setup'!$C$4&amp;"'!C:C"),$A774,INDIRECT("'"&amp;'Template Setup'!$C$4&amp;"'!A:A")),0))</f>
        <v/>
      </c>
      <c r="H774" s="12" t="str">
        <f ca="1">IF($A774="","",IFERROR(SUMIF(INDIRECT("'"&amp;'Template Setup'!$C$5&amp;"'!C:C"),$A774,INDIRECT("'"&amp;'Template Setup'!$C$5&amp;"'!A:A")),0))</f>
        <v/>
      </c>
      <c r="I774" s="12" t="str">
        <f ca="1">IF($A774="","",IFERROR(SUMIF(INDIRECT("'"&amp;'Template Setup'!$C$6&amp;"'!C:C"),$A774,INDIRECT("'"&amp;'Template Setup'!$C$6&amp;"'!A:A")),0))</f>
        <v/>
      </c>
      <c r="J774" s="12" t="str">
        <f ca="1">IF($A774="","",IFERROR(SUMIF(INDIRECT("'"&amp;'Template Setup'!$C$7&amp;"'!C:C"),$A774,INDIRECT("'"&amp;'Template Setup'!$C$7&amp;"'!A:A")),0))</f>
        <v/>
      </c>
      <c r="K774" s="12" t="str">
        <f ca="1">IF($A774="","",IFERROR(SUMIF(INDIRECT("'"&amp;'Template Setup'!$C$8&amp;"'!C:C"),$A774,INDIRECT("'"&amp;'Template Setup'!$C$8&amp;"'!A:A")),0))</f>
        <v/>
      </c>
      <c r="L774" s="11" t="str">
        <f>IF($A774="","",IFERROR(VALUE(MID(TRIM('Template Setup'!$C$4),FIND("-",TRIM('Template Setup'!$C$4))+1,10)),0))</f>
        <v/>
      </c>
      <c r="M774" s="11" t="str">
        <f>IF($A774="","",IFERROR(VALUE(MID(TRIM('Template Setup'!$C$5),FIND("-",TRIM('Template Setup'!$C$5))+1,10)),0))</f>
        <v/>
      </c>
      <c r="N774" s="11" t="str">
        <f>IF($A774="","",IFERROR(VALUE(MID(TRIM('Template Setup'!$C$6),FIND("-",TRIM('Template Setup'!$C$6))+1,10)),0))</f>
        <v/>
      </c>
      <c r="O774" s="11" t="str">
        <f>IF($A774="","",IFERROR(VALUE(MID(TRIM('Template Setup'!$C$7),FIND("-",TRIM('Template Setup'!$C$7))+1,10)),0))</f>
        <v/>
      </c>
      <c r="P774" s="11" t="str">
        <f>IF($A774="","",IFERROR(VALUE(MID(TRIM('Template Setup'!$C$8),FIND("-",TRIM('Template Setup'!$C$8))+1,10)),0))</f>
        <v/>
      </c>
      <c r="Q774" s="9" t="str">
        <f>IF($A774="","",$A774&amp;"-"&amp;'Template Setup'!$C$16)</f>
        <v/>
      </c>
      <c r="R774" s="24" t="str">
        <f t="shared" si="49"/>
        <v/>
      </c>
      <c r="S774" s="24"/>
      <c r="T774" s="24" t="str">
        <f t="shared" si="50"/>
        <v/>
      </c>
      <c r="U774" s="6" t="str">
        <f t="shared" si="48"/>
        <v/>
      </c>
    </row>
    <row r="775" spans="1:21">
      <c r="A775" s="11"/>
      <c r="B775" s="11"/>
      <c r="C775" s="11"/>
      <c r="D775" s="11" t="str">
        <f>IF($A775="","",_xlfn.TEXTJOIN(", ",TRUE,IF($G775&gt;0,'Template Setup'!$C$4,""),IF($H775&gt;0,'Template Setup'!$C$5,""),IF($I775&gt;0,'Template Setup'!$C$6,""),IF($J775&gt;0,'Template Setup'!$C$7,""),IF($K775&gt;0,'Template Setup'!$C$8,"")))</f>
        <v/>
      </c>
      <c r="E775" s="6" t="str" cm="1">
        <f t="array" ref="E775">IF($A775="","",_xlfn.LET(_xlpm.sheets,CHOOSE({1,2,3,4,5},'Template Setup'!$C$4,'Template Setup'!$C$5,'Template Setup'!$C$6,'Template Setup'!$C$7,'Template Setup'!$C$8),_xlpm.nums,CHOOSE({1,2,3,4,5},$L775,$M775,$N775,$O775,$P775),_xlpm.qtys,CHOOSE({1,2,3,4,5},$G775,$H775,$I775,$J775,$K775),_xlpm.validNums,_xlfn._xlws.FILTER(_xlpm.nums,_xlpm.qtys&gt;0),_xlpm.validSheets,_xlfn._xlws.FILTER(_xlpm.sheets,_xlpm.qtys&gt;0),_xlpm.mx,IFERROR(MAX(_xlpm.validNums),0),IF(_xlpm.mx=0,"",INDEX(_xlpm.validSheets,MATCH(_xlpm.mx,_xlpm.validNums,0))&amp;" (+"&amp;$R775&amp;")")))</f>
        <v/>
      </c>
      <c r="F775" s="11" t="str">
        <f t="shared" si="51"/>
        <v/>
      </c>
      <c r="G775" s="12" t="str">
        <f ca="1">IF($A775="","",IFERROR(SUMIF(INDIRECT("'"&amp;'Template Setup'!$C$4&amp;"'!C:C"),$A775,INDIRECT("'"&amp;'Template Setup'!$C$4&amp;"'!A:A")),0))</f>
        <v/>
      </c>
      <c r="H775" s="12" t="str">
        <f ca="1">IF($A775="","",IFERROR(SUMIF(INDIRECT("'"&amp;'Template Setup'!$C$5&amp;"'!C:C"),$A775,INDIRECT("'"&amp;'Template Setup'!$C$5&amp;"'!A:A")),0))</f>
        <v/>
      </c>
      <c r="I775" s="12" t="str">
        <f ca="1">IF($A775="","",IFERROR(SUMIF(INDIRECT("'"&amp;'Template Setup'!$C$6&amp;"'!C:C"),$A775,INDIRECT("'"&amp;'Template Setup'!$C$6&amp;"'!A:A")),0))</f>
        <v/>
      </c>
      <c r="J775" s="12" t="str">
        <f ca="1">IF($A775="","",IFERROR(SUMIF(INDIRECT("'"&amp;'Template Setup'!$C$7&amp;"'!C:C"),$A775,INDIRECT("'"&amp;'Template Setup'!$C$7&amp;"'!A:A")),0))</f>
        <v/>
      </c>
      <c r="K775" s="12" t="str">
        <f ca="1">IF($A775="","",IFERROR(SUMIF(INDIRECT("'"&amp;'Template Setup'!$C$8&amp;"'!C:C"),$A775,INDIRECT("'"&amp;'Template Setup'!$C$8&amp;"'!A:A")),0))</f>
        <v/>
      </c>
      <c r="L775" s="11" t="str">
        <f>IF($A775="","",IFERROR(VALUE(MID(TRIM('Template Setup'!$C$4),FIND("-",TRIM('Template Setup'!$C$4))+1,10)),0))</f>
        <v/>
      </c>
      <c r="M775" s="11" t="str">
        <f>IF($A775="","",IFERROR(VALUE(MID(TRIM('Template Setup'!$C$5),FIND("-",TRIM('Template Setup'!$C$5))+1,10)),0))</f>
        <v/>
      </c>
      <c r="N775" s="11" t="str">
        <f>IF($A775="","",IFERROR(VALUE(MID(TRIM('Template Setup'!$C$6),FIND("-",TRIM('Template Setup'!$C$6))+1,10)),0))</f>
        <v/>
      </c>
      <c r="O775" s="11" t="str">
        <f>IF($A775="","",IFERROR(VALUE(MID(TRIM('Template Setup'!$C$7),FIND("-",TRIM('Template Setup'!$C$7))+1,10)),0))</f>
        <v/>
      </c>
      <c r="P775" s="11" t="str">
        <f>IF($A775="","",IFERROR(VALUE(MID(TRIM('Template Setup'!$C$8),FIND("-",TRIM('Template Setup'!$C$8))+1,10)),0))</f>
        <v/>
      </c>
      <c r="Q775" s="9" t="str">
        <f>IF($A775="","",$A775&amp;"-"&amp;'Template Setup'!$C$16)</f>
        <v/>
      </c>
      <c r="R775" s="24" t="str">
        <f t="shared" si="49"/>
        <v/>
      </c>
      <c r="S775" s="24"/>
      <c r="T775" s="24" t="str">
        <f t="shared" si="50"/>
        <v/>
      </c>
      <c r="U775" s="6" t="str">
        <f t="shared" si="48"/>
        <v/>
      </c>
    </row>
    <row r="776" spans="1:21">
      <c r="A776" s="11"/>
      <c r="B776" s="11"/>
      <c r="C776" s="11"/>
      <c r="D776" s="11" t="str">
        <f>IF($A776="","",_xlfn.TEXTJOIN(", ",TRUE,IF($G776&gt;0,'Template Setup'!$C$4,""),IF($H776&gt;0,'Template Setup'!$C$5,""),IF($I776&gt;0,'Template Setup'!$C$6,""),IF($J776&gt;0,'Template Setup'!$C$7,""),IF($K776&gt;0,'Template Setup'!$C$8,"")))</f>
        <v/>
      </c>
      <c r="E776" s="6" t="str" cm="1">
        <f t="array" ref="E776">IF($A776="","",_xlfn.LET(_xlpm.sheets,CHOOSE({1,2,3,4,5},'Template Setup'!$C$4,'Template Setup'!$C$5,'Template Setup'!$C$6,'Template Setup'!$C$7,'Template Setup'!$C$8),_xlpm.nums,CHOOSE({1,2,3,4,5},$L776,$M776,$N776,$O776,$P776),_xlpm.qtys,CHOOSE({1,2,3,4,5},$G776,$H776,$I776,$J776,$K776),_xlpm.validNums,_xlfn._xlws.FILTER(_xlpm.nums,_xlpm.qtys&gt;0),_xlpm.validSheets,_xlfn._xlws.FILTER(_xlpm.sheets,_xlpm.qtys&gt;0),_xlpm.mx,IFERROR(MAX(_xlpm.validNums),0),IF(_xlpm.mx=0,"",INDEX(_xlpm.validSheets,MATCH(_xlpm.mx,_xlpm.validNums,0))&amp;" (+"&amp;$R776&amp;")")))</f>
        <v/>
      </c>
      <c r="F776" s="11" t="str">
        <f t="shared" si="51"/>
        <v/>
      </c>
      <c r="G776" s="12" t="str">
        <f ca="1">IF($A776="","",IFERROR(SUMIF(INDIRECT("'"&amp;'Template Setup'!$C$4&amp;"'!C:C"),$A776,INDIRECT("'"&amp;'Template Setup'!$C$4&amp;"'!A:A")),0))</f>
        <v/>
      </c>
      <c r="H776" s="12" t="str">
        <f ca="1">IF($A776="","",IFERROR(SUMIF(INDIRECT("'"&amp;'Template Setup'!$C$5&amp;"'!C:C"),$A776,INDIRECT("'"&amp;'Template Setup'!$C$5&amp;"'!A:A")),0))</f>
        <v/>
      </c>
      <c r="I776" s="12" t="str">
        <f ca="1">IF($A776="","",IFERROR(SUMIF(INDIRECT("'"&amp;'Template Setup'!$C$6&amp;"'!C:C"),$A776,INDIRECT("'"&amp;'Template Setup'!$C$6&amp;"'!A:A")),0))</f>
        <v/>
      </c>
      <c r="J776" s="12" t="str">
        <f ca="1">IF($A776="","",IFERROR(SUMIF(INDIRECT("'"&amp;'Template Setup'!$C$7&amp;"'!C:C"),$A776,INDIRECT("'"&amp;'Template Setup'!$C$7&amp;"'!A:A")),0))</f>
        <v/>
      </c>
      <c r="K776" s="12" t="str">
        <f ca="1">IF($A776="","",IFERROR(SUMIF(INDIRECT("'"&amp;'Template Setup'!$C$8&amp;"'!C:C"),$A776,INDIRECT("'"&amp;'Template Setup'!$C$8&amp;"'!A:A")),0))</f>
        <v/>
      </c>
      <c r="L776" s="11" t="str">
        <f>IF($A776="","",IFERROR(VALUE(MID(TRIM('Template Setup'!$C$4),FIND("-",TRIM('Template Setup'!$C$4))+1,10)),0))</f>
        <v/>
      </c>
      <c r="M776" s="11" t="str">
        <f>IF($A776="","",IFERROR(VALUE(MID(TRIM('Template Setup'!$C$5),FIND("-",TRIM('Template Setup'!$C$5))+1,10)),0))</f>
        <v/>
      </c>
      <c r="N776" s="11" t="str">
        <f>IF($A776="","",IFERROR(VALUE(MID(TRIM('Template Setup'!$C$6),FIND("-",TRIM('Template Setup'!$C$6))+1,10)),0))</f>
        <v/>
      </c>
      <c r="O776" s="11" t="str">
        <f>IF($A776="","",IFERROR(VALUE(MID(TRIM('Template Setup'!$C$7),FIND("-",TRIM('Template Setup'!$C$7))+1,10)),0))</f>
        <v/>
      </c>
      <c r="P776" s="11" t="str">
        <f>IF($A776="","",IFERROR(VALUE(MID(TRIM('Template Setup'!$C$8),FIND("-",TRIM('Template Setup'!$C$8))+1,10)),0))</f>
        <v/>
      </c>
      <c r="Q776" s="9" t="str">
        <f>IF($A776="","",$A776&amp;"-"&amp;'Template Setup'!$C$16)</f>
        <v/>
      </c>
      <c r="R776" s="24" t="str">
        <f t="shared" si="49"/>
        <v/>
      </c>
      <c r="S776" s="24"/>
      <c r="T776" s="24" t="str">
        <f t="shared" si="50"/>
        <v/>
      </c>
      <c r="U776" s="6" t="str">
        <f t="shared" si="48"/>
        <v/>
      </c>
    </row>
    <row r="777" spans="1:21">
      <c r="A777" s="11"/>
      <c r="B777" s="11"/>
      <c r="C777" s="11"/>
      <c r="D777" s="11" t="str">
        <f>IF($A777="","",_xlfn.TEXTJOIN(", ",TRUE,IF($G777&gt;0,'Template Setup'!$C$4,""),IF($H777&gt;0,'Template Setup'!$C$5,""),IF($I777&gt;0,'Template Setup'!$C$6,""),IF($J777&gt;0,'Template Setup'!$C$7,""),IF($K777&gt;0,'Template Setup'!$C$8,"")))</f>
        <v/>
      </c>
      <c r="E777" s="6" t="str" cm="1">
        <f t="array" ref="E777">IF($A777="","",_xlfn.LET(_xlpm.sheets,CHOOSE({1,2,3,4,5},'Template Setup'!$C$4,'Template Setup'!$C$5,'Template Setup'!$C$6,'Template Setup'!$C$7,'Template Setup'!$C$8),_xlpm.nums,CHOOSE({1,2,3,4,5},$L777,$M777,$N777,$O777,$P777),_xlpm.qtys,CHOOSE({1,2,3,4,5},$G777,$H777,$I777,$J777,$K777),_xlpm.validNums,_xlfn._xlws.FILTER(_xlpm.nums,_xlpm.qtys&gt;0),_xlpm.validSheets,_xlfn._xlws.FILTER(_xlpm.sheets,_xlpm.qtys&gt;0),_xlpm.mx,IFERROR(MAX(_xlpm.validNums),0),IF(_xlpm.mx=0,"",INDEX(_xlpm.validSheets,MATCH(_xlpm.mx,_xlpm.validNums,0))&amp;" (+"&amp;$R777&amp;")")))</f>
        <v/>
      </c>
      <c r="F777" s="11" t="str">
        <f t="shared" si="51"/>
        <v/>
      </c>
      <c r="G777" s="12" t="str">
        <f ca="1">IF($A777="","",IFERROR(SUMIF(INDIRECT("'"&amp;'Template Setup'!$C$4&amp;"'!C:C"),$A777,INDIRECT("'"&amp;'Template Setup'!$C$4&amp;"'!A:A")),0))</f>
        <v/>
      </c>
      <c r="H777" s="12" t="str">
        <f ca="1">IF($A777="","",IFERROR(SUMIF(INDIRECT("'"&amp;'Template Setup'!$C$5&amp;"'!C:C"),$A777,INDIRECT("'"&amp;'Template Setup'!$C$5&amp;"'!A:A")),0))</f>
        <v/>
      </c>
      <c r="I777" s="12" t="str">
        <f ca="1">IF($A777="","",IFERROR(SUMIF(INDIRECT("'"&amp;'Template Setup'!$C$6&amp;"'!C:C"),$A777,INDIRECT("'"&amp;'Template Setup'!$C$6&amp;"'!A:A")),0))</f>
        <v/>
      </c>
      <c r="J777" s="12" t="str">
        <f ca="1">IF($A777="","",IFERROR(SUMIF(INDIRECT("'"&amp;'Template Setup'!$C$7&amp;"'!C:C"),$A777,INDIRECT("'"&amp;'Template Setup'!$C$7&amp;"'!A:A")),0))</f>
        <v/>
      </c>
      <c r="K777" s="12" t="str">
        <f ca="1">IF($A777="","",IFERROR(SUMIF(INDIRECT("'"&amp;'Template Setup'!$C$8&amp;"'!C:C"),$A777,INDIRECT("'"&amp;'Template Setup'!$C$8&amp;"'!A:A")),0))</f>
        <v/>
      </c>
      <c r="L777" s="11" t="str">
        <f>IF($A777="","",IFERROR(VALUE(MID(TRIM('Template Setup'!$C$4),FIND("-",TRIM('Template Setup'!$C$4))+1,10)),0))</f>
        <v/>
      </c>
      <c r="M777" s="11" t="str">
        <f>IF($A777="","",IFERROR(VALUE(MID(TRIM('Template Setup'!$C$5),FIND("-",TRIM('Template Setup'!$C$5))+1,10)),0))</f>
        <v/>
      </c>
      <c r="N777" s="11" t="str">
        <f>IF($A777="","",IFERROR(VALUE(MID(TRIM('Template Setup'!$C$6),FIND("-",TRIM('Template Setup'!$C$6))+1,10)),0))</f>
        <v/>
      </c>
      <c r="O777" s="11" t="str">
        <f>IF($A777="","",IFERROR(VALUE(MID(TRIM('Template Setup'!$C$7),FIND("-",TRIM('Template Setup'!$C$7))+1,10)),0))</f>
        <v/>
      </c>
      <c r="P777" s="11" t="str">
        <f>IF($A777="","",IFERROR(VALUE(MID(TRIM('Template Setup'!$C$8),FIND("-",TRIM('Template Setup'!$C$8))+1,10)),0))</f>
        <v/>
      </c>
      <c r="Q777" s="9" t="str">
        <f>IF($A777="","",$A777&amp;"-"&amp;'Template Setup'!$C$16)</f>
        <v/>
      </c>
      <c r="R777" s="24" t="str">
        <f t="shared" si="49"/>
        <v/>
      </c>
      <c r="S777" s="24"/>
      <c r="T777" s="24" t="str">
        <f t="shared" si="50"/>
        <v/>
      </c>
      <c r="U777" s="6" t="str">
        <f t="shared" si="48"/>
        <v/>
      </c>
    </row>
    <row r="778" spans="1:21">
      <c r="A778" s="11"/>
      <c r="B778" s="11"/>
      <c r="C778" s="11"/>
      <c r="D778" s="11" t="str">
        <f>IF($A778="","",_xlfn.TEXTJOIN(", ",TRUE,IF($G778&gt;0,'Template Setup'!$C$4,""),IF($H778&gt;0,'Template Setup'!$C$5,""),IF($I778&gt;0,'Template Setup'!$C$6,""),IF($J778&gt;0,'Template Setup'!$C$7,""),IF($K778&gt;0,'Template Setup'!$C$8,"")))</f>
        <v/>
      </c>
      <c r="E778" s="6" t="str" cm="1">
        <f t="array" ref="E778">IF($A778="","",_xlfn.LET(_xlpm.sheets,CHOOSE({1,2,3,4,5},'Template Setup'!$C$4,'Template Setup'!$C$5,'Template Setup'!$C$6,'Template Setup'!$C$7,'Template Setup'!$C$8),_xlpm.nums,CHOOSE({1,2,3,4,5},$L778,$M778,$N778,$O778,$P778),_xlpm.qtys,CHOOSE({1,2,3,4,5},$G778,$H778,$I778,$J778,$K778),_xlpm.validNums,_xlfn._xlws.FILTER(_xlpm.nums,_xlpm.qtys&gt;0),_xlpm.validSheets,_xlfn._xlws.FILTER(_xlpm.sheets,_xlpm.qtys&gt;0),_xlpm.mx,IFERROR(MAX(_xlpm.validNums),0),IF(_xlpm.mx=0,"",INDEX(_xlpm.validSheets,MATCH(_xlpm.mx,_xlpm.validNums,0))&amp;" (+"&amp;$R778&amp;")")))</f>
        <v/>
      </c>
      <c r="F778" s="11" t="str">
        <f t="shared" si="51"/>
        <v/>
      </c>
      <c r="G778" s="12" t="str">
        <f ca="1">IF($A778="","",IFERROR(SUMIF(INDIRECT("'"&amp;'Template Setup'!$C$4&amp;"'!C:C"),$A778,INDIRECT("'"&amp;'Template Setup'!$C$4&amp;"'!A:A")),0))</f>
        <v/>
      </c>
      <c r="H778" s="12" t="str">
        <f ca="1">IF($A778="","",IFERROR(SUMIF(INDIRECT("'"&amp;'Template Setup'!$C$5&amp;"'!C:C"),$A778,INDIRECT("'"&amp;'Template Setup'!$C$5&amp;"'!A:A")),0))</f>
        <v/>
      </c>
      <c r="I778" s="12" t="str">
        <f ca="1">IF($A778="","",IFERROR(SUMIF(INDIRECT("'"&amp;'Template Setup'!$C$6&amp;"'!C:C"),$A778,INDIRECT("'"&amp;'Template Setup'!$C$6&amp;"'!A:A")),0))</f>
        <v/>
      </c>
      <c r="J778" s="12" t="str">
        <f ca="1">IF($A778="","",IFERROR(SUMIF(INDIRECT("'"&amp;'Template Setup'!$C$7&amp;"'!C:C"),$A778,INDIRECT("'"&amp;'Template Setup'!$C$7&amp;"'!A:A")),0))</f>
        <v/>
      </c>
      <c r="K778" s="12" t="str">
        <f ca="1">IF($A778="","",IFERROR(SUMIF(INDIRECT("'"&amp;'Template Setup'!$C$8&amp;"'!C:C"),$A778,INDIRECT("'"&amp;'Template Setup'!$C$8&amp;"'!A:A")),0))</f>
        <v/>
      </c>
      <c r="L778" s="11" t="str">
        <f>IF($A778="","",IFERROR(VALUE(MID(TRIM('Template Setup'!$C$4),FIND("-",TRIM('Template Setup'!$C$4))+1,10)),0))</f>
        <v/>
      </c>
      <c r="M778" s="11" t="str">
        <f>IF($A778="","",IFERROR(VALUE(MID(TRIM('Template Setup'!$C$5),FIND("-",TRIM('Template Setup'!$C$5))+1,10)),0))</f>
        <v/>
      </c>
      <c r="N778" s="11" t="str">
        <f>IF($A778="","",IFERROR(VALUE(MID(TRIM('Template Setup'!$C$6),FIND("-",TRIM('Template Setup'!$C$6))+1,10)),0))</f>
        <v/>
      </c>
      <c r="O778" s="11" t="str">
        <f>IF($A778="","",IFERROR(VALUE(MID(TRIM('Template Setup'!$C$7),FIND("-",TRIM('Template Setup'!$C$7))+1,10)),0))</f>
        <v/>
      </c>
      <c r="P778" s="11" t="str">
        <f>IF($A778="","",IFERROR(VALUE(MID(TRIM('Template Setup'!$C$8),FIND("-",TRIM('Template Setup'!$C$8))+1,10)),0))</f>
        <v/>
      </c>
      <c r="Q778" s="9" t="str">
        <f>IF($A778="","",$A778&amp;"-"&amp;'Template Setup'!$C$16)</f>
        <v/>
      </c>
      <c r="R778" s="24" t="str">
        <f t="shared" si="49"/>
        <v/>
      </c>
      <c r="S778" s="24"/>
      <c r="T778" s="24" t="str">
        <f t="shared" si="50"/>
        <v/>
      </c>
      <c r="U778" s="6" t="str">
        <f t="shared" si="48"/>
        <v/>
      </c>
    </row>
    <row r="779" spans="1:21">
      <c r="A779" s="11"/>
      <c r="B779" s="11"/>
      <c r="C779" s="11"/>
      <c r="D779" s="11" t="str">
        <f>IF($A779="","",_xlfn.TEXTJOIN(", ",TRUE,IF($G779&gt;0,'Template Setup'!$C$4,""),IF($H779&gt;0,'Template Setup'!$C$5,""),IF($I779&gt;0,'Template Setup'!$C$6,""),IF($J779&gt;0,'Template Setup'!$C$7,""),IF($K779&gt;0,'Template Setup'!$C$8,"")))</f>
        <v/>
      </c>
      <c r="E779" s="6" t="str" cm="1">
        <f t="array" ref="E779">IF($A779="","",_xlfn.LET(_xlpm.sheets,CHOOSE({1,2,3,4,5},'Template Setup'!$C$4,'Template Setup'!$C$5,'Template Setup'!$C$6,'Template Setup'!$C$7,'Template Setup'!$C$8),_xlpm.nums,CHOOSE({1,2,3,4,5},$L779,$M779,$N779,$O779,$P779),_xlpm.qtys,CHOOSE({1,2,3,4,5},$G779,$H779,$I779,$J779,$K779),_xlpm.validNums,_xlfn._xlws.FILTER(_xlpm.nums,_xlpm.qtys&gt;0),_xlpm.validSheets,_xlfn._xlws.FILTER(_xlpm.sheets,_xlpm.qtys&gt;0),_xlpm.mx,IFERROR(MAX(_xlpm.validNums),0),IF(_xlpm.mx=0,"",INDEX(_xlpm.validSheets,MATCH(_xlpm.mx,_xlpm.validNums,0))&amp;" (+"&amp;$R779&amp;")")))</f>
        <v/>
      </c>
      <c r="F779" s="11" t="str">
        <f t="shared" si="51"/>
        <v/>
      </c>
      <c r="G779" s="12" t="str">
        <f ca="1">IF($A779="","",IFERROR(SUMIF(INDIRECT("'"&amp;'Template Setup'!$C$4&amp;"'!C:C"),$A779,INDIRECT("'"&amp;'Template Setup'!$C$4&amp;"'!A:A")),0))</f>
        <v/>
      </c>
      <c r="H779" s="12" t="str">
        <f ca="1">IF($A779="","",IFERROR(SUMIF(INDIRECT("'"&amp;'Template Setup'!$C$5&amp;"'!C:C"),$A779,INDIRECT("'"&amp;'Template Setup'!$C$5&amp;"'!A:A")),0))</f>
        <v/>
      </c>
      <c r="I779" s="12" t="str">
        <f ca="1">IF($A779="","",IFERROR(SUMIF(INDIRECT("'"&amp;'Template Setup'!$C$6&amp;"'!C:C"),$A779,INDIRECT("'"&amp;'Template Setup'!$C$6&amp;"'!A:A")),0))</f>
        <v/>
      </c>
      <c r="J779" s="12" t="str">
        <f ca="1">IF($A779="","",IFERROR(SUMIF(INDIRECT("'"&amp;'Template Setup'!$C$7&amp;"'!C:C"),$A779,INDIRECT("'"&amp;'Template Setup'!$C$7&amp;"'!A:A")),0))</f>
        <v/>
      </c>
      <c r="K779" s="12" t="str">
        <f ca="1">IF($A779="","",IFERROR(SUMIF(INDIRECT("'"&amp;'Template Setup'!$C$8&amp;"'!C:C"),$A779,INDIRECT("'"&amp;'Template Setup'!$C$8&amp;"'!A:A")),0))</f>
        <v/>
      </c>
      <c r="L779" s="11" t="str">
        <f>IF($A779="","",IFERROR(VALUE(MID(TRIM('Template Setup'!$C$4),FIND("-",TRIM('Template Setup'!$C$4))+1,10)),0))</f>
        <v/>
      </c>
      <c r="M779" s="11" t="str">
        <f>IF($A779="","",IFERROR(VALUE(MID(TRIM('Template Setup'!$C$5),FIND("-",TRIM('Template Setup'!$C$5))+1,10)),0))</f>
        <v/>
      </c>
      <c r="N779" s="11" t="str">
        <f>IF($A779="","",IFERROR(VALUE(MID(TRIM('Template Setup'!$C$6),FIND("-",TRIM('Template Setup'!$C$6))+1,10)),0))</f>
        <v/>
      </c>
      <c r="O779" s="11" t="str">
        <f>IF($A779="","",IFERROR(VALUE(MID(TRIM('Template Setup'!$C$7),FIND("-",TRIM('Template Setup'!$C$7))+1,10)),0))</f>
        <v/>
      </c>
      <c r="P779" s="11" t="str">
        <f>IF($A779="","",IFERROR(VALUE(MID(TRIM('Template Setup'!$C$8),FIND("-",TRIM('Template Setup'!$C$8))+1,10)),0))</f>
        <v/>
      </c>
      <c r="Q779" s="9" t="str">
        <f>IF($A779="","",$A779&amp;"-"&amp;'Template Setup'!$C$16)</f>
        <v/>
      </c>
      <c r="R779" s="24" t="str">
        <f t="shared" si="49"/>
        <v/>
      </c>
      <c r="S779" s="24"/>
      <c r="T779" s="24" t="str">
        <f t="shared" si="50"/>
        <v/>
      </c>
      <c r="U779" s="6" t="str">
        <f t="shared" si="48"/>
        <v/>
      </c>
    </row>
    <row r="780" spans="1:21">
      <c r="A780" s="11"/>
      <c r="B780" s="11"/>
      <c r="C780" s="11"/>
      <c r="D780" s="11" t="str">
        <f>IF($A780="","",_xlfn.TEXTJOIN(", ",TRUE,IF($G780&gt;0,'Template Setup'!$C$4,""),IF($H780&gt;0,'Template Setup'!$C$5,""),IF($I780&gt;0,'Template Setup'!$C$6,""),IF($J780&gt;0,'Template Setup'!$C$7,""),IF($K780&gt;0,'Template Setup'!$C$8,"")))</f>
        <v/>
      </c>
      <c r="E780" s="6" t="str" cm="1">
        <f t="array" ref="E780">IF($A780="","",_xlfn.LET(_xlpm.sheets,CHOOSE({1,2,3,4,5},'Template Setup'!$C$4,'Template Setup'!$C$5,'Template Setup'!$C$6,'Template Setup'!$C$7,'Template Setup'!$C$8),_xlpm.nums,CHOOSE({1,2,3,4,5},$L780,$M780,$N780,$O780,$P780),_xlpm.qtys,CHOOSE({1,2,3,4,5},$G780,$H780,$I780,$J780,$K780),_xlpm.validNums,_xlfn._xlws.FILTER(_xlpm.nums,_xlpm.qtys&gt;0),_xlpm.validSheets,_xlfn._xlws.FILTER(_xlpm.sheets,_xlpm.qtys&gt;0),_xlpm.mx,IFERROR(MAX(_xlpm.validNums),0),IF(_xlpm.mx=0,"",INDEX(_xlpm.validSheets,MATCH(_xlpm.mx,_xlpm.validNums,0))&amp;" (+"&amp;$R780&amp;")")))</f>
        <v/>
      </c>
      <c r="F780" s="11" t="str">
        <f t="shared" si="51"/>
        <v/>
      </c>
      <c r="G780" s="12" t="str">
        <f ca="1">IF($A780="","",IFERROR(SUMIF(INDIRECT("'"&amp;'Template Setup'!$C$4&amp;"'!C:C"),$A780,INDIRECT("'"&amp;'Template Setup'!$C$4&amp;"'!A:A")),0))</f>
        <v/>
      </c>
      <c r="H780" s="12" t="str">
        <f ca="1">IF($A780="","",IFERROR(SUMIF(INDIRECT("'"&amp;'Template Setup'!$C$5&amp;"'!C:C"),$A780,INDIRECT("'"&amp;'Template Setup'!$C$5&amp;"'!A:A")),0))</f>
        <v/>
      </c>
      <c r="I780" s="12" t="str">
        <f ca="1">IF($A780="","",IFERROR(SUMIF(INDIRECT("'"&amp;'Template Setup'!$C$6&amp;"'!C:C"),$A780,INDIRECT("'"&amp;'Template Setup'!$C$6&amp;"'!A:A")),0))</f>
        <v/>
      </c>
      <c r="J780" s="12" t="str">
        <f ca="1">IF($A780="","",IFERROR(SUMIF(INDIRECT("'"&amp;'Template Setup'!$C$7&amp;"'!C:C"),$A780,INDIRECT("'"&amp;'Template Setup'!$C$7&amp;"'!A:A")),0))</f>
        <v/>
      </c>
      <c r="K780" s="12" t="str">
        <f ca="1">IF($A780="","",IFERROR(SUMIF(INDIRECT("'"&amp;'Template Setup'!$C$8&amp;"'!C:C"),$A780,INDIRECT("'"&amp;'Template Setup'!$C$8&amp;"'!A:A")),0))</f>
        <v/>
      </c>
      <c r="L780" s="11" t="str">
        <f>IF($A780="","",IFERROR(VALUE(MID(TRIM('Template Setup'!$C$4),FIND("-",TRIM('Template Setup'!$C$4))+1,10)),0))</f>
        <v/>
      </c>
      <c r="M780" s="11" t="str">
        <f>IF($A780="","",IFERROR(VALUE(MID(TRIM('Template Setup'!$C$5),FIND("-",TRIM('Template Setup'!$C$5))+1,10)),0))</f>
        <v/>
      </c>
      <c r="N780" s="11" t="str">
        <f>IF($A780="","",IFERROR(VALUE(MID(TRIM('Template Setup'!$C$6),FIND("-",TRIM('Template Setup'!$C$6))+1,10)),0))</f>
        <v/>
      </c>
      <c r="O780" s="11" t="str">
        <f>IF($A780="","",IFERROR(VALUE(MID(TRIM('Template Setup'!$C$7),FIND("-",TRIM('Template Setup'!$C$7))+1,10)),0))</f>
        <v/>
      </c>
      <c r="P780" s="11" t="str">
        <f>IF($A780="","",IFERROR(VALUE(MID(TRIM('Template Setup'!$C$8),FIND("-",TRIM('Template Setup'!$C$8))+1,10)),0))</f>
        <v/>
      </c>
      <c r="Q780" s="9" t="str">
        <f>IF($A780="","",$A780&amp;"-"&amp;'Template Setup'!$C$16)</f>
        <v/>
      </c>
      <c r="R780" s="24" t="str">
        <f t="shared" si="49"/>
        <v/>
      </c>
      <c r="S780" s="24"/>
      <c r="T780" s="24" t="str">
        <f t="shared" si="50"/>
        <v/>
      </c>
      <c r="U780" s="6" t="str">
        <f t="shared" si="48"/>
        <v/>
      </c>
    </row>
    <row r="781" spans="1:21">
      <c r="A781" s="11"/>
      <c r="B781" s="11"/>
      <c r="C781" s="11"/>
      <c r="D781" s="11" t="str">
        <f>IF($A781="","",_xlfn.TEXTJOIN(", ",TRUE,IF($G781&gt;0,'Template Setup'!$C$4,""),IF($H781&gt;0,'Template Setup'!$C$5,""),IF($I781&gt;0,'Template Setup'!$C$6,""),IF($J781&gt;0,'Template Setup'!$C$7,""),IF($K781&gt;0,'Template Setup'!$C$8,"")))</f>
        <v/>
      </c>
      <c r="E781" s="6" t="str" cm="1">
        <f t="array" ref="E781">IF($A781="","",_xlfn.LET(_xlpm.sheets,CHOOSE({1,2,3,4,5},'Template Setup'!$C$4,'Template Setup'!$C$5,'Template Setup'!$C$6,'Template Setup'!$C$7,'Template Setup'!$C$8),_xlpm.nums,CHOOSE({1,2,3,4,5},$L781,$M781,$N781,$O781,$P781),_xlpm.qtys,CHOOSE({1,2,3,4,5},$G781,$H781,$I781,$J781,$K781),_xlpm.validNums,_xlfn._xlws.FILTER(_xlpm.nums,_xlpm.qtys&gt;0),_xlpm.validSheets,_xlfn._xlws.FILTER(_xlpm.sheets,_xlpm.qtys&gt;0),_xlpm.mx,IFERROR(MAX(_xlpm.validNums),0),IF(_xlpm.mx=0,"",INDEX(_xlpm.validSheets,MATCH(_xlpm.mx,_xlpm.validNums,0))&amp;" (+"&amp;$R781&amp;")")))</f>
        <v/>
      </c>
      <c r="F781" s="11" t="str">
        <f t="shared" si="51"/>
        <v/>
      </c>
      <c r="G781" s="12" t="str">
        <f ca="1">IF($A781="","",IFERROR(SUMIF(INDIRECT("'"&amp;'Template Setup'!$C$4&amp;"'!C:C"),$A781,INDIRECT("'"&amp;'Template Setup'!$C$4&amp;"'!A:A")),0))</f>
        <v/>
      </c>
      <c r="H781" s="12" t="str">
        <f ca="1">IF($A781="","",IFERROR(SUMIF(INDIRECT("'"&amp;'Template Setup'!$C$5&amp;"'!C:C"),$A781,INDIRECT("'"&amp;'Template Setup'!$C$5&amp;"'!A:A")),0))</f>
        <v/>
      </c>
      <c r="I781" s="12" t="str">
        <f ca="1">IF($A781="","",IFERROR(SUMIF(INDIRECT("'"&amp;'Template Setup'!$C$6&amp;"'!C:C"),$A781,INDIRECT("'"&amp;'Template Setup'!$C$6&amp;"'!A:A")),0))</f>
        <v/>
      </c>
      <c r="J781" s="12" t="str">
        <f ca="1">IF($A781="","",IFERROR(SUMIF(INDIRECT("'"&amp;'Template Setup'!$C$7&amp;"'!C:C"),$A781,INDIRECT("'"&amp;'Template Setup'!$C$7&amp;"'!A:A")),0))</f>
        <v/>
      </c>
      <c r="K781" s="12" t="str">
        <f ca="1">IF($A781="","",IFERROR(SUMIF(INDIRECT("'"&amp;'Template Setup'!$C$8&amp;"'!C:C"),$A781,INDIRECT("'"&amp;'Template Setup'!$C$8&amp;"'!A:A")),0))</f>
        <v/>
      </c>
      <c r="L781" s="11" t="str">
        <f>IF($A781="","",IFERROR(VALUE(MID(TRIM('Template Setup'!$C$4),FIND("-",TRIM('Template Setup'!$C$4))+1,10)),0))</f>
        <v/>
      </c>
      <c r="M781" s="11" t="str">
        <f>IF($A781="","",IFERROR(VALUE(MID(TRIM('Template Setup'!$C$5),FIND("-",TRIM('Template Setup'!$C$5))+1,10)),0))</f>
        <v/>
      </c>
      <c r="N781" s="11" t="str">
        <f>IF($A781="","",IFERROR(VALUE(MID(TRIM('Template Setup'!$C$6),FIND("-",TRIM('Template Setup'!$C$6))+1,10)),0))</f>
        <v/>
      </c>
      <c r="O781" s="11" t="str">
        <f>IF($A781="","",IFERROR(VALUE(MID(TRIM('Template Setup'!$C$7),FIND("-",TRIM('Template Setup'!$C$7))+1,10)),0))</f>
        <v/>
      </c>
      <c r="P781" s="11" t="str">
        <f>IF($A781="","",IFERROR(VALUE(MID(TRIM('Template Setup'!$C$8),FIND("-",TRIM('Template Setup'!$C$8))+1,10)),0))</f>
        <v/>
      </c>
      <c r="Q781" s="9" t="str">
        <f>IF($A781="","",$A781&amp;"-"&amp;'Template Setup'!$C$16)</f>
        <v/>
      </c>
      <c r="R781" s="24" t="str">
        <f t="shared" si="49"/>
        <v/>
      </c>
      <c r="S781" s="24"/>
      <c r="T781" s="24" t="str">
        <f t="shared" si="50"/>
        <v/>
      </c>
      <c r="U781" s="6" t="str">
        <f t="shared" si="48"/>
        <v/>
      </c>
    </row>
    <row r="782" spans="1:21">
      <c r="A782" s="11"/>
      <c r="B782" s="11"/>
      <c r="C782" s="11"/>
      <c r="D782" s="11" t="str">
        <f>IF($A782="","",_xlfn.TEXTJOIN(", ",TRUE,IF($G782&gt;0,'Template Setup'!$C$4,""),IF($H782&gt;0,'Template Setup'!$C$5,""),IF($I782&gt;0,'Template Setup'!$C$6,""),IF($J782&gt;0,'Template Setup'!$C$7,""),IF($K782&gt;0,'Template Setup'!$C$8,"")))</f>
        <v/>
      </c>
      <c r="E782" s="6" t="str" cm="1">
        <f t="array" ref="E782">IF($A782="","",_xlfn.LET(_xlpm.sheets,CHOOSE({1,2,3,4,5},'Template Setup'!$C$4,'Template Setup'!$C$5,'Template Setup'!$C$6,'Template Setup'!$C$7,'Template Setup'!$C$8),_xlpm.nums,CHOOSE({1,2,3,4,5},$L782,$M782,$N782,$O782,$P782),_xlpm.qtys,CHOOSE({1,2,3,4,5},$G782,$H782,$I782,$J782,$K782),_xlpm.validNums,_xlfn._xlws.FILTER(_xlpm.nums,_xlpm.qtys&gt;0),_xlpm.validSheets,_xlfn._xlws.FILTER(_xlpm.sheets,_xlpm.qtys&gt;0),_xlpm.mx,IFERROR(MAX(_xlpm.validNums),0),IF(_xlpm.mx=0,"",INDEX(_xlpm.validSheets,MATCH(_xlpm.mx,_xlpm.validNums,0))&amp;" (+"&amp;$R782&amp;")")))</f>
        <v/>
      </c>
      <c r="F782" s="11" t="str">
        <f t="shared" si="51"/>
        <v/>
      </c>
      <c r="G782" s="12" t="str">
        <f ca="1">IF($A782="","",IFERROR(SUMIF(INDIRECT("'"&amp;'Template Setup'!$C$4&amp;"'!C:C"),$A782,INDIRECT("'"&amp;'Template Setup'!$C$4&amp;"'!A:A")),0))</f>
        <v/>
      </c>
      <c r="H782" s="12" t="str">
        <f ca="1">IF($A782="","",IFERROR(SUMIF(INDIRECT("'"&amp;'Template Setup'!$C$5&amp;"'!C:C"),$A782,INDIRECT("'"&amp;'Template Setup'!$C$5&amp;"'!A:A")),0))</f>
        <v/>
      </c>
      <c r="I782" s="12" t="str">
        <f ca="1">IF($A782="","",IFERROR(SUMIF(INDIRECT("'"&amp;'Template Setup'!$C$6&amp;"'!C:C"),$A782,INDIRECT("'"&amp;'Template Setup'!$C$6&amp;"'!A:A")),0))</f>
        <v/>
      </c>
      <c r="J782" s="12" t="str">
        <f ca="1">IF($A782="","",IFERROR(SUMIF(INDIRECT("'"&amp;'Template Setup'!$C$7&amp;"'!C:C"),$A782,INDIRECT("'"&amp;'Template Setup'!$C$7&amp;"'!A:A")),0))</f>
        <v/>
      </c>
      <c r="K782" s="12" t="str">
        <f ca="1">IF($A782="","",IFERROR(SUMIF(INDIRECT("'"&amp;'Template Setup'!$C$8&amp;"'!C:C"),$A782,INDIRECT("'"&amp;'Template Setup'!$C$8&amp;"'!A:A")),0))</f>
        <v/>
      </c>
      <c r="L782" s="11" t="str">
        <f>IF($A782="","",IFERROR(VALUE(MID(TRIM('Template Setup'!$C$4),FIND("-",TRIM('Template Setup'!$C$4))+1,10)),0))</f>
        <v/>
      </c>
      <c r="M782" s="11" t="str">
        <f>IF($A782="","",IFERROR(VALUE(MID(TRIM('Template Setup'!$C$5),FIND("-",TRIM('Template Setup'!$C$5))+1,10)),0))</f>
        <v/>
      </c>
      <c r="N782" s="11" t="str">
        <f>IF($A782="","",IFERROR(VALUE(MID(TRIM('Template Setup'!$C$6),FIND("-",TRIM('Template Setup'!$C$6))+1,10)),0))</f>
        <v/>
      </c>
      <c r="O782" s="11" t="str">
        <f>IF($A782="","",IFERROR(VALUE(MID(TRIM('Template Setup'!$C$7),FIND("-",TRIM('Template Setup'!$C$7))+1,10)),0))</f>
        <v/>
      </c>
      <c r="P782" s="11" t="str">
        <f>IF($A782="","",IFERROR(VALUE(MID(TRIM('Template Setup'!$C$8),FIND("-",TRIM('Template Setup'!$C$8))+1,10)),0))</f>
        <v/>
      </c>
      <c r="Q782" s="9" t="str">
        <f>IF($A782="","",$A782&amp;"-"&amp;'Template Setup'!$C$16)</f>
        <v/>
      </c>
      <c r="R782" s="24" t="str">
        <f t="shared" si="49"/>
        <v/>
      </c>
      <c r="S782" s="24"/>
      <c r="T782" s="24" t="str">
        <f t="shared" si="50"/>
        <v/>
      </c>
      <c r="U782" s="6" t="str">
        <f t="shared" si="48"/>
        <v/>
      </c>
    </row>
    <row r="783" spans="1:21">
      <c r="A783" s="11"/>
      <c r="B783" s="11"/>
      <c r="C783" s="11"/>
      <c r="D783" s="11" t="str">
        <f>IF($A783="","",_xlfn.TEXTJOIN(", ",TRUE,IF($G783&gt;0,'Template Setup'!$C$4,""),IF($H783&gt;0,'Template Setup'!$C$5,""),IF($I783&gt;0,'Template Setup'!$C$6,""),IF($J783&gt;0,'Template Setup'!$C$7,""),IF($K783&gt;0,'Template Setup'!$C$8,"")))</f>
        <v/>
      </c>
      <c r="E783" s="6" t="str" cm="1">
        <f t="array" ref="E783">IF($A783="","",_xlfn.LET(_xlpm.sheets,CHOOSE({1,2,3,4,5},'Template Setup'!$C$4,'Template Setup'!$C$5,'Template Setup'!$C$6,'Template Setup'!$C$7,'Template Setup'!$C$8),_xlpm.nums,CHOOSE({1,2,3,4,5},$L783,$M783,$N783,$O783,$P783),_xlpm.qtys,CHOOSE({1,2,3,4,5},$G783,$H783,$I783,$J783,$K783),_xlpm.validNums,_xlfn._xlws.FILTER(_xlpm.nums,_xlpm.qtys&gt;0),_xlpm.validSheets,_xlfn._xlws.FILTER(_xlpm.sheets,_xlpm.qtys&gt;0),_xlpm.mx,IFERROR(MAX(_xlpm.validNums),0),IF(_xlpm.mx=0,"",INDEX(_xlpm.validSheets,MATCH(_xlpm.mx,_xlpm.validNums,0))&amp;" (+"&amp;$R783&amp;")")))</f>
        <v/>
      </c>
      <c r="F783" s="11" t="str">
        <f t="shared" si="51"/>
        <v/>
      </c>
      <c r="G783" s="12" t="str">
        <f ca="1">IF($A783="","",IFERROR(SUMIF(INDIRECT("'"&amp;'Template Setup'!$C$4&amp;"'!C:C"),$A783,INDIRECT("'"&amp;'Template Setup'!$C$4&amp;"'!A:A")),0))</f>
        <v/>
      </c>
      <c r="H783" s="12" t="str">
        <f ca="1">IF($A783="","",IFERROR(SUMIF(INDIRECT("'"&amp;'Template Setup'!$C$5&amp;"'!C:C"),$A783,INDIRECT("'"&amp;'Template Setup'!$C$5&amp;"'!A:A")),0))</f>
        <v/>
      </c>
      <c r="I783" s="12" t="str">
        <f ca="1">IF($A783="","",IFERROR(SUMIF(INDIRECT("'"&amp;'Template Setup'!$C$6&amp;"'!C:C"),$A783,INDIRECT("'"&amp;'Template Setup'!$C$6&amp;"'!A:A")),0))</f>
        <v/>
      </c>
      <c r="J783" s="12" t="str">
        <f ca="1">IF($A783="","",IFERROR(SUMIF(INDIRECT("'"&amp;'Template Setup'!$C$7&amp;"'!C:C"),$A783,INDIRECT("'"&amp;'Template Setup'!$C$7&amp;"'!A:A")),0))</f>
        <v/>
      </c>
      <c r="K783" s="12" t="str">
        <f ca="1">IF($A783="","",IFERROR(SUMIF(INDIRECT("'"&amp;'Template Setup'!$C$8&amp;"'!C:C"),$A783,INDIRECT("'"&amp;'Template Setup'!$C$8&amp;"'!A:A")),0))</f>
        <v/>
      </c>
      <c r="L783" s="11" t="str">
        <f>IF($A783="","",IFERROR(VALUE(MID(TRIM('Template Setup'!$C$4),FIND("-",TRIM('Template Setup'!$C$4))+1,10)),0))</f>
        <v/>
      </c>
      <c r="M783" s="11" t="str">
        <f>IF($A783="","",IFERROR(VALUE(MID(TRIM('Template Setup'!$C$5),FIND("-",TRIM('Template Setup'!$C$5))+1,10)),0))</f>
        <v/>
      </c>
      <c r="N783" s="11" t="str">
        <f>IF($A783="","",IFERROR(VALUE(MID(TRIM('Template Setup'!$C$6),FIND("-",TRIM('Template Setup'!$C$6))+1,10)),0))</f>
        <v/>
      </c>
      <c r="O783" s="11" t="str">
        <f>IF($A783="","",IFERROR(VALUE(MID(TRIM('Template Setup'!$C$7),FIND("-",TRIM('Template Setup'!$C$7))+1,10)),0))</f>
        <v/>
      </c>
      <c r="P783" s="11" t="str">
        <f>IF($A783="","",IFERROR(VALUE(MID(TRIM('Template Setup'!$C$8),FIND("-",TRIM('Template Setup'!$C$8))+1,10)),0))</f>
        <v/>
      </c>
      <c r="Q783" s="9" t="str">
        <f>IF($A783="","",$A783&amp;"-"&amp;'Template Setup'!$C$16)</f>
        <v/>
      </c>
      <c r="R783" s="24" t="str">
        <f t="shared" si="49"/>
        <v/>
      </c>
      <c r="S783" s="24"/>
      <c r="T783" s="24" t="str">
        <f t="shared" si="50"/>
        <v/>
      </c>
      <c r="U783" s="6" t="str">
        <f t="shared" si="48"/>
        <v/>
      </c>
    </row>
    <row r="784" spans="1:21">
      <c r="A784" s="11"/>
      <c r="B784" s="11"/>
      <c r="C784" s="11"/>
      <c r="D784" s="11" t="str">
        <f>IF($A784="","",_xlfn.TEXTJOIN(", ",TRUE,IF($G784&gt;0,'Template Setup'!$C$4,""),IF($H784&gt;0,'Template Setup'!$C$5,""),IF($I784&gt;0,'Template Setup'!$C$6,""),IF($J784&gt;0,'Template Setup'!$C$7,""),IF($K784&gt;0,'Template Setup'!$C$8,"")))</f>
        <v/>
      </c>
      <c r="E784" s="6" t="str" cm="1">
        <f t="array" ref="E784">IF($A784="","",_xlfn.LET(_xlpm.sheets,CHOOSE({1,2,3,4,5},'Template Setup'!$C$4,'Template Setup'!$C$5,'Template Setup'!$C$6,'Template Setup'!$C$7,'Template Setup'!$C$8),_xlpm.nums,CHOOSE({1,2,3,4,5},$L784,$M784,$N784,$O784,$P784),_xlpm.qtys,CHOOSE({1,2,3,4,5},$G784,$H784,$I784,$J784,$K784),_xlpm.validNums,_xlfn._xlws.FILTER(_xlpm.nums,_xlpm.qtys&gt;0),_xlpm.validSheets,_xlfn._xlws.FILTER(_xlpm.sheets,_xlpm.qtys&gt;0),_xlpm.mx,IFERROR(MAX(_xlpm.validNums),0),IF(_xlpm.mx=0,"",INDEX(_xlpm.validSheets,MATCH(_xlpm.mx,_xlpm.validNums,0))&amp;" (+"&amp;$R784&amp;")")))</f>
        <v/>
      </c>
      <c r="F784" s="11" t="str">
        <f t="shared" si="51"/>
        <v/>
      </c>
      <c r="G784" s="12" t="str">
        <f ca="1">IF($A784="","",IFERROR(SUMIF(INDIRECT("'"&amp;'Template Setup'!$C$4&amp;"'!C:C"),$A784,INDIRECT("'"&amp;'Template Setup'!$C$4&amp;"'!A:A")),0))</f>
        <v/>
      </c>
      <c r="H784" s="12" t="str">
        <f ca="1">IF($A784="","",IFERROR(SUMIF(INDIRECT("'"&amp;'Template Setup'!$C$5&amp;"'!C:C"),$A784,INDIRECT("'"&amp;'Template Setup'!$C$5&amp;"'!A:A")),0))</f>
        <v/>
      </c>
      <c r="I784" s="12" t="str">
        <f ca="1">IF($A784="","",IFERROR(SUMIF(INDIRECT("'"&amp;'Template Setup'!$C$6&amp;"'!C:C"),$A784,INDIRECT("'"&amp;'Template Setup'!$C$6&amp;"'!A:A")),0))</f>
        <v/>
      </c>
      <c r="J784" s="12" t="str">
        <f ca="1">IF($A784="","",IFERROR(SUMIF(INDIRECT("'"&amp;'Template Setup'!$C$7&amp;"'!C:C"),$A784,INDIRECT("'"&amp;'Template Setup'!$C$7&amp;"'!A:A")),0))</f>
        <v/>
      </c>
      <c r="K784" s="12" t="str">
        <f ca="1">IF($A784="","",IFERROR(SUMIF(INDIRECT("'"&amp;'Template Setup'!$C$8&amp;"'!C:C"),$A784,INDIRECT("'"&amp;'Template Setup'!$C$8&amp;"'!A:A")),0))</f>
        <v/>
      </c>
      <c r="L784" s="11" t="str">
        <f>IF($A784="","",IFERROR(VALUE(MID(TRIM('Template Setup'!$C$4),FIND("-",TRIM('Template Setup'!$C$4))+1,10)),0))</f>
        <v/>
      </c>
      <c r="M784" s="11" t="str">
        <f>IF($A784="","",IFERROR(VALUE(MID(TRIM('Template Setup'!$C$5),FIND("-",TRIM('Template Setup'!$C$5))+1,10)),0))</f>
        <v/>
      </c>
      <c r="N784" s="11" t="str">
        <f>IF($A784="","",IFERROR(VALUE(MID(TRIM('Template Setup'!$C$6),FIND("-",TRIM('Template Setup'!$C$6))+1,10)),0))</f>
        <v/>
      </c>
      <c r="O784" s="11" t="str">
        <f>IF($A784="","",IFERROR(VALUE(MID(TRIM('Template Setup'!$C$7),FIND("-",TRIM('Template Setup'!$C$7))+1,10)),0))</f>
        <v/>
      </c>
      <c r="P784" s="11" t="str">
        <f>IF($A784="","",IFERROR(VALUE(MID(TRIM('Template Setup'!$C$8),FIND("-",TRIM('Template Setup'!$C$8))+1,10)),0))</f>
        <v/>
      </c>
      <c r="Q784" s="9" t="str">
        <f>IF($A784="","",$A784&amp;"-"&amp;'Template Setup'!$C$16)</f>
        <v/>
      </c>
      <c r="R784" s="24" t="str">
        <f t="shared" si="49"/>
        <v/>
      </c>
      <c r="S784" s="24"/>
      <c r="T784" s="24" t="str">
        <f t="shared" si="50"/>
        <v/>
      </c>
      <c r="U784" s="6" t="str">
        <f t="shared" si="48"/>
        <v/>
      </c>
    </row>
    <row r="785" spans="1:21">
      <c r="A785" s="11"/>
      <c r="B785" s="11"/>
      <c r="C785" s="11"/>
      <c r="D785" s="11" t="str">
        <f>IF($A785="","",_xlfn.TEXTJOIN(", ",TRUE,IF($G785&gt;0,'Template Setup'!$C$4,""),IF($H785&gt;0,'Template Setup'!$C$5,""),IF($I785&gt;0,'Template Setup'!$C$6,""),IF($J785&gt;0,'Template Setup'!$C$7,""),IF($K785&gt;0,'Template Setup'!$C$8,"")))</f>
        <v/>
      </c>
      <c r="E785" s="6" t="str" cm="1">
        <f t="array" ref="E785">IF($A785="","",_xlfn.LET(_xlpm.sheets,CHOOSE({1,2,3,4,5},'Template Setup'!$C$4,'Template Setup'!$C$5,'Template Setup'!$C$6,'Template Setup'!$C$7,'Template Setup'!$C$8),_xlpm.nums,CHOOSE({1,2,3,4,5},$L785,$M785,$N785,$O785,$P785),_xlpm.qtys,CHOOSE({1,2,3,4,5},$G785,$H785,$I785,$J785,$K785),_xlpm.validNums,_xlfn._xlws.FILTER(_xlpm.nums,_xlpm.qtys&gt;0),_xlpm.validSheets,_xlfn._xlws.FILTER(_xlpm.sheets,_xlpm.qtys&gt;0),_xlpm.mx,IFERROR(MAX(_xlpm.validNums),0),IF(_xlpm.mx=0,"",INDEX(_xlpm.validSheets,MATCH(_xlpm.mx,_xlpm.validNums,0))&amp;" (+"&amp;$R785&amp;")")))</f>
        <v/>
      </c>
      <c r="F785" s="11" t="str">
        <f t="shared" si="51"/>
        <v/>
      </c>
      <c r="G785" s="12" t="str">
        <f ca="1">IF($A785="","",IFERROR(SUMIF(INDIRECT("'"&amp;'Template Setup'!$C$4&amp;"'!C:C"),$A785,INDIRECT("'"&amp;'Template Setup'!$C$4&amp;"'!A:A")),0))</f>
        <v/>
      </c>
      <c r="H785" s="12" t="str">
        <f ca="1">IF($A785="","",IFERROR(SUMIF(INDIRECT("'"&amp;'Template Setup'!$C$5&amp;"'!C:C"),$A785,INDIRECT("'"&amp;'Template Setup'!$C$5&amp;"'!A:A")),0))</f>
        <v/>
      </c>
      <c r="I785" s="12" t="str">
        <f ca="1">IF($A785="","",IFERROR(SUMIF(INDIRECT("'"&amp;'Template Setup'!$C$6&amp;"'!C:C"),$A785,INDIRECT("'"&amp;'Template Setup'!$C$6&amp;"'!A:A")),0))</f>
        <v/>
      </c>
      <c r="J785" s="12" t="str">
        <f ca="1">IF($A785="","",IFERROR(SUMIF(INDIRECT("'"&amp;'Template Setup'!$C$7&amp;"'!C:C"),$A785,INDIRECT("'"&amp;'Template Setup'!$C$7&amp;"'!A:A")),0))</f>
        <v/>
      </c>
      <c r="K785" s="12" t="str">
        <f ca="1">IF($A785="","",IFERROR(SUMIF(INDIRECT("'"&amp;'Template Setup'!$C$8&amp;"'!C:C"),$A785,INDIRECT("'"&amp;'Template Setup'!$C$8&amp;"'!A:A")),0))</f>
        <v/>
      </c>
      <c r="L785" s="11" t="str">
        <f>IF($A785="","",IFERROR(VALUE(MID(TRIM('Template Setup'!$C$4),FIND("-",TRIM('Template Setup'!$C$4))+1,10)),0))</f>
        <v/>
      </c>
      <c r="M785" s="11" t="str">
        <f>IF($A785="","",IFERROR(VALUE(MID(TRIM('Template Setup'!$C$5),FIND("-",TRIM('Template Setup'!$C$5))+1,10)),0))</f>
        <v/>
      </c>
      <c r="N785" s="11" t="str">
        <f>IF($A785="","",IFERROR(VALUE(MID(TRIM('Template Setup'!$C$6),FIND("-",TRIM('Template Setup'!$C$6))+1,10)),0))</f>
        <v/>
      </c>
      <c r="O785" s="11" t="str">
        <f>IF($A785="","",IFERROR(VALUE(MID(TRIM('Template Setup'!$C$7),FIND("-",TRIM('Template Setup'!$C$7))+1,10)),0))</f>
        <v/>
      </c>
      <c r="P785" s="11" t="str">
        <f>IF($A785="","",IFERROR(VALUE(MID(TRIM('Template Setup'!$C$8),FIND("-",TRIM('Template Setup'!$C$8))+1,10)),0))</f>
        <v/>
      </c>
      <c r="Q785" s="9" t="str">
        <f>IF($A785="","",$A785&amp;"-"&amp;'Template Setup'!$C$16)</f>
        <v/>
      </c>
      <c r="R785" s="24" t="str">
        <f t="shared" si="49"/>
        <v/>
      </c>
      <c r="S785" s="24"/>
      <c r="T785" s="24" t="str">
        <f t="shared" si="50"/>
        <v/>
      </c>
      <c r="U785" s="6" t="str">
        <f t="shared" si="48"/>
        <v/>
      </c>
    </row>
    <row r="786" spans="1:21">
      <c r="A786" s="11"/>
      <c r="B786" s="11"/>
      <c r="C786" s="11"/>
      <c r="D786" s="11" t="str">
        <f>IF($A786="","",_xlfn.TEXTJOIN(", ",TRUE,IF($G786&gt;0,'Template Setup'!$C$4,""),IF($H786&gt;0,'Template Setup'!$C$5,""),IF($I786&gt;0,'Template Setup'!$C$6,""),IF($J786&gt;0,'Template Setup'!$C$7,""),IF($K786&gt;0,'Template Setup'!$C$8,"")))</f>
        <v/>
      </c>
      <c r="E786" s="6" t="str" cm="1">
        <f t="array" ref="E786">IF($A786="","",_xlfn.LET(_xlpm.sheets,CHOOSE({1,2,3,4,5},'Template Setup'!$C$4,'Template Setup'!$C$5,'Template Setup'!$C$6,'Template Setup'!$C$7,'Template Setup'!$C$8),_xlpm.nums,CHOOSE({1,2,3,4,5},$L786,$M786,$N786,$O786,$P786),_xlpm.qtys,CHOOSE({1,2,3,4,5},$G786,$H786,$I786,$J786,$K786),_xlpm.validNums,_xlfn._xlws.FILTER(_xlpm.nums,_xlpm.qtys&gt;0),_xlpm.validSheets,_xlfn._xlws.FILTER(_xlpm.sheets,_xlpm.qtys&gt;0),_xlpm.mx,IFERROR(MAX(_xlpm.validNums),0),IF(_xlpm.mx=0,"",INDEX(_xlpm.validSheets,MATCH(_xlpm.mx,_xlpm.validNums,0))&amp;" (+"&amp;$R786&amp;")")))</f>
        <v/>
      </c>
      <c r="F786" s="11" t="str">
        <f t="shared" si="51"/>
        <v/>
      </c>
      <c r="G786" s="12" t="str">
        <f ca="1">IF($A786="","",IFERROR(SUMIF(INDIRECT("'"&amp;'Template Setup'!$C$4&amp;"'!C:C"),$A786,INDIRECT("'"&amp;'Template Setup'!$C$4&amp;"'!A:A")),0))</f>
        <v/>
      </c>
      <c r="H786" s="12" t="str">
        <f ca="1">IF($A786="","",IFERROR(SUMIF(INDIRECT("'"&amp;'Template Setup'!$C$5&amp;"'!C:C"),$A786,INDIRECT("'"&amp;'Template Setup'!$C$5&amp;"'!A:A")),0))</f>
        <v/>
      </c>
      <c r="I786" s="12" t="str">
        <f ca="1">IF($A786="","",IFERROR(SUMIF(INDIRECT("'"&amp;'Template Setup'!$C$6&amp;"'!C:C"),$A786,INDIRECT("'"&amp;'Template Setup'!$C$6&amp;"'!A:A")),0))</f>
        <v/>
      </c>
      <c r="J786" s="12" t="str">
        <f ca="1">IF($A786="","",IFERROR(SUMIF(INDIRECT("'"&amp;'Template Setup'!$C$7&amp;"'!C:C"),$A786,INDIRECT("'"&amp;'Template Setup'!$C$7&amp;"'!A:A")),0))</f>
        <v/>
      </c>
      <c r="K786" s="12" t="str">
        <f ca="1">IF($A786="","",IFERROR(SUMIF(INDIRECT("'"&amp;'Template Setup'!$C$8&amp;"'!C:C"),$A786,INDIRECT("'"&amp;'Template Setup'!$C$8&amp;"'!A:A")),0))</f>
        <v/>
      </c>
      <c r="L786" s="11" t="str">
        <f>IF($A786="","",IFERROR(VALUE(MID(TRIM('Template Setup'!$C$4),FIND("-",TRIM('Template Setup'!$C$4))+1,10)),0))</f>
        <v/>
      </c>
      <c r="M786" s="11" t="str">
        <f>IF($A786="","",IFERROR(VALUE(MID(TRIM('Template Setup'!$C$5),FIND("-",TRIM('Template Setup'!$C$5))+1,10)),0))</f>
        <v/>
      </c>
      <c r="N786" s="11" t="str">
        <f>IF($A786="","",IFERROR(VALUE(MID(TRIM('Template Setup'!$C$6),FIND("-",TRIM('Template Setup'!$C$6))+1,10)),0))</f>
        <v/>
      </c>
      <c r="O786" s="11" t="str">
        <f>IF($A786="","",IFERROR(VALUE(MID(TRIM('Template Setup'!$C$7),FIND("-",TRIM('Template Setup'!$C$7))+1,10)),0))</f>
        <v/>
      </c>
      <c r="P786" s="11" t="str">
        <f>IF($A786="","",IFERROR(VALUE(MID(TRIM('Template Setup'!$C$8),FIND("-",TRIM('Template Setup'!$C$8))+1,10)),0))</f>
        <v/>
      </c>
      <c r="Q786" s="9" t="str">
        <f>IF($A786="","",$A786&amp;"-"&amp;'Template Setup'!$C$16)</f>
        <v/>
      </c>
      <c r="R786" s="24" t="str">
        <f t="shared" si="49"/>
        <v/>
      </c>
      <c r="S786" s="24"/>
      <c r="T786" s="24" t="str">
        <f t="shared" si="50"/>
        <v/>
      </c>
      <c r="U786" s="6" t="str">
        <f t="shared" ref="U786:U849" si="52">IF($A786="","","☐")</f>
        <v/>
      </c>
    </row>
    <row r="787" spans="1:21">
      <c r="A787" s="11"/>
      <c r="B787" s="11"/>
      <c r="C787" s="11"/>
      <c r="D787" s="11" t="str">
        <f>IF($A787="","",_xlfn.TEXTJOIN(", ",TRUE,IF($G787&gt;0,'Template Setup'!$C$4,""),IF($H787&gt;0,'Template Setup'!$C$5,""),IF($I787&gt;0,'Template Setup'!$C$6,""),IF($J787&gt;0,'Template Setup'!$C$7,""),IF($K787&gt;0,'Template Setup'!$C$8,"")))</f>
        <v/>
      </c>
      <c r="E787" s="6" t="str" cm="1">
        <f t="array" ref="E787">IF($A787="","",_xlfn.LET(_xlpm.sheets,CHOOSE({1,2,3,4,5},'Template Setup'!$C$4,'Template Setup'!$C$5,'Template Setup'!$C$6,'Template Setup'!$C$7,'Template Setup'!$C$8),_xlpm.nums,CHOOSE({1,2,3,4,5},$L787,$M787,$N787,$O787,$P787),_xlpm.qtys,CHOOSE({1,2,3,4,5},$G787,$H787,$I787,$J787,$K787),_xlpm.validNums,_xlfn._xlws.FILTER(_xlpm.nums,_xlpm.qtys&gt;0),_xlpm.validSheets,_xlfn._xlws.FILTER(_xlpm.sheets,_xlpm.qtys&gt;0),_xlpm.mx,IFERROR(MAX(_xlpm.validNums),0),IF(_xlpm.mx=0,"",INDEX(_xlpm.validSheets,MATCH(_xlpm.mx,_xlpm.validNums,0))&amp;" (+"&amp;$R787&amp;")")))</f>
        <v/>
      </c>
      <c r="F787" s="11" t="str">
        <f t="shared" si="51"/>
        <v/>
      </c>
      <c r="G787" s="12" t="str">
        <f ca="1">IF($A787="","",IFERROR(SUMIF(INDIRECT("'"&amp;'Template Setup'!$C$4&amp;"'!C:C"),$A787,INDIRECT("'"&amp;'Template Setup'!$C$4&amp;"'!A:A")),0))</f>
        <v/>
      </c>
      <c r="H787" s="12" t="str">
        <f ca="1">IF($A787="","",IFERROR(SUMIF(INDIRECT("'"&amp;'Template Setup'!$C$5&amp;"'!C:C"),$A787,INDIRECT("'"&amp;'Template Setup'!$C$5&amp;"'!A:A")),0))</f>
        <v/>
      </c>
      <c r="I787" s="12" t="str">
        <f ca="1">IF($A787="","",IFERROR(SUMIF(INDIRECT("'"&amp;'Template Setup'!$C$6&amp;"'!C:C"),$A787,INDIRECT("'"&amp;'Template Setup'!$C$6&amp;"'!A:A")),0))</f>
        <v/>
      </c>
      <c r="J787" s="12" t="str">
        <f ca="1">IF($A787="","",IFERROR(SUMIF(INDIRECT("'"&amp;'Template Setup'!$C$7&amp;"'!C:C"),$A787,INDIRECT("'"&amp;'Template Setup'!$C$7&amp;"'!A:A")),0))</f>
        <v/>
      </c>
      <c r="K787" s="12" t="str">
        <f ca="1">IF($A787="","",IFERROR(SUMIF(INDIRECT("'"&amp;'Template Setup'!$C$8&amp;"'!C:C"),$A787,INDIRECT("'"&amp;'Template Setup'!$C$8&amp;"'!A:A")),0))</f>
        <v/>
      </c>
      <c r="L787" s="11" t="str">
        <f>IF($A787="","",IFERROR(VALUE(MID(TRIM('Template Setup'!$C$4),FIND("-",TRIM('Template Setup'!$C$4))+1,10)),0))</f>
        <v/>
      </c>
      <c r="M787" s="11" t="str">
        <f>IF($A787="","",IFERROR(VALUE(MID(TRIM('Template Setup'!$C$5),FIND("-",TRIM('Template Setup'!$C$5))+1,10)),0))</f>
        <v/>
      </c>
      <c r="N787" s="11" t="str">
        <f>IF($A787="","",IFERROR(VALUE(MID(TRIM('Template Setup'!$C$6),FIND("-",TRIM('Template Setup'!$C$6))+1,10)),0))</f>
        <v/>
      </c>
      <c r="O787" s="11" t="str">
        <f>IF($A787="","",IFERROR(VALUE(MID(TRIM('Template Setup'!$C$7),FIND("-",TRIM('Template Setup'!$C$7))+1,10)),0))</f>
        <v/>
      </c>
      <c r="P787" s="11" t="str">
        <f>IF($A787="","",IFERROR(VALUE(MID(TRIM('Template Setup'!$C$8),FIND("-",TRIM('Template Setup'!$C$8))+1,10)),0))</f>
        <v/>
      </c>
      <c r="Q787" s="9" t="str">
        <f>IF($A787="","",$A787&amp;"-"&amp;'Template Setup'!$C$16)</f>
        <v/>
      </c>
      <c r="R787" s="24" t="str">
        <f t="shared" si="49"/>
        <v/>
      </c>
      <c r="S787" s="24"/>
      <c r="T787" s="24" t="str">
        <f t="shared" si="50"/>
        <v/>
      </c>
      <c r="U787" s="6" t="str">
        <f t="shared" si="52"/>
        <v/>
      </c>
    </row>
    <row r="788" spans="1:21">
      <c r="A788" s="11"/>
      <c r="B788" s="11"/>
      <c r="C788" s="11"/>
      <c r="D788" s="11" t="str">
        <f>IF($A788="","",_xlfn.TEXTJOIN(", ",TRUE,IF($G788&gt;0,'Template Setup'!$C$4,""),IF($H788&gt;0,'Template Setup'!$C$5,""),IF($I788&gt;0,'Template Setup'!$C$6,""),IF($J788&gt;0,'Template Setup'!$C$7,""),IF($K788&gt;0,'Template Setup'!$C$8,"")))</f>
        <v/>
      </c>
      <c r="E788" s="6" t="str" cm="1">
        <f t="array" ref="E788">IF($A788="","",_xlfn.LET(_xlpm.sheets,CHOOSE({1,2,3,4,5},'Template Setup'!$C$4,'Template Setup'!$C$5,'Template Setup'!$C$6,'Template Setup'!$C$7,'Template Setup'!$C$8),_xlpm.nums,CHOOSE({1,2,3,4,5},$L788,$M788,$N788,$O788,$P788),_xlpm.qtys,CHOOSE({1,2,3,4,5},$G788,$H788,$I788,$J788,$K788),_xlpm.validNums,_xlfn._xlws.FILTER(_xlpm.nums,_xlpm.qtys&gt;0),_xlpm.validSheets,_xlfn._xlws.FILTER(_xlpm.sheets,_xlpm.qtys&gt;0),_xlpm.mx,IFERROR(MAX(_xlpm.validNums),0),IF(_xlpm.mx=0,"",INDEX(_xlpm.validSheets,MATCH(_xlpm.mx,_xlpm.validNums,0))&amp;" (+"&amp;$R788&amp;")")))</f>
        <v/>
      </c>
      <c r="F788" s="11" t="str">
        <f t="shared" si="51"/>
        <v/>
      </c>
      <c r="G788" s="12" t="str">
        <f ca="1">IF($A788="","",IFERROR(SUMIF(INDIRECT("'"&amp;'Template Setup'!$C$4&amp;"'!C:C"),$A788,INDIRECT("'"&amp;'Template Setup'!$C$4&amp;"'!A:A")),0))</f>
        <v/>
      </c>
      <c r="H788" s="12" t="str">
        <f ca="1">IF($A788="","",IFERROR(SUMIF(INDIRECT("'"&amp;'Template Setup'!$C$5&amp;"'!C:C"),$A788,INDIRECT("'"&amp;'Template Setup'!$C$5&amp;"'!A:A")),0))</f>
        <v/>
      </c>
      <c r="I788" s="12" t="str">
        <f ca="1">IF($A788="","",IFERROR(SUMIF(INDIRECT("'"&amp;'Template Setup'!$C$6&amp;"'!C:C"),$A788,INDIRECT("'"&amp;'Template Setup'!$C$6&amp;"'!A:A")),0))</f>
        <v/>
      </c>
      <c r="J788" s="12" t="str">
        <f ca="1">IF($A788="","",IFERROR(SUMIF(INDIRECT("'"&amp;'Template Setup'!$C$7&amp;"'!C:C"),$A788,INDIRECT("'"&amp;'Template Setup'!$C$7&amp;"'!A:A")),0))</f>
        <v/>
      </c>
      <c r="K788" s="12" t="str">
        <f ca="1">IF($A788="","",IFERROR(SUMIF(INDIRECT("'"&amp;'Template Setup'!$C$8&amp;"'!C:C"),$A788,INDIRECT("'"&amp;'Template Setup'!$C$8&amp;"'!A:A")),0))</f>
        <v/>
      </c>
      <c r="L788" s="11" t="str">
        <f>IF($A788="","",IFERROR(VALUE(MID(TRIM('Template Setup'!$C$4),FIND("-",TRIM('Template Setup'!$C$4))+1,10)),0))</f>
        <v/>
      </c>
      <c r="M788" s="11" t="str">
        <f>IF($A788="","",IFERROR(VALUE(MID(TRIM('Template Setup'!$C$5),FIND("-",TRIM('Template Setup'!$C$5))+1,10)),0))</f>
        <v/>
      </c>
      <c r="N788" s="11" t="str">
        <f>IF($A788="","",IFERROR(VALUE(MID(TRIM('Template Setup'!$C$6),FIND("-",TRIM('Template Setup'!$C$6))+1,10)),0))</f>
        <v/>
      </c>
      <c r="O788" s="11" t="str">
        <f>IF($A788="","",IFERROR(VALUE(MID(TRIM('Template Setup'!$C$7),FIND("-",TRIM('Template Setup'!$C$7))+1,10)),0))</f>
        <v/>
      </c>
      <c r="P788" s="11" t="str">
        <f>IF($A788="","",IFERROR(VALUE(MID(TRIM('Template Setup'!$C$8),FIND("-",TRIM('Template Setup'!$C$8))+1,10)),0))</f>
        <v/>
      </c>
      <c r="Q788" s="9" t="str">
        <f>IF($A788="","",$A788&amp;"-"&amp;'Template Setup'!$C$16)</f>
        <v/>
      </c>
      <c r="R788" s="24" t="str">
        <f t="shared" si="49"/>
        <v/>
      </c>
      <c r="S788" s="24"/>
      <c r="T788" s="24" t="str">
        <f t="shared" si="50"/>
        <v/>
      </c>
      <c r="U788" s="6" t="str">
        <f t="shared" si="52"/>
        <v/>
      </c>
    </row>
    <row r="789" spans="1:21">
      <c r="A789" s="11"/>
      <c r="B789" s="11"/>
      <c r="C789" s="11"/>
      <c r="D789" s="11" t="str">
        <f>IF($A789="","",_xlfn.TEXTJOIN(", ",TRUE,IF($G789&gt;0,'Template Setup'!$C$4,""),IF($H789&gt;0,'Template Setup'!$C$5,""),IF($I789&gt;0,'Template Setup'!$C$6,""),IF($J789&gt;0,'Template Setup'!$C$7,""),IF($K789&gt;0,'Template Setup'!$C$8,"")))</f>
        <v/>
      </c>
      <c r="E789" s="6" t="str" cm="1">
        <f t="array" ref="E789">IF($A789="","",_xlfn.LET(_xlpm.sheets,CHOOSE({1,2,3,4,5},'Template Setup'!$C$4,'Template Setup'!$C$5,'Template Setup'!$C$6,'Template Setup'!$C$7,'Template Setup'!$C$8),_xlpm.nums,CHOOSE({1,2,3,4,5},$L789,$M789,$N789,$O789,$P789),_xlpm.qtys,CHOOSE({1,2,3,4,5},$G789,$H789,$I789,$J789,$K789),_xlpm.validNums,_xlfn._xlws.FILTER(_xlpm.nums,_xlpm.qtys&gt;0),_xlpm.validSheets,_xlfn._xlws.FILTER(_xlpm.sheets,_xlpm.qtys&gt;0),_xlpm.mx,IFERROR(MAX(_xlpm.validNums),0),IF(_xlpm.mx=0,"",INDEX(_xlpm.validSheets,MATCH(_xlpm.mx,_xlpm.validNums,0))&amp;" (+"&amp;$R789&amp;")")))</f>
        <v/>
      </c>
      <c r="F789" s="11" t="str">
        <f t="shared" si="51"/>
        <v/>
      </c>
      <c r="G789" s="12" t="str">
        <f ca="1">IF($A789="","",IFERROR(SUMIF(INDIRECT("'"&amp;'Template Setup'!$C$4&amp;"'!C:C"),$A789,INDIRECT("'"&amp;'Template Setup'!$C$4&amp;"'!A:A")),0))</f>
        <v/>
      </c>
      <c r="H789" s="12" t="str">
        <f ca="1">IF($A789="","",IFERROR(SUMIF(INDIRECT("'"&amp;'Template Setup'!$C$5&amp;"'!C:C"),$A789,INDIRECT("'"&amp;'Template Setup'!$C$5&amp;"'!A:A")),0))</f>
        <v/>
      </c>
      <c r="I789" s="12" t="str">
        <f ca="1">IF($A789="","",IFERROR(SUMIF(INDIRECT("'"&amp;'Template Setup'!$C$6&amp;"'!C:C"),$A789,INDIRECT("'"&amp;'Template Setup'!$C$6&amp;"'!A:A")),0))</f>
        <v/>
      </c>
      <c r="J789" s="12" t="str">
        <f ca="1">IF($A789="","",IFERROR(SUMIF(INDIRECT("'"&amp;'Template Setup'!$C$7&amp;"'!C:C"),$A789,INDIRECT("'"&amp;'Template Setup'!$C$7&amp;"'!A:A")),0))</f>
        <v/>
      </c>
      <c r="K789" s="12" t="str">
        <f ca="1">IF($A789="","",IFERROR(SUMIF(INDIRECT("'"&amp;'Template Setup'!$C$8&amp;"'!C:C"),$A789,INDIRECT("'"&amp;'Template Setup'!$C$8&amp;"'!A:A")),0))</f>
        <v/>
      </c>
      <c r="L789" s="11" t="str">
        <f>IF($A789="","",IFERROR(VALUE(MID(TRIM('Template Setup'!$C$4),FIND("-",TRIM('Template Setup'!$C$4))+1,10)),0))</f>
        <v/>
      </c>
      <c r="M789" s="11" t="str">
        <f>IF($A789="","",IFERROR(VALUE(MID(TRIM('Template Setup'!$C$5),FIND("-",TRIM('Template Setup'!$C$5))+1,10)),0))</f>
        <v/>
      </c>
      <c r="N789" s="11" t="str">
        <f>IF($A789="","",IFERROR(VALUE(MID(TRIM('Template Setup'!$C$6),FIND("-",TRIM('Template Setup'!$C$6))+1,10)),0))</f>
        <v/>
      </c>
      <c r="O789" s="11" t="str">
        <f>IF($A789="","",IFERROR(VALUE(MID(TRIM('Template Setup'!$C$7),FIND("-",TRIM('Template Setup'!$C$7))+1,10)),0))</f>
        <v/>
      </c>
      <c r="P789" s="11" t="str">
        <f>IF($A789="","",IFERROR(VALUE(MID(TRIM('Template Setup'!$C$8),FIND("-",TRIM('Template Setup'!$C$8))+1,10)),0))</f>
        <v/>
      </c>
      <c r="Q789" s="9" t="str">
        <f>IF($A789="","",$A789&amp;"-"&amp;'Template Setup'!$C$16)</f>
        <v/>
      </c>
      <c r="R789" s="24" t="str">
        <f t="shared" si="49"/>
        <v/>
      </c>
      <c r="S789" s="24"/>
      <c r="T789" s="24" t="str">
        <f t="shared" si="50"/>
        <v/>
      </c>
      <c r="U789" s="6" t="str">
        <f t="shared" si="52"/>
        <v/>
      </c>
    </row>
    <row r="790" spans="1:21">
      <c r="A790" s="11"/>
      <c r="B790" s="11"/>
      <c r="C790" s="11"/>
      <c r="D790" s="11" t="str">
        <f>IF($A790="","",_xlfn.TEXTJOIN(", ",TRUE,IF($G790&gt;0,'Template Setup'!$C$4,""),IF($H790&gt;0,'Template Setup'!$C$5,""),IF($I790&gt;0,'Template Setup'!$C$6,""),IF($J790&gt;0,'Template Setup'!$C$7,""),IF($K790&gt;0,'Template Setup'!$C$8,"")))</f>
        <v/>
      </c>
      <c r="E790" s="6" t="str" cm="1">
        <f t="array" ref="E790">IF($A790="","",_xlfn.LET(_xlpm.sheets,CHOOSE({1,2,3,4,5},'Template Setup'!$C$4,'Template Setup'!$C$5,'Template Setup'!$C$6,'Template Setup'!$C$7,'Template Setup'!$C$8),_xlpm.nums,CHOOSE({1,2,3,4,5},$L790,$M790,$N790,$O790,$P790),_xlpm.qtys,CHOOSE({1,2,3,4,5},$G790,$H790,$I790,$J790,$K790),_xlpm.validNums,_xlfn._xlws.FILTER(_xlpm.nums,_xlpm.qtys&gt;0),_xlpm.validSheets,_xlfn._xlws.FILTER(_xlpm.sheets,_xlpm.qtys&gt;0),_xlpm.mx,IFERROR(MAX(_xlpm.validNums),0),IF(_xlpm.mx=0,"",INDEX(_xlpm.validSheets,MATCH(_xlpm.mx,_xlpm.validNums,0))&amp;" (+"&amp;$R790&amp;")")))</f>
        <v/>
      </c>
      <c r="F790" s="11" t="str">
        <f t="shared" si="51"/>
        <v/>
      </c>
      <c r="G790" s="12" t="str">
        <f ca="1">IF($A790="","",IFERROR(SUMIF(INDIRECT("'"&amp;'Template Setup'!$C$4&amp;"'!C:C"),$A790,INDIRECT("'"&amp;'Template Setup'!$C$4&amp;"'!A:A")),0))</f>
        <v/>
      </c>
      <c r="H790" s="12" t="str">
        <f ca="1">IF($A790="","",IFERROR(SUMIF(INDIRECT("'"&amp;'Template Setup'!$C$5&amp;"'!C:C"),$A790,INDIRECT("'"&amp;'Template Setup'!$C$5&amp;"'!A:A")),0))</f>
        <v/>
      </c>
      <c r="I790" s="12" t="str">
        <f ca="1">IF($A790="","",IFERROR(SUMIF(INDIRECT("'"&amp;'Template Setup'!$C$6&amp;"'!C:C"),$A790,INDIRECT("'"&amp;'Template Setup'!$C$6&amp;"'!A:A")),0))</f>
        <v/>
      </c>
      <c r="J790" s="12" t="str">
        <f ca="1">IF($A790="","",IFERROR(SUMIF(INDIRECT("'"&amp;'Template Setup'!$C$7&amp;"'!C:C"),$A790,INDIRECT("'"&amp;'Template Setup'!$C$7&amp;"'!A:A")),0))</f>
        <v/>
      </c>
      <c r="K790" s="12" t="str">
        <f ca="1">IF($A790="","",IFERROR(SUMIF(INDIRECT("'"&amp;'Template Setup'!$C$8&amp;"'!C:C"),$A790,INDIRECT("'"&amp;'Template Setup'!$C$8&amp;"'!A:A")),0))</f>
        <v/>
      </c>
      <c r="L790" s="11" t="str">
        <f>IF($A790="","",IFERROR(VALUE(MID(TRIM('Template Setup'!$C$4),FIND("-",TRIM('Template Setup'!$C$4))+1,10)),0))</f>
        <v/>
      </c>
      <c r="M790" s="11" t="str">
        <f>IF($A790="","",IFERROR(VALUE(MID(TRIM('Template Setup'!$C$5),FIND("-",TRIM('Template Setup'!$C$5))+1,10)),0))</f>
        <v/>
      </c>
      <c r="N790" s="11" t="str">
        <f>IF($A790="","",IFERROR(VALUE(MID(TRIM('Template Setup'!$C$6),FIND("-",TRIM('Template Setup'!$C$6))+1,10)),0))</f>
        <v/>
      </c>
      <c r="O790" s="11" t="str">
        <f>IF($A790="","",IFERROR(VALUE(MID(TRIM('Template Setup'!$C$7),FIND("-",TRIM('Template Setup'!$C$7))+1,10)),0))</f>
        <v/>
      </c>
      <c r="P790" s="11" t="str">
        <f>IF($A790="","",IFERROR(VALUE(MID(TRIM('Template Setup'!$C$8),FIND("-",TRIM('Template Setup'!$C$8))+1,10)),0))</f>
        <v/>
      </c>
      <c r="Q790" s="9" t="str">
        <f>IF($A790="","",$A790&amp;"-"&amp;'Template Setup'!$C$16)</f>
        <v/>
      </c>
      <c r="R790" s="24" t="str">
        <f t="shared" si="49"/>
        <v/>
      </c>
      <c r="S790" s="24"/>
      <c r="T790" s="24" t="str">
        <f t="shared" si="50"/>
        <v/>
      </c>
      <c r="U790" s="6" t="str">
        <f t="shared" si="52"/>
        <v/>
      </c>
    </row>
    <row r="791" spans="1:21">
      <c r="A791" s="11"/>
      <c r="B791" s="11"/>
      <c r="C791" s="11"/>
      <c r="D791" s="11" t="str">
        <f>IF($A791="","",_xlfn.TEXTJOIN(", ",TRUE,IF($G791&gt;0,'Template Setup'!$C$4,""),IF($H791&gt;0,'Template Setup'!$C$5,""),IF($I791&gt;0,'Template Setup'!$C$6,""),IF($J791&gt;0,'Template Setup'!$C$7,""),IF($K791&gt;0,'Template Setup'!$C$8,"")))</f>
        <v/>
      </c>
      <c r="E791" s="6" t="str" cm="1">
        <f t="array" ref="E791">IF($A791="","",_xlfn.LET(_xlpm.sheets,CHOOSE({1,2,3,4,5},'Template Setup'!$C$4,'Template Setup'!$C$5,'Template Setup'!$C$6,'Template Setup'!$C$7,'Template Setup'!$C$8),_xlpm.nums,CHOOSE({1,2,3,4,5},$L791,$M791,$N791,$O791,$P791),_xlpm.qtys,CHOOSE({1,2,3,4,5},$G791,$H791,$I791,$J791,$K791),_xlpm.validNums,_xlfn._xlws.FILTER(_xlpm.nums,_xlpm.qtys&gt;0),_xlpm.validSheets,_xlfn._xlws.FILTER(_xlpm.sheets,_xlpm.qtys&gt;0),_xlpm.mx,IFERROR(MAX(_xlpm.validNums),0),IF(_xlpm.mx=0,"",INDEX(_xlpm.validSheets,MATCH(_xlpm.mx,_xlpm.validNums,0))&amp;" (+"&amp;$R791&amp;")")))</f>
        <v/>
      </c>
      <c r="F791" s="11" t="str">
        <f t="shared" si="51"/>
        <v/>
      </c>
      <c r="G791" s="12" t="str">
        <f ca="1">IF($A791="","",IFERROR(SUMIF(INDIRECT("'"&amp;'Template Setup'!$C$4&amp;"'!C:C"),$A791,INDIRECT("'"&amp;'Template Setup'!$C$4&amp;"'!A:A")),0))</f>
        <v/>
      </c>
      <c r="H791" s="12" t="str">
        <f ca="1">IF($A791="","",IFERROR(SUMIF(INDIRECT("'"&amp;'Template Setup'!$C$5&amp;"'!C:C"),$A791,INDIRECT("'"&amp;'Template Setup'!$C$5&amp;"'!A:A")),0))</f>
        <v/>
      </c>
      <c r="I791" s="12" t="str">
        <f ca="1">IF($A791="","",IFERROR(SUMIF(INDIRECT("'"&amp;'Template Setup'!$C$6&amp;"'!C:C"),$A791,INDIRECT("'"&amp;'Template Setup'!$C$6&amp;"'!A:A")),0))</f>
        <v/>
      </c>
      <c r="J791" s="12" t="str">
        <f ca="1">IF($A791="","",IFERROR(SUMIF(INDIRECT("'"&amp;'Template Setup'!$C$7&amp;"'!C:C"),$A791,INDIRECT("'"&amp;'Template Setup'!$C$7&amp;"'!A:A")),0))</f>
        <v/>
      </c>
      <c r="K791" s="12" t="str">
        <f ca="1">IF($A791="","",IFERROR(SUMIF(INDIRECT("'"&amp;'Template Setup'!$C$8&amp;"'!C:C"),$A791,INDIRECT("'"&amp;'Template Setup'!$C$8&amp;"'!A:A")),0))</f>
        <v/>
      </c>
      <c r="L791" s="11" t="str">
        <f>IF($A791="","",IFERROR(VALUE(MID(TRIM('Template Setup'!$C$4),FIND("-",TRIM('Template Setup'!$C$4))+1,10)),0))</f>
        <v/>
      </c>
      <c r="M791" s="11" t="str">
        <f>IF($A791="","",IFERROR(VALUE(MID(TRIM('Template Setup'!$C$5),FIND("-",TRIM('Template Setup'!$C$5))+1,10)),0))</f>
        <v/>
      </c>
      <c r="N791" s="11" t="str">
        <f>IF($A791="","",IFERROR(VALUE(MID(TRIM('Template Setup'!$C$6),FIND("-",TRIM('Template Setup'!$C$6))+1,10)),0))</f>
        <v/>
      </c>
      <c r="O791" s="11" t="str">
        <f>IF($A791="","",IFERROR(VALUE(MID(TRIM('Template Setup'!$C$7),FIND("-",TRIM('Template Setup'!$C$7))+1,10)),0))</f>
        <v/>
      </c>
      <c r="P791" s="11" t="str">
        <f>IF($A791="","",IFERROR(VALUE(MID(TRIM('Template Setup'!$C$8),FIND("-",TRIM('Template Setup'!$C$8))+1,10)),0))</f>
        <v/>
      </c>
      <c r="Q791" s="9" t="str">
        <f>IF($A791="","",$A791&amp;"-"&amp;'Template Setup'!$C$16)</f>
        <v/>
      </c>
      <c r="R791" s="24" t="str">
        <f t="shared" si="49"/>
        <v/>
      </c>
      <c r="S791" s="24"/>
      <c r="T791" s="24" t="str">
        <f t="shared" si="50"/>
        <v/>
      </c>
      <c r="U791" s="6" t="str">
        <f t="shared" si="52"/>
        <v/>
      </c>
    </row>
    <row r="792" spans="1:21">
      <c r="A792" s="11"/>
      <c r="B792" s="11"/>
      <c r="C792" s="11"/>
      <c r="D792" s="11" t="str">
        <f>IF($A792="","",_xlfn.TEXTJOIN(", ",TRUE,IF($G792&gt;0,'Template Setup'!$C$4,""),IF($H792&gt;0,'Template Setup'!$C$5,""),IF($I792&gt;0,'Template Setup'!$C$6,""),IF($J792&gt;0,'Template Setup'!$C$7,""),IF($K792&gt;0,'Template Setup'!$C$8,"")))</f>
        <v/>
      </c>
      <c r="E792" s="6" t="str" cm="1">
        <f t="array" ref="E792">IF($A792="","",_xlfn.LET(_xlpm.sheets,CHOOSE({1,2,3,4,5},'Template Setup'!$C$4,'Template Setup'!$C$5,'Template Setup'!$C$6,'Template Setup'!$C$7,'Template Setup'!$C$8),_xlpm.nums,CHOOSE({1,2,3,4,5},$L792,$M792,$N792,$O792,$P792),_xlpm.qtys,CHOOSE({1,2,3,4,5},$G792,$H792,$I792,$J792,$K792),_xlpm.validNums,_xlfn._xlws.FILTER(_xlpm.nums,_xlpm.qtys&gt;0),_xlpm.validSheets,_xlfn._xlws.FILTER(_xlpm.sheets,_xlpm.qtys&gt;0),_xlpm.mx,IFERROR(MAX(_xlpm.validNums),0),IF(_xlpm.mx=0,"",INDEX(_xlpm.validSheets,MATCH(_xlpm.mx,_xlpm.validNums,0))&amp;" (+"&amp;$R792&amp;")")))</f>
        <v/>
      </c>
      <c r="F792" s="11" t="str">
        <f t="shared" si="51"/>
        <v/>
      </c>
      <c r="G792" s="12" t="str">
        <f ca="1">IF($A792="","",IFERROR(SUMIF(INDIRECT("'"&amp;'Template Setup'!$C$4&amp;"'!C:C"),$A792,INDIRECT("'"&amp;'Template Setup'!$C$4&amp;"'!A:A")),0))</f>
        <v/>
      </c>
      <c r="H792" s="12" t="str">
        <f ca="1">IF($A792="","",IFERROR(SUMIF(INDIRECT("'"&amp;'Template Setup'!$C$5&amp;"'!C:C"),$A792,INDIRECT("'"&amp;'Template Setup'!$C$5&amp;"'!A:A")),0))</f>
        <v/>
      </c>
      <c r="I792" s="12" t="str">
        <f ca="1">IF($A792="","",IFERROR(SUMIF(INDIRECT("'"&amp;'Template Setup'!$C$6&amp;"'!C:C"),$A792,INDIRECT("'"&amp;'Template Setup'!$C$6&amp;"'!A:A")),0))</f>
        <v/>
      </c>
      <c r="J792" s="12" t="str">
        <f ca="1">IF($A792="","",IFERROR(SUMIF(INDIRECT("'"&amp;'Template Setup'!$C$7&amp;"'!C:C"),$A792,INDIRECT("'"&amp;'Template Setup'!$C$7&amp;"'!A:A")),0))</f>
        <v/>
      </c>
      <c r="K792" s="12" t="str">
        <f ca="1">IF($A792="","",IFERROR(SUMIF(INDIRECT("'"&amp;'Template Setup'!$C$8&amp;"'!C:C"),$A792,INDIRECT("'"&amp;'Template Setup'!$C$8&amp;"'!A:A")),0))</f>
        <v/>
      </c>
      <c r="L792" s="11" t="str">
        <f>IF($A792="","",IFERROR(VALUE(MID(TRIM('Template Setup'!$C$4),FIND("-",TRIM('Template Setup'!$C$4))+1,10)),0))</f>
        <v/>
      </c>
      <c r="M792" s="11" t="str">
        <f>IF($A792="","",IFERROR(VALUE(MID(TRIM('Template Setup'!$C$5),FIND("-",TRIM('Template Setup'!$C$5))+1,10)),0))</f>
        <v/>
      </c>
      <c r="N792" s="11" t="str">
        <f>IF($A792="","",IFERROR(VALUE(MID(TRIM('Template Setup'!$C$6),FIND("-",TRIM('Template Setup'!$C$6))+1,10)),0))</f>
        <v/>
      </c>
      <c r="O792" s="11" t="str">
        <f>IF($A792="","",IFERROR(VALUE(MID(TRIM('Template Setup'!$C$7),FIND("-",TRIM('Template Setup'!$C$7))+1,10)),0))</f>
        <v/>
      </c>
      <c r="P792" s="11" t="str">
        <f>IF($A792="","",IFERROR(VALUE(MID(TRIM('Template Setup'!$C$8),FIND("-",TRIM('Template Setup'!$C$8))+1,10)),0))</f>
        <v/>
      </c>
      <c r="Q792" s="9" t="str">
        <f>IF($A792="","",$A792&amp;"-"&amp;'Template Setup'!$C$16)</f>
        <v/>
      </c>
      <c r="R792" s="24" t="str">
        <f t="shared" si="49"/>
        <v/>
      </c>
      <c r="S792" s="24"/>
      <c r="T792" s="24" t="str">
        <f t="shared" si="50"/>
        <v/>
      </c>
      <c r="U792" s="6" t="str">
        <f t="shared" si="52"/>
        <v/>
      </c>
    </row>
    <row r="793" spans="1:21">
      <c r="A793" s="11"/>
      <c r="B793" s="11"/>
      <c r="C793" s="11"/>
      <c r="D793" s="11" t="str">
        <f>IF($A793="","",_xlfn.TEXTJOIN(", ",TRUE,IF($G793&gt;0,'Template Setup'!$C$4,""),IF($H793&gt;0,'Template Setup'!$C$5,""),IF($I793&gt;0,'Template Setup'!$C$6,""),IF($J793&gt;0,'Template Setup'!$C$7,""),IF($K793&gt;0,'Template Setup'!$C$8,"")))</f>
        <v/>
      </c>
      <c r="E793" s="6" t="str" cm="1">
        <f t="array" ref="E793">IF($A793="","",_xlfn.LET(_xlpm.sheets,CHOOSE({1,2,3,4,5},'Template Setup'!$C$4,'Template Setup'!$C$5,'Template Setup'!$C$6,'Template Setup'!$C$7,'Template Setup'!$C$8),_xlpm.nums,CHOOSE({1,2,3,4,5},$L793,$M793,$N793,$O793,$P793),_xlpm.qtys,CHOOSE({1,2,3,4,5},$G793,$H793,$I793,$J793,$K793),_xlpm.validNums,_xlfn._xlws.FILTER(_xlpm.nums,_xlpm.qtys&gt;0),_xlpm.validSheets,_xlfn._xlws.FILTER(_xlpm.sheets,_xlpm.qtys&gt;0),_xlpm.mx,IFERROR(MAX(_xlpm.validNums),0),IF(_xlpm.mx=0,"",INDEX(_xlpm.validSheets,MATCH(_xlpm.mx,_xlpm.validNums,0))&amp;" (+"&amp;$R793&amp;")")))</f>
        <v/>
      </c>
      <c r="F793" s="11" t="str">
        <f t="shared" si="51"/>
        <v/>
      </c>
      <c r="G793" s="12" t="str">
        <f ca="1">IF($A793="","",IFERROR(SUMIF(INDIRECT("'"&amp;'Template Setup'!$C$4&amp;"'!C:C"),$A793,INDIRECT("'"&amp;'Template Setup'!$C$4&amp;"'!A:A")),0))</f>
        <v/>
      </c>
      <c r="H793" s="12" t="str">
        <f ca="1">IF($A793="","",IFERROR(SUMIF(INDIRECT("'"&amp;'Template Setup'!$C$5&amp;"'!C:C"),$A793,INDIRECT("'"&amp;'Template Setup'!$C$5&amp;"'!A:A")),0))</f>
        <v/>
      </c>
      <c r="I793" s="12" t="str">
        <f ca="1">IF($A793="","",IFERROR(SUMIF(INDIRECT("'"&amp;'Template Setup'!$C$6&amp;"'!C:C"),$A793,INDIRECT("'"&amp;'Template Setup'!$C$6&amp;"'!A:A")),0))</f>
        <v/>
      </c>
      <c r="J793" s="12" t="str">
        <f ca="1">IF($A793="","",IFERROR(SUMIF(INDIRECT("'"&amp;'Template Setup'!$C$7&amp;"'!C:C"),$A793,INDIRECT("'"&amp;'Template Setup'!$C$7&amp;"'!A:A")),0))</f>
        <v/>
      </c>
      <c r="K793" s="12" t="str">
        <f ca="1">IF($A793="","",IFERROR(SUMIF(INDIRECT("'"&amp;'Template Setup'!$C$8&amp;"'!C:C"),$A793,INDIRECT("'"&amp;'Template Setup'!$C$8&amp;"'!A:A")),0))</f>
        <v/>
      </c>
      <c r="L793" s="11" t="str">
        <f>IF($A793="","",IFERROR(VALUE(MID(TRIM('Template Setup'!$C$4),FIND("-",TRIM('Template Setup'!$C$4))+1,10)),0))</f>
        <v/>
      </c>
      <c r="M793" s="11" t="str">
        <f>IF($A793="","",IFERROR(VALUE(MID(TRIM('Template Setup'!$C$5),FIND("-",TRIM('Template Setup'!$C$5))+1,10)),0))</f>
        <v/>
      </c>
      <c r="N793" s="11" t="str">
        <f>IF($A793="","",IFERROR(VALUE(MID(TRIM('Template Setup'!$C$6),FIND("-",TRIM('Template Setup'!$C$6))+1,10)),0))</f>
        <v/>
      </c>
      <c r="O793" s="11" t="str">
        <f>IF($A793="","",IFERROR(VALUE(MID(TRIM('Template Setup'!$C$7),FIND("-",TRIM('Template Setup'!$C$7))+1,10)),0))</f>
        <v/>
      </c>
      <c r="P793" s="11" t="str">
        <f>IF($A793="","",IFERROR(VALUE(MID(TRIM('Template Setup'!$C$8),FIND("-",TRIM('Template Setup'!$C$8))+1,10)),0))</f>
        <v/>
      </c>
      <c r="Q793" s="9" t="str">
        <f>IF($A793="","",$A793&amp;"-"&amp;'Template Setup'!$C$16)</f>
        <v/>
      </c>
      <c r="R793" s="24" t="str">
        <f t="shared" si="49"/>
        <v/>
      </c>
      <c r="S793" s="24"/>
      <c r="T793" s="24" t="str">
        <f t="shared" si="50"/>
        <v/>
      </c>
      <c r="U793" s="6" t="str">
        <f t="shared" si="52"/>
        <v/>
      </c>
    </row>
    <row r="794" spans="1:21">
      <c r="A794" s="11"/>
      <c r="B794" s="11"/>
      <c r="C794" s="11"/>
      <c r="D794" s="11" t="str">
        <f>IF($A794="","",_xlfn.TEXTJOIN(", ",TRUE,IF($G794&gt;0,'Template Setup'!$C$4,""),IF($H794&gt;0,'Template Setup'!$C$5,""),IF($I794&gt;0,'Template Setup'!$C$6,""),IF($J794&gt;0,'Template Setup'!$C$7,""),IF($K794&gt;0,'Template Setup'!$C$8,"")))</f>
        <v/>
      </c>
      <c r="E794" s="6" t="str" cm="1">
        <f t="array" ref="E794">IF($A794="","",_xlfn.LET(_xlpm.sheets,CHOOSE({1,2,3,4,5},'Template Setup'!$C$4,'Template Setup'!$C$5,'Template Setup'!$C$6,'Template Setup'!$C$7,'Template Setup'!$C$8),_xlpm.nums,CHOOSE({1,2,3,4,5},$L794,$M794,$N794,$O794,$P794),_xlpm.qtys,CHOOSE({1,2,3,4,5},$G794,$H794,$I794,$J794,$K794),_xlpm.validNums,_xlfn._xlws.FILTER(_xlpm.nums,_xlpm.qtys&gt;0),_xlpm.validSheets,_xlfn._xlws.FILTER(_xlpm.sheets,_xlpm.qtys&gt;0),_xlpm.mx,IFERROR(MAX(_xlpm.validNums),0),IF(_xlpm.mx=0,"",INDEX(_xlpm.validSheets,MATCH(_xlpm.mx,_xlpm.validNums,0))&amp;" (+"&amp;$R794&amp;")")))</f>
        <v/>
      </c>
      <c r="F794" s="11" t="str">
        <f t="shared" si="51"/>
        <v/>
      </c>
      <c r="G794" s="12" t="str">
        <f ca="1">IF($A794="","",IFERROR(SUMIF(INDIRECT("'"&amp;'Template Setup'!$C$4&amp;"'!C:C"),$A794,INDIRECT("'"&amp;'Template Setup'!$C$4&amp;"'!A:A")),0))</f>
        <v/>
      </c>
      <c r="H794" s="12" t="str">
        <f ca="1">IF($A794="","",IFERROR(SUMIF(INDIRECT("'"&amp;'Template Setup'!$C$5&amp;"'!C:C"),$A794,INDIRECT("'"&amp;'Template Setup'!$C$5&amp;"'!A:A")),0))</f>
        <v/>
      </c>
      <c r="I794" s="12" t="str">
        <f ca="1">IF($A794="","",IFERROR(SUMIF(INDIRECT("'"&amp;'Template Setup'!$C$6&amp;"'!C:C"),$A794,INDIRECT("'"&amp;'Template Setup'!$C$6&amp;"'!A:A")),0))</f>
        <v/>
      </c>
      <c r="J794" s="12" t="str">
        <f ca="1">IF($A794="","",IFERROR(SUMIF(INDIRECT("'"&amp;'Template Setup'!$C$7&amp;"'!C:C"),$A794,INDIRECT("'"&amp;'Template Setup'!$C$7&amp;"'!A:A")),0))</f>
        <v/>
      </c>
      <c r="K794" s="12" t="str">
        <f ca="1">IF($A794="","",IFERROR(SUMIF(INDIRECT("'"&amp;'Template Setup'!$C$8&amp;"'!C:C"),$A794,INDIRECT("'"&amp;'Template Setup'!$C$8&amp;"'!A:A")),0))</f>
        <v/>
      </c>
      <c r="L794" s="11" t="str">
        <f>IF($A794="","",IFERROR(VALUE(MID(TRIM('Template Setup'!$C$4),FIND("-",TRIM('Template Setup'!$C$4))+1,10)),0))</f>
        <v/>
      </c>
      <c r="M794" s="11" t="str">
        <f>IF($A794="","",IFERROR(VALUE(MID(TRIM('Template Setup'!$C$5),FIND("-",TRIM('Template Setup'!$C$5))+1,10)),0))</f>
        <v/>
      </c>
      <c r="N794" s="11" t="str">
        <f>IF($A794="","",IFERROR(VALUE(MID(TRIM('Template Setup'!$C$6),FIND("-",TRIM('Template Setup'!$C$6))+1,10)),0))</f>
        <v/>
      </c>
      <c r="O794" s="11" t="str">
        <f>IF($A794="","",IFERROR(VALUE(MID(TRIM('Template Setup'!$C$7),FIND("-",TRIM('Template Setup'!$C$7))+1,10)),0))</f>
        <v/>
      </c>
      <c r="P794" s="11" t="str">
        <f>IF($A794="","",IFERROR(VALUE(MID(TRIM('Template Setup'!$C$8),FIND("-",TRIM('Template Setup'!$C$8))+1,10)),0))</f>
        <v/>
      </c>
      <c r="Q794" s="9" t="str">
        <f>IF($A794="","",$A794&amp;"-"&amp;'Template Setup'!$C$16)</f>
        <v/>
      </c>
      <c r="R794" s="24" t="str">
        <f t="shared" si="49"/>
        <v/>
      </c>
      <c r="S794" s="24"/>
      <c r="T794" s="24" t="str">
        <f t="shared" si="50"/>
        <v/>
      </c>
      <c r="U794" s="6" t="str">
        <f t="shared" si="52"/>
        <v/>
      </c>
    </row>
    <row r="795" spans="1:21">
      <c r="A795" s="11"/>
      <c r="B795" s="11"/>
      <c r="C795" s="11"/>
      <c r="D795" s="11" t="str">
        <f>IF($A795="","",_xlfn.TEXTJOIN(", ",TRUE,IF($G795&gt;0,'Template Setup'!$C$4,""),IF($H795&gt;0,'Template Setup'!$C$5,""),IF($I795&gt;0,'Template Setup'!$C$6,""),IF($J795&gt;0,'Template Setup'!$C$7,""),IF($K795&gt;0,'Template Setup'!$C$8,"")))</f>
        <v/>
      </c>
      <c r="E795" s="6" t="str" cm="1">
        <f t="array" ref="E795">IF($A795="","",_xlfn.LET(_xlpm.sheets,CHOOSE({1,2,3,4,5},'Template Setup'!$C$4,'Template Setup'!$C$5,'Template Setup'!$C$6,'Template Setup'!$C$7,'Template Setup'!$C$8),_xlpm.nums,CHOOSE({1,2,3,4,5},$L795,$M795,$N795,$O795,$P795),_xlpm.qtys,CHOOSE({1,2,3,4,5},$G795,$H795,$I795,$J795,$K795),_xlpm.validNums,_xlfn._xlws.FILTER(_xlpm.nums,_xlpm.qtys&gt;0),_xlpm.validSheets,_xlfn._xlws.FILTER(_xlpm.sheets,_xlpm.qtys&gt;0),_xlpm.mx,IFERROR(MAX(_xlpm.validNums),0),IF(_xlpm.mx=0,"",INDEX(_xlpm.validSheets,MATCH(_xlpm.mx,_xlpm.validNums,0))&amp;" (+"&amp;$R795&amp;")")))</f>
        <v/>
      </c>
      <c r="F795" s="11" t="str">
        <f t="shared" si="51"/>
        <v/>
      </c>
      <c r="G795" s="12" t="str">
        <f ca="1">IF($A795="","",IFERROR(SUMIF(INDIRECT("'"&amp;'Template Setup'!$C$4&amp;"'!C:C"),$A795,INDIRECT("'"&amp;'Template Setup'!$C$4&amp;"'!A:A")),0))</f>
        <v/>
      </c>
      <c r="H795" s="12" t="str">
        <f ca="1">IF($A795="","",IFERROR(SUMIF(INDIRECT("'"&amp;'Template Setup'!$C$5&amp;"'!C:C"),$A795,INDIRECT("'"&amp;'Template Setup'!$C$5&amp;"'!A:A")),0))</f>
        <v/>
      </c>
      <c r="I795" s="12" t="str">
        <f ca="1">IF($A795="","",IFERROR(SUMIF(INDIRECT("'"&amp;'Template Setup'!$C$6&amp;"'!C:C"),$A795,INDIRECT("'"&amp;'Template Setup'!$C$6&amp;"'!A:A")),0))</f>
        <v/>
      </c>
      <c r="J795" s="12" t="str">
        <f ca="1">IF($A795="","",IFERROR(SUMIF(INDIRECT("'"&amp;'Template Setup'!$C$7&amp;"'!C:C"),$A795,INDIRECT("'"&amp;'Template Setup'!$C$7&amp;"'!A:A")),0))</f>
        <v/>
      </c>
      <c r="K795" s="12" t="str">
        <f ca="1">IF($A795="","",IFERROR(SUMIF(INDIRECT("'"&amp;'Template Setup'!$C$8&amp;"'!C:C"),$A795,INDIRECT("'"&amp;'Template Setup'!$C$8&amp;"'!A:A")),0))</f>
        <v/>
      </c>
      <c r="L795" s="11" t="str">
        <f>IF($A795="","",IFERROR(VALUE(MID(TRIM('Template Setup'!$C$4),FIND("-",TRIM('Template Setup'!$C$4))+1,10)),0))</f>
        <v/>
      </c>
      <c r="M795" s="11" t="str">
        <f>IF($A795="","",IFERROR(VALUE(MID(TRIM('Template Setup'!$C$5),FIND("-",TRIM('Template Setup'!$C$5))+1,10)),0))</f>
        <v/>
      </c>
      <c r="N795" s="11" t="str">
        <f>IF($A795="","",IFERROR(VALUE(MID(TRIM('Template Setup'!$C$6),FIND("-",TRIM('Template Setup'!$C$6))+1,10)),0))</f>
        <v/>
      </c>
      <c r="O795" s="11" t="str">
        <f>IF($A795="","",IFERROR(VALUE(MID(TRIM('Template Setup'!$C$7),FIND("-",TRIM('Template Setup'!$C$7))+1,10)),0))</f>
        <v/>
      </c>
      <c r="P795" s="11" t="str">
        <f>IF($A795="","",IFERROR(VALUE(MID(TRIM('Template Setup'!$C$8),FIND("-",TRIM('Template Setup'!$C$8))+1,10)),0))</f>
        <v/>
      </c>
      <c r="Q795" s="9" t="str">
        <f>IF($A795="","",$A795&amp;"-"&amp;'Template Setup'!$C$16)</f>
        <v/>
      </c>
      <c r="R795" s="24" t="str">
        <f t="shared" si="49"/>
        <v/>
      </c>
      <c r="S795" s="24"/>
      <c r="T795" s="24" t="str">
        <f t="shared" si="50"/>
        <v/>
      </c>
      <c r="U795" s="6" t="str">
        <f t="shared" si="52"/>
        <v/>
      </c>
    </row>
    <row r="796" spans="1:21">
      <c r="A796" s="11"/>
      <c r="B796" s="11"/>
      <c r="C796" s="11"/>
      <c r="D796" s="11" t="str">
        <f>IF($A796="","",_xlfn.TEXTJOIN(", ",TRUE,IF($G796&gt;0,'Template Setup'!$C$4,""),IF($H796&gt;0,'Template Setup'!$C$5,""),IF($I796&gt;0,'Template Setup'!$C$6,""),IF($J796&gt;0,'Template Setup'!$C$7,""),IF($K796&gt;0,'Template Setup'!$C$8,"")))</f>
        <v/>
      </c>
      <c r="E796" s="6" t="str" cm="1">
        <f t="array" ref="E796">IF($A796="","",_xlfn.LET(_xlpm.sheets,CHOOSE({1,2,3,4,5},'Template Setup'!$C$4,'Template Setup'!$C$5,'Template Setup'!$C$6,'Template Setup'!$C$7,'Template Setup'!$C$8),_xlpm.nums,CHOOSE({1,2,3,4,5},$L796,$M796,$N796,$O796,$P796),_xlpm.qtys,CHOOSE({1,2,3,4,5},$G796,$H796,$I796,$J796,$K796),_xlpm.validNums,_xlfn._xlws.FILTER(_xlpm.nums,_xlpm.qtys&gt;0),_xlpm.validSheets,_xlfn._xlws.FILTER(_xlpm.sheets,_xlpm.qtys&gt;0),_xlpm.mx,IFERROR(MAX(_xlpm.validNums),0),IF(_xlpm.mx=0,"",INDEX(_xlpm.validSheets,MATCH(_xlpm.mx,_xlpm.validNums,0))&amp;" (+"&amp;$R796&amp;")")))</f>
        <v/>
      </c>
      <c r="F796" s="11" t="str">
        <f t="shared" si="51"/>
        <v/>
      </c>
      <c r="G796" s="12" t="str">
        <f ca="1">IF($A796="","",IFERROR(SUMIF(INDIRECT("'"&amp;'Template Setup'!$C$4&amp;"'!C:C"),$A796,INDIRECT("'"&amp;'Template Setup'!$C$4&amp;"'!A:A")),0))</f>
        <v/>
      </c>
      <c r="H796" s="12" t="str">
        <f ca="1">IF($A796="","",IFERROR(SUMIF(INDIRECT("'"&amp;'Template Setup'!$C$5&amp;"'!C:C"),$A796,INDIRECT("'"&amp;'Template Setup'!$C$5&amp;"'!A:A")),0))</f>
        <v/>
      </c>
      <c r="I796" s="12" t="str">
        <f ca="1">IF($A796="","",IFERROR(SUMIF(INDIRECT("'"&amp;'Template Setup'!$C$6&amp;"'!C:C"),$A796,INDIRECT("'"&amp;'Template Setup'!$C$6&amp;"'!A:A")),0))</f>
        <v/>
      </c>
      <c r="J796" s="12" t="str">
        <f ca="1">IF($A796="","",IFERROR(SUMIF(INDIRECT("'"&amp;'Template Setup'!$C$7&amp;"'!C:C"),$A796,INDIRECT("'"&amp;'Template Setup'!$C$7&amp;"'!A:A")),0))</f>
        <v/>
      </c>
      <c r="K796" s="12" t="str">
        <f ca="1">IF($A796="","",IFERROR(SUMIF(INDIRECT("'"&amp;'Template Setup'!$C$8&amp;"'!C:C"),$A796,INDIRECT("'"&amp;'Template Setup'!$C$8&amp;"'!A:A")),0))</f>
        <v/>
      </c>
      <c r="L796" s="11" t="str">
        <f>IF($A796="","",IFERROR(VALUE(MID(TRIM('Template Setup'!$C$4),FIND("-",TRIM('Template Setup'!$C$4))+1,10)),0))</f>
        <v/>
      </c>
      <c r="M796" s="11" t="str">
        <f>IF($A796="","",IFERROR(VALUE(MID(TRIM('Template Setup'!$C$5),FIND("-",TRIM('Template Setup'!$C$5))+1,10)),0))</f>
        <v/>
      </c>
      <c r="N796" s="11" t="str">
        <f>IF($A796="","",IFERROR(VALUE(MID(TRIM('Template Setup'!$C$6),FIND("-",TRIM('Template Setup'!$C$6))+1,10)),0))</f>
        <v/>
      </c>
      <c r="O796" s="11" t="str">
        <f>IF($A796="","",IFERROR(VALUE(MID(TRIM('Template Setup'!$C$7),FIND("-",TRIM('Template Setup'!$C$7))+1,10)),0))</f>
        <v/>
      </c>
      <c r="P796" s="11" t="str">
        <f>IF($A796="","",IFERROR(VALUE(MID(TRIM('Template Setup'!$C$8),FIND("-",TRIM('Template Setup'!$C$8))+1,10)),0))</f>
        <v/>
      </c>
      <c r="Q796" s="9" t="str">
        <f>IF($A796="","",$A796&amp;"-"&amp;'Template Setup'!$C$16)</f>
        <v/>
      </c>
      <c r="R796" s="24" t="str">
        <f t="shared" si="49"/>
        <v/>
      </c>
      <c r="S796" s="24"/>
      <c r="T796" s="24" t="str">
        <f t="shared" si="50"/>
        <v/>
      </c>
      <c r="U796" s="6" t="str">
        <f t="shared" si="52"/>
        <v/>
      </c>
    </row>
    <row r="797" spans="1:21">
      <c r="A797" s="11"/>
      <c r="B797" s="11"/>
      <c r="C797" s="11"/>
      <c r="D797" s="11" t="str">
        <f>IF($A797="","",_xlfn.TEXTJOIN(", ",TRUE,IF($G797&gt;0,'Template Setup'!$C$4,""),IF($H797&gt;0,'Template Setup'!$C$5,""),IF($I797&gt;0,'Template Setup'!$C$6,""),IF($J797&gt;0,'Template Setup'!$C$7,""),IF($K797&gt;0,'Template Setup'!$C$8,"")))</f>
        <v/>
      </c>
      <c r="E797" s="6" t="str" cm="1">
        <f t="array" ref="E797">IF($A797="","",_xlfn.LET(_xlpm.sheets,CHOOSE({1,2,3,4,5},'Template Setup'!$C$4,'Template Setup'!$C$5,'Template Setup'!$C$6,'Template Setup'!$C$7,'Template Setup'!$C$8),_xlpm.nums,CHOOSE({1,2,3,4,5},$L797,$M797,$N797,$O797,$P797),_xlpm.qtys,CHOOSE({1,2,3,4,5},$G797,$H797,$I797,$J797,$K797),_xlpm.validNums,_xlfn._xlws.FILTER(_xlpm.nums,_xlpm.qtys&gt;0),_xlpm.validSheets,_xlfn._xlws.FILTER(_xlpm.sheets,_xlpm.qtys&gt;0),_xlpm.mx,IFERROR(MAX(_xlpm.validNums),0),IF(_xlpm.mx=0,"",INDEX(_xlpm.validSheets,MATCH(_xlpm.mx,_xlpm.validNums,0))&amp;" (+"&amp;$R797&amp;")")))</f>
        <v/>
      </c>
      <c r="F797" s="11" t="str">
        <f t="shared" si="51"/>
        <v/>
      </c>
      <c r="G797" s="12" t="str">
        <f ca="1">IF($A797="","",IFERROR(SUMIF(INDIRECT("'"&amp;'Template Setup'!$C$4&amp;"'!C:C"),$A797,INDIRECT("'"&amp;'Template Setup'!$C$4&amp;"'!A:A")),0))</f>
        <v/>
      </c>
      <c r="H797" s="12" t="str">
        <f ca="1">IF($A797="","",IFERROR(SUMIF(INDIRECT("'"&amp;'Template Setup'!$C$5&amp;"'!C:C"),$A797,INDIRECT("'"&amp;'Template Setup'!$C$5&amp;"'!A:A")),0))</f>
        <v/>
      </c>
      <c r="I797" s="12" t="str">
        <f ca="1">IF($A797="","",IFERROR(SUMIF(INDIRECT("'"&amp;'Template Setup'!$C$6&amp;"'!C:C"),$A797,INDIRECT("'"&amp;'Template Setup'!$C$6&amp;"'!A:A")),0))</f>
        <v/>
      </c>
      <c r="J797" s="12" t="str">
        <f ca="1">IF($A797="","",IFERROR(SUMIF(INDIRECT("'"&amp;'Template Setup'!$C$7&amp;"'!C:C"),$A797,INDIRECT("'"&amp;'Template Setup'!$C$7&amp;"'!A:A")),0))</f>
        <v/>
      </c>
      <c r="K797" s="12" t="str">
        <f ca="1">IF($A797="","",IFERROR(SUMIF(INDIRECT("'"&amp;'Template Setup'!$C$8&amp;"'!C:C"),$A797,INDIRECT("'"&amp;'Template Setup'!$C$8&amp;"'!A:A")),0))</f>
        <v/>
      </c>
      <c r="L797" s="11" t="str">
        <f>IF($A797="","",IFERROR(VALUE(MID(TRIM('Template Setup'!$C$4),FIND("-",TRIM('Template Setup'!$C$4))+1,10)),0))</f>
        <v/>
      </c>
      <c r="M797" s="11" t="str">
        <f>IF($A797="","",IFERROR(VALUE(MID(TRIM('Template Setup'!$C$5),FIND("-",TRIM('Template Setup'!$C$5))+1,10)),0))</f>
        <v/>
      </c>
      <c r="N797" s="11" t="str">
        <f>IF($A797="","",IFERROR(VALUE(MID(TRIM('Template Setup'!$C$6),FIND("-",TRIM('Template Setup'!$C$6))+1,10)),0))</f>
        <v/>
      </c>
      <c r="O797" s="11" t="str">
        <f>IF($A797="","",IFERROR(VALUE(MID(TRIM('Template Setup'!$C$7),FIND("-",TRIM('Template Setup'!$C$7))+1,10)),0))</f>
        <v/>
      </c>
      <c r="P797" s="11" t="str">
        <f>IF($A797="","",IFERROR(VALUE(MID(TRIM('Template Setup'!$C$8),FIND("-",TRIM('Template Setup'!$C$8))+1,10)),0))</f>
        <v/>
      </c>
      <c r="Q797" s="9" t="str">
        <f>IF($A797="","",$A797&amp;"-"&amp;'Template Setup'!$C$16)</f>
        <v/>
      </c>
      <c r="R797" s="24" t="str">
        <f t="shared" si="49"/>
        <v/>
      </c>
      <c r="S797" s="24"/>
      <c r="T797" s="24" t="str">
        <f t="shared" si="50"/>
        <v/>
      </c>
      <c r="U797" s="6" t="str">
        <f t="shared" si="52"/>
        <v/>
      </c>
    </row>
    <row r="798" spans="1:21">
      <c r="A798" s="11"/>
      <c r="B798" s="11"/>
      <c r="C798" s="11"/>
      <c r="D798" s="11" t="str">
        <f>IF($A798="","",_xlfn.TEXTJOIN(", ",TRUE,IF($G798&gt;0,'Template Setup'!$C$4,""),IF($H798&gt;0,'Template Setup'!$C$5,""),IF($I798&gt;0,'Template Setup'!$C$6,""),IF($J798&gt;0,'Template Setup'!$C$7,""),IF($K798&gt;0,'Template Setup'!$C$8,"")))</f>
        <v/>
      </c>
      <c r="E798" s="6" t="str" cm="1">
        <f t="array" ref="E798">IF($A798="","",_xlfn.LET(_xlpm.sheets,CHOOSE({1,2,3,4,5},'Template Setup'!$C$4,'Template Setup'!$C$5,'Template Setup'!$C$6,'Template Setup'!$C$7,'Template Setup'!$C$8),_xlpm.nums,CHOOSE({1,2,3,4,5},$L798,$M798,$N798,$O798,$P798),_xlpm.qtys,CHOOSE({1,2,3,4,5},$G798,$H798,$I798,$J798,$K798),_xlpm.validNums,_xlfn._xlws.FILTER(_xlpm.nums,_xlpm.qtys&gt;0),_xlpm.validSheets,_xlfn._xlws.FILTER(_xlpm.sheets,_xlpm.qtys&gt;0),_xlpm.mx,IFERROR(MAX(_xlpm.validNums),0),IF(_xlpm.mx=0,"",INDEX(_xlpm.validSheets,MATCH(_xlpm.mx,_xlpm.validNums,0))&amp;" (+"&amp;$R798&amp;")")))</f>
        <v/>
      </c>
      <c r="F798" s="11" t="str">
        <f t="shared" si="51"/>
        <v/>
      </c>
      <c r="G798" s="12" t="str">
        <f ca="1">IF($A798="","",IFERROR(SUMIF(INDIRECT("'"&amp;'Template Setup'!$C$4&amp;"'!C:C"),$A798,INDIRECT("'"&amp;'Template Setup'!$C$4&amp;"'!A:A")),0))</f>
        <v/>
      </c>
      <c r="H798" s="12" t="str">
        <f ca="1">IF($A798="","",IFERROR(SUMIF(INDIRECT("'"&amp;'Template Setup'!$C$5&amp;"'!C:C"),$A798,INDIRECT("'"&amp;'Template Setup'!$C$5&amp;"'!A:A")),0))</f>
        <v/>
      </c>
      <c r="I798" s="12" t="str">
        <f ca="1">IF($A798="","",IFERROR(SUMIF(INDIRECT("'"&amp;'Template Setup'!$C$6&amp;"'!C:C"),$A798,INDIRECT("'"&amp;'Template Setup'!$C$6&amp;"'!A:A")),0))</f>
        <v/>
      </c>
      <c r="J798" s="12" t="str">
        <f ca="1">IF($A798="","",IFERROR(SUMIF(INDIRECT("'"&amp;'Template Setup'!$C$7&amp;"'!C:C"),$A798,INDIRECT("'"&amp;'Template Setup'!$C$7&amp;"'!A:A")),0))</f>
        <v/>
      </c>
      <c r="K798" s="12" t="str">
        <f ca="1">IF($A798="","",IFERROR(SUMIF(INDIRECT("'"&amp;'Template Setup'!$C$8&amp;"'!C:C"),$A798,INDIRECT("'"&amp;'Template Setup'!$C$8&amp;"'!A:A")),0))</f>
        <v/>
      </c>
      <c r="L798" s="11" t="str">
        <f>IF($A798="","",IFERROR(VALUE(MID(TRIM('Template Setup'!$C$4),FIND("-",TRIM('Template Setup'!$C$4))+1,10)),0))</f>
        <v/>
      </c>
      <c r="M798" s="11" t="str">
        <f>IF($A798="","",IFERROR(VALUE(MID(TRIM('Template Setup'!$C$5),FIND("-",TRIM('Template Setup'!$C$5))+1,10)),0))</f>
        <v/>
      </c>
      <c r="N798" s="11" t="str">
        <f>IF($A798="","",IFERROR(VALUE(MID(TRIM('Template Setup'!$C$6),FIND("-",TRIM('Template Setup'!$C$6))+1,10)),0))</f>
        <v/>
      </c>
      <c r="O798" s="11" t="str">
        <f>IF($A798="","",IFERROR(VALUE(MID(TRIM('Template Setup'!$C$7),FIND("-",TRIM('Template Setup'!$C$7))+1,10)),0))</f>
        <v/>
      </c>
      <c r="P798" s="11" t="str">
        <f>IF($A798="","",IFERROR(VALUE(MID(TRIM('Template Setup'!$C$8),FIND("-",TRIM('Template Setup'!$C$8))+1,10)),0))</f>
        <v/>
      </c>
      <c r="Q798" s="9" t="str">
        <f>IF($A798="","",$A798&amp;"-"&amp;'Template Setup'!$C$16)</f>
        <v/>
      </c>
      <c r="R798" s="24" t="str">
        <f t="shared" si="49"/>
        <v/>
      </c>
      <c r="S798" s="24"/>
      <c r="T798" s="24" t="str">
        <f t="shared" si="50"/>
        <v/>
      </c>
      <c r="U798" s="6" t="str">
        <f t="shared" si="52"/>
        <v/>
      </c>
    </row>
    <row r="799" spans="1:21">
      <c r="A799" s="11"/>
      <c r="B799" s="11"/>
      <c r="C799" s="11"/>
      <c r="D799" s="11" t="str">
        <f>IF($A799="","",_xlfn.TEXTJOIN(", ",TRUE,IF($G799&gt;0,'Template Setup'!$C$4,""),IF($H799&gt;0,'Template Setup'!$C$5,""),IF($I799&gt;0,'Template Setup'!$C$6,""),IF($J799&gt;0,'Template Setup'!$C$7,""),IF($K799&gt;0,'Template Setup'!$C$8,"")))</f>
        <v/>
      </c>
      <c r="E799" s="6" t="str" cm="1">
        <f t="array" ref="E799">IF($A799="","",_xlfn.LET(_xlpm.sheets,CHOOSE({1,2,3,4,5},'Template Setup'!$C$4,'Template Setup'!$C$5,'Template Setup'!$C$6,'Template Setup'!$C$7,'Template Setup'!$C$8),_xlpm.nums,CHOOSE({1,2,3,4,5},$L799,$M799,$N799,$O799,$P799),_xlpm.qtys,CHOOSE({1,2,3,4,5},$G799,$H799,$I799,$J799,$K799),_xlpm.validNums,_xlfn._xlws.FILTER(_xlpm.nums,_xlpm.qtys&gt;0),_xlpm.validSheets,_xlfn._xlws.FILTER(_xlpm.sheets,_xlpm.qtys&gt;0),_xlpm.mx,IFERROR(MAX(_xlpm.validNums),0),IF(_xlpm.mx=0,"",INDEX(_xlpm.validSheets,MATCH(_xlpm.mx,_xlpm.validNums,0))&amp;" (+"&amp;$R799&amp;")")))</f>
        <v/>
      </c>
      <c r="F799" s="11" t="str">
        <f t="shared" si="51"/>
        <v/>
      </c>
      <c r="G799" s="12" t="str">
        <f ca="1">IF($A799="","",IFERROR(SUMIF(INDIRECT("'"&amp;'Template Setup'!$C$4&amp;"'!C:C"),$A799,INDIRECT("'"&amp;'Template Setup'!$C$4&amp;"'!A:A")),0))</f>
        <v/>
      </c>
      <c r="H799" s="12" t="str">
        <f ca="1">IF($A799="","",IFERROR(SUMIF(INDIRECT("'"&amp;'Template Setup'!$C$5&amp;"'!C:C"),$A799,INDIRECT("'"&amp;'Template Setup'!$C$5&amp;"'!A:A")),0))</f>
        <v/>
      </c>
      <c r="I799" s="12" t="str">
        <f ca="1">IF($A799="","",IFERROR(SUMIF(INDIRECT("'"&amp;'Template Setup'!$C$6&amp;"'!C:C"),$A799,INDIRECT("'"&amp;'Template Setup'!$C$6&amp;"'!A:A")),0))</f>
        <v/>
      </c>
      <c r="J799" s="12" t="str">
        <f ca="1">IF($A799="","",IFERROR(SUMIF(INDIRECT("'"&amp;'Template Setup'!$C$7&amp;"'!C:C"),$A799,INDIRECT("'"&amp;'Template Setup'!$C$7&amp;"'!A:A")),0))</f>
        <v/>
      </c>
      <c r="K799" s="12" t="str">
        <f ca="1">IF($A799="","",IFERROR(SUMIF(INDIRECT("'"&amp;'Template Setup'!$C$8&amp;"'!C:C"),$A799,INDIRECT("'"&amp;'Template Setup'!$C$8&amp;"'!A:A")),0))</f>
        <v/>
      </c>
      <c r="L799" s="11" t="str">
        <f>IF($A799="","",IFERROR(VALUE(MID(TRIM('Template Setup'!$C$4),FIND("-",TRIM('Template Setup'!$C$4))+1,10)),0))</f>
        <v/>
      </c>
      <c r="M799" s="11" t="str">
        <f>IF($A799="","",IFERROR(VALUE(MID(TRIM('Template Setup'!$C$5),FIND("-",TRIM('Template Setup'!$C$5))+1,10)),0))</f>
        <v/>
      </c>
      <c r="N799" s="11" t="str">
        <f>IF($A799="","",IFERROR(VALUE(MID(TRIM('Template Setup'!$C$6),FIND("-",TRIM('Template Setup'!$C$6))+1,10)),0))</f>
        <v/>
      </c>
      <c r="O799" s="11" t="str">
        <f>IF($A799="","",IFERROR(VALUE(MID(TRIM('Template Setup'!$C$7),FIND("-",TRIM('Template Setup'!$C$7))+1,10)),0))</f>
        <v/>
      </c>
      <c r="P799" s="11" t="str">
        <f>IF($A799="","",IFERROR(VALUE(MID(TRIM('Template Setup'!$C$8),FIND("-",TRIM('Template Setup'!$C$8))+1,10)),0))</f>
        <v/>
      </c>
      <c r="Q799" s="9" t="str">
        <f>IF($A799="","",$A799&amp;"-"&amp;'Template Setup'!$C$16)</f>
        <v/>
      </c>
      <c r="R799" s="24" t="str">
        <f t="shared" si="49"/>
        <v/>
      </c>
      <c r="S799" s="24"/>
      <c r="T799" s="24" t="str">
        <f t="shared" si="50"/>
        <v/>
      </c>
      <c r="U799" s="6" t="str">
        <f t="shared" si="52"/>
        <v/>
      </c>
    </row>
    <row r="800" spans="1:21">
      <c r="A800" s="11"/>
      <c r="B800" s="11"/>
      <c r="C800" s="11"/>
      <c r="D800" s="11" t="str">
        <f>IF($A800="","",_xlfn.TEXTJOIN(", ",TRUE,IF($G800&gt;0,'Template Setup'!$C$4,""),IF($H800&gt;0,'Template Setup'!$C$5,""),IF($I800&gt;0,'Template Setup'!$C$6,""),IF($J800&gt;0,'Template Setup'!$C$7,""),IF($K800&gt;0,'Template Setup'!$C$8,"")))</f>
        <v/>
      </c>
      <c r="E800" s="6" t="str" cm="1">
        <f t="array" ref="E800">IF($A800="","",_xlfn.LET(_xlpm.sheets,CHOOSE({1,2,3,4,5},'Template Setup'!$C$4,'Template Setup'!$C$5,'Template Setup'!$C$6,'Template Setup'!$C$7,'Template Setup'!$C$8),_xlpm.nums,CHOOSE({1,2,3,4,5},$L800,$M800,$N800,$O800,$P800),_xlpm.qtys,CHOOSE({1,2,3,4,5},$G800,$H800,$I800,$J800,$K800),_xlpm.validNums,_xlfn._xlws.FILTER(_xlpm.nums,_xlpm.qtys&gt;0),_xlpm.validSheets,_xlfn._xlws.FILTER(_xlpm.sheets,_xlpm.qtys&gt;0),_xlpm.mx,IFERROR(MAX(_xlpm.validNums),0),IF(_xlpm.mx=0,"",INDEX(_xlpm.validSheets,MATCH(_xlpm.mx,_xlpm.validNums,0))&amp;" (+"&amp;$R800&amp;")")))</f>
        <v/>
      </c>
      <c r="F800" s="11" t="str">
        <f t="shared" si="51"/>
        <v/>
      </c>
      <c r="G800" s="12" t="str">
        <f ca="1">IF($A800="","",IFERROR(SUMIF(INDIRECT("'"&amp;'Template Setup'!$C$4&amp;"'!C:C"),$A800,INDIRECT("'"&amp;'Template Setup'!$C$4&amp;"'!A:A")),0))</f>
        <v/>
      </c>
      <c r="H800" s="12" t="str">
        <f ca="1">IF($A800="","",IFERROR(SUMIF(INDIRECT("'"&amp;'Template Setup'!$C$5&amp;"'!C:C"),$A800,INDIRECT("'"&amp;'Template Setup'!$C$5&amp;"'!A:A")),0))</f>
        <v/>
      </c>
      <c r="I800" s="12" t="str">
        <f ca="1">IF($A800="","",IFERROR(SUMIF(INDIRECT("'"&amp;'Template Setup'!$C$6&amp;"'!C:C"),$A800,INDIRECT("'"&amp;'Template Setup'!$C$6&amp;"'!A:A")),0))</f>
        <v/>
      </c>
      <c r="J800" s="12" t="str">
        <f ca="1">IF($A800="","",IFERROR(SUMIF(INDIRECT("'"&amp;'Template Setup'!$C$7&amp;"'!C:C"),$A800,INDIRECT("'"&amp;'Template Setup'!$C$7&amp;"'!A:A")),0))</f>
        <v/>
      </c>
      <c r="K800" s="12" t="str">
        <f ca="1">IF($A800="","",IFERROR(SUMIF(INDIRECT("'"&amp;'Template Setup'!$C$8&amp;"'!C:C"),$A800,INDIRECT("'"&amp;'Template Setup'!$C$8&amp;"'!A:A")),0))</f>
        <v/>
      </c>
      <c r="L800" s="11" t="str">
        <f>IF($A800="","",IFERROR(VALUE(MID(TRIM('Template Setup'!$C$4),FIND("-",TRIM('Template Setup'!$C$4))+1,10)),0))</f>
        <v/>
      </c>
      <c r="M800" s="11" t="str">
        <f>IF($A800="","",IFERROR(VALUE(MID(TRIM('Template Setup'!$C$5),FIND("-",TRIM('Template Setup'!$C$5))+1,10)),0))</f>
        <v/>
      </c>
      <c r="N800" s="11" t="str">
        <f>IF($A800="","",IFERROR(VALUE(MID(TRIM('Template Setup'!$C$6),FIND("-",TRIM('Template Setup'!$C$6))+1,10)),0))</f>
        <v/>
      </c>
      <c r="O800" s="11" t="str">
        <f>IF($A800="","",IFERROR(VALUE(MID(TRIM('Template Setup'!$C$7),FIND("-",TRIM('Template Setup'!$C$7))+1,10)),0))</f>
        <v/>
      </c>
      <c r="P800" s="11" t="str">
        <f>IF($A800="","",IFERROR(VALUE(MID(TRIM('Template Setup'!$C$8),FIND("-",TRIM('Template Setup'!$C$8))+1,10)),0))</f>
        <v/>
      </c>
      <c r="Q800" s="9" t="str">
        <f>IF($A800="","",$A800&amp;"-"&amp;'Template Setup'!$C$16)</f>
        <v/>
      </c>
      <c r="R800" s="24" t="str">
        <f t="shared" si="49"/>
        <v/>
      </c>
      <c r="S800" s="24"/>
      <c r="T800" s="24" t="str">
        <f t="shared" si="50"/>
        <v/>
      </c>
      <c r="U800" s="6" t="str">
        <f t="shared" si="52"/>
        <v/>
      </c>
    </row>
    <row r="801" spans="1:21">
      <c r="A801" s="11"/>
      <c r="B801" s="11"/>
      <c r="C801" s="11"/>
      <c r="D801" s="11" t="str">
        <f>IF($A801="","",_xlfn.TEXTJOIN(", ",TRUE,IF($G801&gt;0,'Template Setup'!$C$4,""),IF($H801&gt;0,'Template Setup'!$C$5,""),IF($I801&gt;0,'Template Setup'!$C$6,""),IF($J801&gt;0,'Template Setup'!$C$7,""),IF($K801&gt;0,'Template Setup'!$C$8,"")))</f>
        <v/>
      </c>
      <c r="E801" s="6" t="str" cm="1">
        <f t="array" ref="E801">IF($A801="","",_xlfn.LET(_xlpm.sheets,CHOOSE({1,2,3,4,5},'Template Setup'!$C$4,'Template Setup'!$C$5,'Template Setup'!$C$6,'Template Setup'!$C$7,'Template Setup'!$C$8),_xlpm.nums,CHOOSE({1,2,3,4,5},$L801,$M801,$N801,$O801,$P801),_xlpm.qtys,CHOOSE({1,2,3,4,5},$G801,$H801,$I801,$J801,$K801),_xlpm.validNums,_xlfn._xlws.FILTER(_xlpm.nums,_xlpm.qtys&gt;0),_xlpm.validSheets,_xlfn._xlws.FILTER(_xlpm.sheets,_xlpm.qtys&gt;0),_xlpm.mx,IFERROR(MAX(_xlpm.validNums),0),IF(_xlpm.mx=0,"",INDEX(_xlpm.validSheets,MATCH(_xlpm.mx,_xlpm.validNums,0))&amp;" (+"&amp;$R801&amp;")")))</f>
        <v/>
      </c>
      <c r="F801" s="11" t="str">
        <f t="shared" si="51"/>
        <v/>
      </c>
      <c r="G801" s="12" t="str">
        <f ca="1">IF($A801="","",IFERROR(SUMIF(INDIRECT("'"&amp;'Template Setup'!$C$4&amp;"'!C:C"),$A801,INDIRECT("'"&amp;'Template Setup'!$C$4&amp;"'!A:A")),0))</f>
        <v/>
      </c>
      <c r="H801" s="12" t="str">
        <f ca="1">IF($A801="","",IFERROR(SUMIF(INDIRECT("'"&amp;'Template Setup'!$C$5&amp;"'!C:C"),$A801,INDIRECT("'"&amp;'Template Setup'!$C$5&amp;"'!A:A")),0))</f>
        <v/>
      </c>
      <c r="I801" s="12" t="str">
        <f ca="1">IF($A801="","",IFERROR(SUMIF(INDIRECT("'"&amp;'Template Setup'!$C$6&amp;"'!C:C"),$A801,INDIRECT("'"&amp;'Template Setup'!$C$6&amp;"'!A:A")),0))</f>
        <v/>
      </c>
      <c r="J801" s="12" t="str">
        <f ca="1">IF($A801="","",IFERROR(SUMIF(INDIRECT("'"&amp;'Template Setup'!$C$7&amp;"'!C:C"),$A801,INDIRECT("'"&amp;'Template Setup'!$C$7&amp;"'!A:A")),0))</f>
        <v/>
      </c>
      <c r="K801" s="12" t="str">
        <f ca="1">IF($A801="","",IFERROR(SUMIF(INDIRECT("'"&amp;'Template Setup'!$C$8&amp;"'!C:C"),$A801,INDIRECT("'"&amp;'Template Setup'!$C$8&amp;"'!A:A")),0))</f>
        <v/>
      </c>
      <c r="L801" s="11" t="str">
        <f>IF($A801="","",IFERROR(VALUE(MID(TRIM('Template Setup'!$C$4),FIND("-",TRIM('Template Setup'!$C$4))+1,10)),0))</f>
        <v/>
      </c>
      <c r="M801" s="11" t="str">
        <f>IF($A801="","",IFERROR(VALUE(MID(TRIM('Template Setup'!$C$5),FIND("-",TRIM('Template Setup'!$C$5))+1,10)),0))</f>
        <v/>
      </c>
      <c r="N801" s="11" t="str">
        <f>IF($A801="","",IFERROR(VALUE(MID(TRIM('Template Setup'!$C$6),FIND("-",TRIM('Template Setup'!$C$6))+1,10)),0))</f>
        <v/>
      </c>
      <c r="O801" s="11" t="str">
        <f>IF($A801="","",IFERROR(VALUE(MID(TRIM('Template Setup'!$C$7),FIND("-",TRIM('Template Setup'!$C$7))+1,10)),0))</f>
        <v/>
      </c>
      <c r="P801" s="11" t="str">
        <f>IF($A801="","",IFERROR(VALUE(MID(TRIM('Template Setup'!$C$8),FIND("-",TRIM('Template Setup'!$C$8))+1,10)),0))</f>
        <v/>
      </c>
      <c r="Q801" s="9" t="str">
        <f>IF($A801="","",$A801&amp;"-"&amp;'Template Setup'!$C$16)</f>
        <v/>
      </c>
      <c r="R801" s="24" t="str">
        <f t="shared" si="49"/>
        <v/>
      </c>
      <c r="S801" s="24"/>
      <c r="T801" s="24" t="str">
        <f t="shared" si="50"/>
        <v/>
      </c>
      <c r="U801" s="6" t="str">
        <f t="shared" si="52"/>
        <v/>
      </c>
    </row>
    <row r="802" spans="1:21">
      <c r="A802" s="11"/>
      <c r="B802" s="11"/>
      <c r="C802" s="11"/>
      <c r="D802" s="11" t="str">
        <f>IF($A802="","",_xlfn.TEXTJOIN(", ",TRUE,IF($G802&gt;0,'Template Setup'!$C$4,""),IF($H802&gt;0,'Template Setup'!$C$5,""),IF($I802&gt;0,'Template Setup'!$C$6,""),IF($J802&gt;0,'Template Setup'!$C$7,""),IF($K802&gt;0,'Template Setup'!$C$8,"")))</f>
        <v/>
      </c>
      <c r="E802" s="6" t="str" cm="1">
        <f t="array" ref="E802">IF($A802="","",_xlfn.LET(_xlpm.sheets,CHOOSE({1,2,3,4,5},'Template Setup'!$C$4,'Template Setup'!$C$5,'Template Setup'!$C$6,'Template Setup'!$C$7,'Template Setup'!$C$8),_xlpm.nums,CHOOSE({1,2,3,4,5},$L802,$M802,$N802,$O802,$P802),_xlpm.qtys,CHOOSE({1,2,3,4,5},$G802,$H802,$I802,$J802,$K802),_xlpm.validNums,_xlfn._xlws.FILTER(_xlpm.nums,_xlpm.qtys&gt;0),_xlpm.validSheets,_xlfn._xlws.FILTER(_xlpm.sheets,_xlpm.qtys&gt;0),_xlpm.mx,IFERROR(MAX(_xlpm.validNums),0),IF(_xlpm.mx=0,"",INDEX(_xlpm.validSheets,MATCH(_xlpm.mx,_xlpm.validNums,0))&amp;" (+"&amp;$R802&amp;")")))</f>
        <v/>
      </c>
      <c r="F802" s="11" t="str">
        <f t="shared" si="51"/>
        <v/>
      </c>
      <c r="G802" s="12" t="str">
        <f ca="1">IF($A802="","",IFERROR(SUMIF(INDIRECT("'"&amp;'Template Setup'!$C$4&amp;"'!C:C"),$A802,INDIRECT("'"&amp;'Template Setup'!$C$4&amp;"'!A:A")),0))</f>
        <v/>
      </c>
      <c r="H802" s="12" t="str">
        <f ca="1">IF($A802="","",IFERROR(SUMIF(INDIRECT("'"&amp;'Template Setup'!$C$5&amp;"'!C:C"),$A802,INDIRECT("'"&amp;'Template Setup'!$C$5&amp;"'!A:A")),0))</f>
        <v/>
      </c>
      <c r="I802" s="12" t="str">
        <f ca="1">IF($A802="","",IFERROR(SUMIF(INDIRECT("'"&amp;'Template Setup'!$C$6&amp;"'!C:C"),$A802,INDIRECT("'"&amp;'Template Setup'!$C$6&amp;"'!A:A")),0))</f>
        <v/>
      </c>
      <c r="J802" s="12" t="str">
        <f ca="1">IF($A802="","",IFERROR(SUMIF(INDIRECT("'"&amp;'Template Setup'!$C$7&amp;"'!C:C"),$A802,INDIRECT("'"&amp;'Template Setup'!$C$7&amp;"'!A:A")),0))</f>
        <v/>
      </c>
      <c r="K802" s="12" t="str">
        <f ca="1">IF($A802="","",IFERROR(SUMIF(INDIRECT("'"&amp;'Template Setup'!$C$8&amp;"'!C:C"),$A802,INDIRECT("'"&amp;'Template Setup'!$C$8&amp;"'!A:A")),0))</f>
        <v/>
      </c>
      <c r="L802" s="11" t="str">
        <f>IF($A802="","",IFERROR(VALUE(MID(TRIM('Template Setup'!$C$4),FIND("-",TRIM('Template Setup'!$C$4))+1,10)),0))</f>
        <v/>
      </c>
      <c r="M802" s="11" t="str">
        <f>IF($A802="","",IFERROR(VALUE(MID(TRIM('Template Setup'!$C$5),FIND("-",TRIM('Template Setup'!$C$5))+1,10)),0))</f>
        <v/>
      </c>
      <c r="N802" s="11" t="str">
        <f>IF($A802="","",IFERROR(VALUE(MID(TRIM('Template Setup'!$C$6),FIND("-",TRIM('Template Setup'!$C$6))+1,10)),0))</f>
        <v/>
      </c>
      <c r="O802" s="11" t="str">
        <f>IF($A802="","",IFERROR(VALUE(MID(TRIM('Template Setup'!$C$7),FIND("-",TRIM('Template Setup'!$C$7))+1,10)),0))</f>
        <v/>
      </c>
      <c r="P802" s="11" t="str">
        <f>IF($A802="","",IFERROR(VALUE(MID(TRIM('Template Setup'!$C$8),FIND("-",TRIM('Template Setup'!$C$8))+1,10)),0))</f>
        <v/>
      </c>
      <c r="Q802" s="9" t="str">
        <f>IF($A802="","",$A802&amp;"-"&amp;'Template Setup'!$C$16)</f>
        <v/>
      </c>
      <c r="R802" s="24" t="str">
        <f t="shared" si="49"/>
        <v/>
      </c>
      <c r="S802" s="24"/>
      <c r="T802" s="24" t="str">
        <f t="shared" si="50"/>
        <v/>
      </c>
      <c r="U802" s="6" t="str">
        <f t="shared" si="52"/>
        <v/>
      </c>
    </row>
    <row r="803" spans="1:21">
      <c r="A803" s="11"/>
      <c r="B803" s="11"/>
      <c r="C803" s="11"/>
      <c r="D803" s="11" t="str">
        <f>IF($A803="","",_xlfn.TEXTJOIN(", ",TRUE,IF($G803&gt;0,'Template Setup'!$C$4,""),IF($H803&gt;0,'Template Setup'!$C$5,""),IF($I803&gt;0,'Template Setup'!$C$6,""),IF($J803&gt;0,'Template Setup'!$C$7,""),IF($K803&gt;0,'Template Setup'!$C$8,"")))</f>
        <v/>
      </c>
      <c r="E803" s="6" t="str" cm="1">
        <f t="array" ref="E803">IF($A803="","",_xlfn.LET(_xlpm.sheets,CHOOSE({1,2,3,4,5},'Template Setup'!$C$4,'Template Setup'!$C$5,'Template Setup'!$C$6,'Template Setup'!$C$7,'Template Setup'!$C$8),_xlpm.nums,CHOOSE({1,2,3,4,5},$L803,$M803,$N803,$O803,$P803),_xlpm.qtys,CHOOSE({1,2,3,4,5},$G803,$H803,$I803,$J803,$K803),_xlpm.validNums,_xlfn._xlws.FILTER(_xlpm.nums,_xlpm.qtys&gt;0),_xlpm.validSheets,_xlfn._xlws.FILTER(_xlpm.sheets,_xlpm.qtys&gt;0),_xlpm.mx,IFERROR(MAX(_xlpm.validNums),0),IF(_xlpm.mx=0,"",INDEX(_xlpm.validSheets,MATCH(_xlpm.mx,_xlpm.validNums,0))&amp;" (+"&amp;$R803&amp;")")))</f>
        <v/>
      </c>
      <c r="F803" s="11" t="str">
        <f t="shared" si="51"/>
        <v/>
      </c>
      <c r="G803" s="12" t="str">
        <f ca="1">IF($A803="","",IFERROR(SUMIF(INDIRECT("'"&amp;'Template Setup'!$C$4&amp;"'!C:C"),$A803,INDIRECT("'"&amp;'Template Setup'!$C$4&amp;"'!A:A")),0))</f>
        <v/>
      </c>
      <c r="H803" s="12" t="str">
        <f ca="1">IF($A803="","",IFERROR(SUMIF(INDIRECT("'"&amp;'Template Setup'!$C$5&amp;"'!C:C"),$A803,INDIRECT("'"&amp;'Template Setup'!$C$5&amp;"'!A:A")),0))</f>
        <v/>
      </c>
      <c r="I803" s="12" t="str">
        <f ca="1">IF($A803="","",IFERROR(SUMIF(INDIRECT("'"&amp;'Template Setup'!$C$6&amp;"'!C:C"),$A803,INDIRECT("'"&amp;'Template Setup'!$C$6&amp;"'!A:A")),0))</f>
        <v/>
      </c>
      <c r="J803" s="12" t="str">
        <f ca="1">IF($A803="","",IFERROR(SUMIF(INDIRECT("'"&amp;'Template Setup'!$C$7&amp;"'!C:C"),$A803,INDIRECT("'"&amp;'Template Setup'!$C$7&amp;"'!A:A")),0))</f>
        <v/>
      </c>
      <c r="K803" s="12" t="str">
        <f ca="1">IF($A803="","",IFERROR(SUMIF(INDIRECT("'"&amp;'Template Setup'!$C$8&amp;"'!C:C"),$A803,INDIRECT("'"&amp;'Template Setup'!$C$8&amp;"'!A:A")),0))</f>
        <v/>
      </c>
      <c r="L803" s="11" t="str">
        <f>IF($A803="","",IFERROR(VALUE(MID(TRIM('Template Setup'!$C$4),FIND("-",TRIM('Template Setup'!$C$4))+1,10)),0))</f>
        <v/>
      </c>
      <c r="M803" s="11" t="str">
        <f>IF($A803="","",IFERROR(VALUE(MID(TRIM('Template Setup'!$C$5),FIND("-",TRIM('Template Setup'!$C$5))+1,10)),0))</f>
        <v/>
      </c>
      <c r="N803" s="11" t="str">
        <f>IF($A803="","",IFERROR(VALUE(MID(TRIM('Template Setup'!$C$6),FIND("-",TRIM('Template Setup'!$C$6))+1,10)),0))</f>
        <v/>
      </c>
      <c r="O803" s="11" t="str">
        <f>IF($A803="","",IFERROR(VALUE(MID(TRIM('Template Setup'!$C$7),FIND("-",TRIM('Template Setup'!$C$7))+1,10)),0))</f>
        <v/>
      </c>
      <c r="P803" s="11" t="str">
        <f>IF($A803="","",IFERROR(VALUE(MID(TRIM('Template Setup'!$C$8),FIND("-",TRIM('Template Setup'!$C$8))+1,10)),0))</f>
        <v/>
      </c>
      <c r="Q803" s="9" t="str">
        <f>IF($A803="","",$A803&amp;"-"&amp;'Template Setup'!$C$16)</f>
        <v/>
      </c>
      <c r="R803" s="24" t="str">
        <f t="shared" si="49"/>
        <v/>
      </c>
      <c r="S803" s="24"/>
      <c r="T803" s="24" t="str">
        <f t="shared" si="50"/>
        <v/>
      </c>
      <c r="U803" s="6" t="str">
        <f t="shared" si="52"/>
        <v/>
      </c>
    </row>
    <row r="804" spans="1:21">
      <c r="A804" s="11"/>
      <c r="B804" s="11"/>
      <c r="C804" s="11"/>
      <c r="D804" s="11" t="str">
        <f>IF($A804="","",_xlfn.TEXTJOIN(", ",TRUE,IF($G804&gt;0,'Template Setup'!$C$4,""),IF($H804&gt;0,'Template Setup'!$C$5,""),IF($I804&gt;0,'Template Setup'!$C$6,""),IF($J804&gt;0,'Template Setup'!$C$7,""),IF($K804&gt;0,'Template Setup'!$C$8,"")))</f>
        <v/>
      </c>
      <c r="E804" s="6" t="str" cm="1">
        <f t="array" ref="E804">IF($A804="","",_xlfn.LET(_xlpm.sheets,CHOOSE({1,2,3,4,5},'Template Setup'!$C$4,'Template Setup'!$C$5,'Template Setup'!$C$6,'Template Setup'!$C$7,'Template Setup'!$C$8),_xlpm.nums,CHOOSE({1,2,3,4,5},$L804,$M804,$N804,$O804,$P804),_xlpm.qtys,CHOOSE({1,2,3,4,5},$G804,$H804,$I804,$J804,$K804),_xlpm.validNums,_xlfn._xlws.FILTER(_xlpm.nums,_xlpm.qtys&gt;0),_xlpm.validSheets,_xlfn._xlws.FILTER(_xlpm.sheets,_xlpm.qtys&gt;0),_xlpm.mx,IFERROR(MAX(_xlpm.validNums),0),IF(_xlpm.mx=0,"",INDEX(_xlpm.validSheets,MATCH(_xlpm.mx,_xlpm.validNums,0))&amp;" (+"&amp;$R804&amp;")")))</f>
        <v/>
      </c>
      <c r="F804" s="11" t="str">
        <f t="shared" si="51"/>
        <v/>
      </c>
      <c r="G804" s="12" t="str">
        <f ca="1">IF($A804="","",IFERROR(SUMIF(INDIRECT("'"&amp;'Template Setup'!$C$4&amp;"'!C:C"),$A804,INDIRECT("'"&amp;'Template Setup'!$C$4&amp;"'!A:A")),0))</f>
        <v/>
      </c>
      <c r="H804" s="12" t="str">
        <f ca="1">IF($A804="","",IFERROR(SUMIF(INDIRECT("'"&amp;'Template Setup'!$C$5&amp;"'!C:C"),$A804,INDIRECT("'"&amp;'Template Setup'!$C$5&amp;"'!A:A")),0))</f>
        <v/>
      </c>
      <c r="I804" s="12" t="str">
        <f ca="1">IF($A804="","",IFERROR(SUMIF(INDIRECT("'"&amp;'Template Setup'!$C$6&amp;"'!C:C"),$A804,INDIRECT("'"&amp;'Template Setup'!$C$6&amp;"'!A:A")),0))</f>
        <v/>
      </c>
      <c r="J804" s="12" t="str">
        <f ca="1">IF($A804="","",IFERROR(SUMIF(INDIRECT("'"&amp;'Template Setup'!$C$7&amp;"'!C:C"),$A804,INDIRECT("'"&amp;'Template Setup'!$C$7&amp;"'!A:A")),0))</f>
        <v/>
      </c>
      <c r="K804" s="12" t="str">
        <f ca="1">IF($A804="","",IFERROR(SUMIF(INDIRECT("'"&amp;'Template Setup'!$C$8&amp;"'!C:C"),$A804,INDIRECT("'"&amp;'Template Setup'!$C$8&amp;"'!A:A")),0))</f>
        <v/>
      </c>
      <c r="L804" s="11" t="str">
        <f>IF($A804="","",IFERROR(VALUE(MID(TRIM('Template Setup'!$C$4),FIND("-",TRIM('Template Setup'!$C$4))+1,10)),0))</f>
        <v/>
      </c>
      <c r="M804" s="11" t="str">
        <f>IF($A804="","",IFERROR(VALUE(MID(TRIM('Template Setup'!$C$5),FIND("-",TRIM('Template Setup'!$C$5))+1,10)),0))</f>
        <v/>
      </c>
      <c r="N804" s="11" t="str">
        <f>IF($A804="","",IFERROR(VALUE(MID(TRIM('Template Setup'!$C$6),FIND("-",TRIM('Template Setup'!$C$6))+1,10)),0))</f>
        <v/>
      </c>
      <c r="O804" s="11" t="str">
        <f>IF($A804="","",IFERROR(VALUE(MID(TRIM('Template Setup'!$C$7),FIND("-",TRIM('Template Setup'!$C$7))+1,10)),0))</f>
        <v/>
      </c>
      <c r="P804" s="11" t="str">
        <f>IF($A804="","",IFERROR(VALUE(MID(TRIM('Template Setup'!$C$8),FIND("-",TRIM('Template Setup'!$C$8))+1,10)),0))</f>
        <v/>
      </c>
      <c r="Q804" s="9" t="str">
        <f>IF($A804="","",$A804&amp;"-"&amp;'Template Setup'!$C$16)</f>
        <v/>
      </c>
      <c r="R804" s="24" t="str">
        <f t="shared" si="49"/>
        <v/>
      </c>
      <c r="S804" s="24"/>
      <c r="T804" s="24" t="str">
        <f t="shared" si="50"/>
        <v/>
      </c>
      <c r="U804" s="6" t="str">
        <f t="shared" si="52"/>
        <v/>
      </c>
    </row>
    <row r="805" spans="1:21">
      <c r="A805" s="11"/>
      <c r="B805" s="11"/>
      <c r="C805" s="11"/>
      <c r="D805" s="11" t="str">
        <f>IF($A805="","",_xlfn.TEXTJOIN(", ",TRUE,IF($G805&gt;0,'Template Setup'!$C$4,""),IF($H805&gt;0,'Template Setup'!$C$5,""),IF($I805&gt;0,'Template Setup'!$C$6,""),IF($J805&gt;0,'Template Setup'!$C$7,""),IF($K805&gt;0,'Template Setup'!$C$8,"")))</f>
        <v/>
      </c>
      <c r="E805" s="6" t="str" cm="1">
        <f t="array" ref="E805">IF($A805="","",_xlfn.LET(_xlpm.sheets,CHOOSE({1,2,3,4,5},'Template Setup'!$C$4,'Template Setup'!$C$5,'Template Setup'!$C$6,'Template Setup'!$C$7,'Template Setup'!$C$8),_xlpm.nums,CHOOSE({1,2,3,4,5},$L805,$M805,$N805,$O805,$P805),_xlpm.qtys,CHOOSE({1,2,3,4,5},$G805,$H805,$I805,$J805,$K805),_xlpm.validNums,_xlfn._xlws.FILTER(_xlpm.nums,_xlpm.qtys&gt;0),_xlpm.validSheets,_xlfn._xlws.FILTER(_xlpm.sheets,_xlpm.qtys&gt;0),_xlpm.mx,IFERROR(MAX(_xlpm.validNums),0),IF(_xlpm.mx=0,"",INDEX(_xlpm.validSheets,MATCH(_xlpm.mx,_xlpm.validNums,0))&amp;" (+"&amp;$R805&amp;")")))</f>
        <v/>
      </c>
      <c r="F805" s="11" t="str">
        <f t="shared" si="51"/>
        <v/>
      </c>
      <c r="G805" s="12" t="str">
        <f ca="1">IF($A805="","",IFERROR(SUMIF(INDIRECT("'"&amp;'Template Setup'!$C$4&amp;"'!C:C"),$A805,INDIRECT("'"&amp;'Template Setup'!$C$4&amp;"'!A:A")),0))</f>
        <v/>
      </c>
      <c r="H805" s="12" t="str">
        <f ca="1">IF($A805="","",IFERROR(SUMIF(INDIRECT("'"&amp;'Template Setup'!$C$5&amp;"'!C:C"),$A805,INDIRECT("'"&amp;'Template Setup'!$C$5&amp;"'!A:A")),0))</f>
        <v/>
      </c>
      <c r="I805" s="12" t="str">
        <f ca="1">IF($A805="","",IFERROR(SUMIF(INDIRECT("'"&amp;'Template Setup'!$C$6&amp;"'!C:C"),$A805,INDIRECT("'"&amp;'Template Setup'!$C$6&amp;"'!A:A")),0))</f>
        <v/>
      </c>
      <c r="J805" s="12" t="str">
        <f ca="1">IF($A805="","",IFERROR(SUMIF(INDIRECT("'"&amp;'Template Setup'!$C$7&amp;"'!C:C"),$A805,INDIRECT("'"&amp;'Template Setup'!$C$7&amp;"'!A:A")),0))</f>
        <v/>
      </c>
      <c r="K805" s="12" t="str">
        <f ca="1">IF($A805="","",IFERROR(SUMIF(INDIRECT("'"&amp;'Template Setup'!$C$8&amp;"'!C:C"),$A805,INDIRECT("'"&amp;'Template Setup'!$C$8&amp;"'!A:A")),0))</f>
        <v/>
      </c>
      <c r="L805" s="11" t="str">
        <f>IF($A805="","",IFERROR(VALUE(MID(TRIM('Template Setup'!$C$4),FIND("-",TRIM('Template Setup'!$C$4))+1,10)),0))</f>
        <v/>
      </c>
      <c r="M805" s="11" t="str">
        <f>IF($A805="","",IFERROR(VALUE(MID(TRIM('Template Setup'!$C$5),FIND("-",TRIM('Template Setup'!$C$5))+1,10)),0))</f>
        <v/>
      </c>
      <c r="N805" s="11" t="str">
        <f>IF($A805="","",IFERROR(VALUE(MID(TRIM('Template Setup'!$C$6),FIND("-",TRIM('Template Setup'!$C$6))+1,10)),0))</f>
        <v/>
      </c>
      <c r="O805" s="11" t="str">
        <f>IF($A805="","",IFERROR(VALUE(MID(TRIM('Template Setup'!$C$7),FIND("-",TRIM('Template Setup'!$C$7))+1,10)),0))</f>
        <v/>
      </c>
      <c r="P805" s="11" t="str">
        <f>IF($A805="","",IFERROR(VALUE(MID(TRIM('Template Setup'!$C$8),FIND("-",TRIM('Template Setup'!$C$8))+1,10)),0))</f>
        <v/>
      </c>
      <c r="Q805" s="9" t="str">
        <f>IF($A805="","",$A805&amp;"-"&amp;'Template Setup'!$C$16)</f>
        <v/>
      </c>
      <c r="R805" s="24" t="str">
        <f t="shared" si="49"/>
        <v/>
      </c>
      <c r="S805" s="24"/>
      <c r="T805" s="24" t="str">
        <f t="shared" si="50"/>
        <v/>
      </c>
      <c r="U805" s="6" t="str">
        <f t="shared" si="52"/>
        <v/>
      </c>
    </row>
    <row r="806" spans="1:21">
      <c r="A806" s="11"/>
      <c r="B806" s="11"/>
      <c r="C806" s="11"/>
      <c r="D806" s="11" t="str">
        <f>IF($A806="","",_xlfn.TEXTJOIN(", ",TRUE,IF($G806&gt;0,'Template Setup'!$C$4,""),IF($H806&gt;0,'Template Setup'!$C$5,""),IF($I806&gt;0,'Template Setup'!$C$6,""),IF($J806&gt;0,'Template Setup'!$C$7,""),IF($K806&gt;0,'Template Setup'!$C$8,"")))</f>
        <v/>
      </c>
      <c r="E806" s="6" t="str" cm="1">
        <f t="array" ref="E806">IF($A806="","",_xlfn.LET(_xlpm.sheets,CHOOSE({1,2,3,4,5},'Template Setup'!$C$4,'Template Setup'!$C$5,'Template Setup'!$C$6,'Template Setup'!$C$7,'Template Setup'!$C$8),_xlpm.nums,CHOOSE({1,2,3,4,5},$L806,$M806,$N806,$O806,$P806),_xlpm.qtys,CHOOSE({1,2,3,4,5},$G806,$H806,$I806,$J806,$K806),_xlpm.validNums,_xlfn._xlws.FILTER(_xlpm.nums,_xlpm.qtys&gt;0),_xlpm.validSheets,_xlfn._xlws.FILTER(_xlpm.sheets,_xlpm.qtys&gt;0),_xlpm.mx,IFERROR(MAX(_xlpm.validNums),0),IF(_xlpm.mx=0,"",INDEX(_xlpm.validSheets,MATCH(_xlpm.mx,_xlpm.validNums,0))&amp;" (+"&amp;$R806&amp;")")))</f>
        <v/>
      </c>
      <c r="F806" s="11" t="str">
        <f t="shared" si="51"/>
        <v/>
      </c>
      <c r="G806" s="12" t="str">
        <f ca="1">IF($A806="","",IFERROR(SUMIF(INDIRECT("'"&amp;'Template Setup'!$C$4&amp;"'!C:C"),$A806,INDIRECT("'"&amp;'Template Setup'!$C$4&amp;"'!A:A")),0))</f>
        <v/>
      </c>
      <c r="H806" s="12" t="str">
        <f ca="1">IF($A806="","",IFERROR(SUMIF(INDIRECT("'"&amp;'Template Setup'!$C$5&amp;"'!C:C"),$A806,INDIRECT("'"&amp;'Template Setup'!$C$5&amp;"'!A:A")),0))</f>
        <v/>
      </c>
      <c r="I806" s="12" t="str">
        <f ca="1">IF($A806="","",IFERROR(SUMIF(INDIRECT("'"&amp;'Template Setup'!$C$6&amp;"'!C:C"),$A806,INDIRECT("'"&amp;'Template Setup'!$C$6&amp;"'!A:A")),0))</f>
        <v/>
      </c>
      <c r="J806" s="12" t="str">
        <f ca="1">IF($A806="","",IFERROR(SUMIF(INDIRECT("'"&amp;'Template Setup'!$C$7&amp;"'!C:C"),$A806,INDIRECT("'"&amp;'Template Setup'!$C$7&amp;"'!A:A")),0))</f>
        <v/>
      </c>
      <c r="K806" s="12" t="str">
        <f ca="1">IF($A806="","",IFERROR(SUMIF(INDIRECT("'"&amp;'Template Setup'!$C$8&amp;"'!C:C"),$A806,INDIRECT("'"&amp;'Template Setup'!$C$8&amp;"'!A:A")),0))</f>
        <v/>
      </c>
      <c r="L806" s="11" t="str">
        <f>IF($A806="","",IFERROR(VALUE(MID(TRIM('Template Setup'!$C$4),FIND("-",TRIM('Template Setup'!$C$4))+1,10)),0))</f>
        <v/>
      </c>
      <c r="M806" s="11" t="str">
        <f>IF($A806="","",IFERROR(VALUE(MID(TRIM('Template Setup'!$C$5),FIND("-",TRIM('Template Setup'!$C$5))+1,10)),0))</f>
        <v/>
      </c>
      <c r="N806" s="11" t="str">
        <f>IF($A806="","",IFERROR(VALUE(MID(TRIM('Template Setup'!$C$6),FIND("-",TRIM('Template Setup'!$C$6))+1,10)),0))</f>
        <v/>
      </c>
      <c r="O806" s="11" t="str">
        <f>IF($A806="","",IFERROR(VALUE(MID(TRIM('Template Setup'!$C$7),FIND("-",TRIM('Template Setup'!$C$7))+1,10)),0))</f>
        <v/>
      </c>
      <c r="P806" s="11" t="str">
        <f>IF($A806="","",IFERROR(VALUE(MID(TRIM('Template Setup'!$C$8),FIND("-",TRIM('Template Setup'!$C$8))+1,10)),0))</f>
        <v/>
      </c>
      <c r="Q806" s="9" t="str">
        <f>IF($A806="","",$A806&amp;"-"&amp;'Template Setup'!$C$16)</f>
        <v/>
      </c>
      <c r="R806" s="24" t="str">
        <f t="shared" si="49"/>
        <v/>
      </c>
      <c r="S806" s="24"/>
      <c r="T806" s="24" t="str">
        <f t="shared" si="50"/>
        <v/>
      </c>
      <c r="U806" s="6" t="str">
        <f t="shared" si="52"/>
        <v/>
      </c>
    </row>
    <row r="807" spans="1:21">
      <c r="A807" s="11"/>
      <c r="B807" s="11"/>
      <c r="C807" s="11"/>
      <c r="D807" s="11" t="str">
        <f>IF($A807="","",_xlfn.TEXTJOIN(", ",TRUE,IF($G807&gt;0,'Template Setup'!$C$4,""),IF($H807&gt;0,'Template Setup'!$C$5,""),IF($I807&gt;0,'Template Setup'!$C$6,""),IF($J807&gt;0,'Template Setup'!$C$7,""),IF($K807&gt;0,'Template Setup'!$C$8,"")))</f>
        <v/>
      </c>
      <c r="E807" s="6" t="str" cm="1">
        <f t="array" ref="E807">IF($A807="","",_xlfn.LET(_xlpm.sheets,CHOOSE({1,2,3,4,5},'Template Setup'!$C$4,'Template Setup'!$C$5,'Template Setup'!$C$6,'Template Setup'!$C$7,'Template Setup'!$C$8),_xlpm.nums,CHOOSE({1,2,3,4,5},$L807,$M807,$N807,$O807,$P807),_xlpm.qtys,CHOOSE({1,2,3,4,5},$G807,$H807,$I807,$J807,$K807),_xlpm.validNums,_xlfn._xlws.FILTER(_xlpm.nums,_xlpm.qtys&gt;0),_xlpm.validSheets,_xlfn._xlws.FILTER(_xlpm.sheets,_xlpm.qtys&gt;0),_xlpm.mx,IFERROR(MAX(_xlpm.validNums),0),IF(_xlpm.mx=0,"",INDEX(_xlpm.validSheets,MATCH(_xlpm.mx,_xlpm.validNums,0))&amp;" (+"&amp;$R807&amp;")")))</f>
        <v/>
      </c>
      <c r="F807" s="11" t="str">
        <f t="shared" si="51"/>
        <v/>
      </c>
      <c r="G807" s="12" t="str">
        <f ca="1">IF($A807="","",IFERROR(SUMIF(INDIRECT("'"&amp;'Template Setup'!$C$4&amp;"'!C:C"),$A807,INDIRECT("'"&amp;'Template Setup'!$C$4&amp;"'!A:A")),0))</f>
        <v/>
      </c>
      <c r="H807" s="12" t="str">
        <f ca="1">IF($A807="","",IFERROR(SUMIF(INDIRECT("'"&amp;'Template Setup'!$C$5&amp;"'!C:C"),$A807,INDIRECT("'"&amp;'Template Setup'!$C$5&amp;"'!A:A")),0))</f>
        <v/>
      </c>
      <c r="I807" s="12" t="str">
        <f ca="1">IF($A807="","",IFERROR(SUMIF(INDIRECT("'"&amp;'Template Setup'!$C$6&amp;"'!C:C"),$A807,INDIRECT("'"&amp;'Template Setup'!$C$6&amp;"'!A:A")),0))</f>
        <v/>
      </c>
      <c r="J807" s="12" t="str">
        <f ca="1">IF($A807="","",IFERROR(SUMIF(INDIRECT("'"&amp;'Template Setup'!$C$7&amp;"'!C:C"),$A807,INDIRECT("'"&amp;'Template Setup'!$C$7&amp;"'!A:A")),0))</f>
        <v/>
      </c>
      <c r="K807" s="12" t="str">
        <f ca="1">IF($A807="","",IFERROR(SUMIF(INDIRECT("'"&amp;'Template Setup'!$C$8&amp;"'!C:C"),$A807,INDIRECT("'"&amp;'Template Setup'!$C$8&amp;"'!A:A")),0))</f>
        <v/>
      </c>
      <c r="L807" s="11" t="str">
        <f>IF($A807="","",IFERROR(VALUE(MID(TRIM('Template Setup'!$C$4),FIND("-",TRIM('Template Setup'!$C$4))+1,10)),0))</f>
        <v/>
      </c>
      <c r="M807" s="11" t="str">
        <f>IF($A807="","",IFERROR(VALUE(MID(TRIM('Template Setup'!$C$5),FIND("-",TRIM('Template Setup'!$C$5))+1,10)),0))</f>
        <v/>
      </c>
      <c r="N807" s="11" t="str">
        <f>IF($A807="","",IFERROR(VALUE(MID(TRIM('Template Setup'!$C$6),FIND("-",TRIM('Template Setup'!$C$6))+1,10)),0))</f>
        <v/>
      </c>
      <c r="O807" s="11" t="str">
        <f>IF($A807="","",IFERROR(VALUE(MID(TRIM('Template Setup'!$C$7),FIND("-",TRIM('Template Setup'!$C$7))+1,10)),0))</f>
        <v/>
      </c>
      <c r="P807" s="11" t="str">
        <f>IF($A807="","",IFERROR(VALUE(MID(TRIM('Template Setup'!$C$8),FIND("-",TRIM('Template Setup'!$C$8))+1,10)),0))</f>
        <v/>
      </c>
      <c r="Q807" s="9" t="str">
        <f>IF($A807="","",$A807&amp;"-"&amp;'Template Setup'!$C$16)</f>
        <v/>
      </c>
      <c r="R807" s="24" t="str">
        <f t="shared" si="49"/>
        <v/>
      </c>
      <c r="S807" s="24"/>
      <c r="T807" s="24" t="str">
        <f t="shared" si="50"/>
        <v/>
      </c>
      <c r="U807" s="6" t="str">
        <f t="shared" si="52"/>
        <v/>
      </c>
    </row>
    <row r="808" spans="1:21">
      <c r="A808" s="11"/>
      <c r="B808" s="11"/>
      <c r="C808" s="11"/>
      <c r="D808" s="11" t="str">
        <f>IF($A808="","",_xlfn.TEXTJOIN(", ",TRUE,IF($G808&gt;0,'Template Setup'!$C$4,""),IF($H808&gt;0,'Template Setup'!$C$5,""),IF($I808&gt;0,'Template Setup'!$C$6,""),IF($J808&gt;0,'Template Setup'!$C$7,""),IF($K808&gt;0,'Template Setup'!$C$8,"")))</f>
        <v/>
      </c>
      <c r="E808" s="6" t="str" cm="1">
        <f t="array" ref="E808">IF($A808="","",_xlfn.LET(_xlpm.sheets,CHOOSE({1,2,3,4,5},'Template Setup'!$C$4,'Template Setup'!$C$5,'Template Setup'!$C$6,'Template Setup'!$C$7,'Template Setup'!$C$8),_xlpm.nums,CHOOSE({1,2,3,4,5},$L808,$M808,$N808,$O808,$P808),_xlpm.qtys,CHOOSE({1,2,3,4,5},$G808,$H808,$I808,$J808,$K808),_xlpm.validNums,_xlfn._xlws.FILTER(_xlpm.nums,_xlpm.qtys&gt;0),_xlpm.validSheets,_xlfn._xlws.FILTER(_xlpm.sheets,_xlpm.qtys&gt;0),_xlpm.mx,IFERROR(MAX(_xlpm.validNums),0),IF(_xlpm.mx=0,"",INDEX(_xlpm.validSheets,MATCH(_xlpm.mx,_xlpm.validNums,0))&amp;" (+"&amp;$R808&amp;")")))</f>
        <v/>
      </c>
      <c r="F808" s="11" t="str">
        <f t="shared" si="51"/>
        <v/>
      </c>
      <c r="G808" s="12" t="str">
        <f ca="1">IF($A808="","",IFERROR(SUMIF(INDIRECT("'"&amp;'Template Setup'!$C$4&amp;"'!C:C"),$A808,INDIRECT("'"&amp;'Template Setup'!$C$4&amp;"'!A:A")),0))</f>
        <v/>
      </c>
      <c r="H808" s="12" t="str">
        <f ca="1">IF($A808="","",IFERROR(SUMIF(INDIRECT("'"&amp;'Template Setup'!$C$5&amp;"'!C:C"),$A808,INDIRECT("'"&amp;'Template Setup'!$C$5&amp;"'!A:A")),0))</f>
        <v/>
      </c>
      <c r="I808" s="12" t="str">
        <f ca="1">IF($A808="","",IFERROR(SUMIF(INDIRECT("'"&amp;'Template Setup'!$C$6&amp;"'!C:C"),$A808,INDIRECT("'"&amp;'Template Setup'!$C$6&amp;"'!A:A")),0))</f>
        <v/>
      </c>
      <c r="J808" s="12" t="str">
        <f ca="1">IF($A808="","",IFERROR(SUMIF(INDIRECT("'"&amp;'Template Setup'!$C$7&amp;"'!C:C"),$A808,INDIRECT("'"&amp;'Template Setup'!$C$7&amp;"'!A:A")),0))</f>
        <v/>
      </c>
      <c r="K808" s="12" t="str">
        <f ca="1">IF($A808="","",IFERROR(SUMIF(INDIRECT("'"&amp;'Template Setup'!$C$8&amp;"'!C:C"),$A808,INDIRECT("'"&amp;'Template Setup'!$C$8&amp;"'!A:A")),0))</f>
        <v/>
      </c>
      <c r="L808" s="11" t="str">
        <f>IF($A808="","",IFERROR(VALUE(MID(TRIM('Template Setup'!$C$4),FIND("-",TRIM('Template Setup'!$C$4))+1,10)),0))</f>
        <v/>
      </c>
      <c r="M808" s="11" t="str">
        <f>IF($A808="","",IFERROR(VALUE(MID(TRIM('Template Setup'!$C$5),FIND("-",TRIM('Template Setup'!$C$5))+1,10)),0))</f>
        <v/>
      </c>
      <c r="N808" s="11" t="str">
        <f>IF($A808="","",IFERROR(VALUE(MID(TRIM('Template Setup'!$C$6),FIND("-",TRIM('Template Setup'!$C$6))+1,10)),0))</f>
        <v/>
      </c>
      <c r="O808" s="11" t="str">
        <f>IF($A808="","",IFERROR(VALUE(MID(TRIM('Template Setup'!$C$7),FIND("-",TRIM('Template Setup'!$C$7))+1,10)),0))</f>
        <v/>
      </c>
      <c r="P808" s="11" t="str">
        <f>IF($A808="","",IFERROR(VALUE(MID(TRIM('Template Setup'!$C$8),FIND("-",TRIM('Template Setup'!$C$8))+1,10)),0))</f>
        <v/>
      </c>
      <c r="Q808" s="9" t="str">
        <f>IF($A808="","",$A808&amp;"-"&amp;'Template Setup'!$C$16)</f>
        <v/>
      </c>
      <c r="R808" s="24" t="str">
        <f t="shared" si="49"/>
        <v/>
      </c>
      <c r="S808" s="24"/>
      <c r="T808" s="24" t="str">
        <f t="shared" si="50"/>
        <v/>
      </c>
      <c r="U808" s="6" t="str">
        <f t="shared" si="52"/>
        <v/>
      </c>
    </row>
    <row r="809" spans="1:21">
      <c r="A809" s="11"/>
      <c r="B809" s="11"/>
      <c r="C809" s="11"/>
      <c r="D809" s="11" t="str">
        <f>IF($A809="","",_xlfn.TEXTJOIN(", ",TRUE,IF($G809&gt;0,'Template Setup'!$C$4,""),IF($H809&gt;0,'Template Setup'!$C$5,""),IF($I809&gt;0,'Template Setup'!$C$6,""),IF($J809&gt;0,'Template Setup'!$C$7,""),IF($K809&gt;0,'Template Setup'!$C$8,"")))</f>
        <v/>
      </c>
      <c r="E809" s="6" t="str" cm="1">
        <f t="array" ref="E809">IF($A809="","",_xlfn.LET(_xlpm.sheets,CHOOSE({1,2,3,4,5},'Template Setup'!$C$4,'Template Setup'!$C$5,'Template Setup'!$C$6,'Template Setup'!$C$7,'Template Setup'!$C$8),_xlpm.nums,CHOOSE({1,2,3,4,5},$L809,$M809,$N809,$O809,$P809),_xlpm.qtys,CHOOSE({1,2,3,4,5},$G809,$H809,$I809,$J809,$K809),_xlpm.validNums,_xlfn._xlws.FILTER(_xlpm.nums,_xlpm.qtys&gt;0),_xlpm.validSheets,_xlfn._xlws.FILTER(_xlpm.sheets,_xlpm.qtys&gt;0),_xlpm.mx,IFERROR(MAX(_xlpm.validNums),0),IF(_xlpm.mx=0,"",INDEX(_xlpm.validSheets,MATCH(_xlpm.mx,_xlpm.validNums,0))&amp;" (+"&amp;$R809&amp;")")))</f>
        <v/>
      </c>
      <c r="F809" s="11" t="str">
        <f t="shared" si="51"/>
        <v/>
      </c>
      <c r="G809" s="12" t="str">
        <f ca="1">IF($A809="","",IFERROR(SUMIF(INDIRECT("'"&amp;'Template Setup'!$C$4&amp;"'!C:C"),$A809,INDIRECT("'"&amp;'Template Setup'!$C$4&amp;"'!A:A")),0))</f>
        <v/>
      </c>
      <c r="H809" s="12" t="str">
        <f ca="1">IF($A809="","",IFERROR(SUMIF(INDIRECT("'"&amp;'Template Setup'!$C$5&amp;"'!C:C"),$A809,INDIRECT("'"&amp;'Template Setup'!$C$5&amp;"'!A:A")),0))</f>
        <v/>
      </c>
      <c r="I809" s="12" t="str">
        <f ca="1">IF($A809="","",IFERROR(SUMIF(INDIRECT("'"&amp;'Template Setup'!$C$6&amp;"'!C:C"),$A809,INDIRECT("'"&amp;'Template Setup'!$C$6&amp;"'!A:A")),0))</f>
        <v/>
      </c>
      <c r="J809" s="12" t="str">
        <f ca="1">IF($A809="","",IFERROR(SUMIF(INDIRECT("'"&amp;'Template Setup'!$C$7&amp;"'!C:C"),$A809,INDIRECT("'"&amp;'Template Setup'!$C$7&amp;"'!A:A")),0))</f>
        <v/>
      </c>
      <c r="K809" s="12" t="str">
        <f ca="1">IF($A809="","",IFERROR(SUMIF(INDIRECT("'"&amp;'Template Setup'!$C$8&amp;"'!C:C"),$A809,INDIRECT("'"&amp;'Template Setup'!$C$8&amp;"'!A:A")),0))</f>
        <v/>
      </c>
      <c r="L809" s="11" t="str">
        <f>IF($A809="","",IFERROR(VALUE(MID(TRIM('Template Setup'!$C$4),FIND("-",TRIM('Template Setup'!$C$4))+1,10)),0))</f>
        <v/>
      </c>
      <c r="M809" s="11" t="str">
        <f>IF($A809="","",IFERROR(VALUE(MID(TRIM('Template Setup'!$C$5),FIND("-",TRIM('Template Setup'!$C$5))+1,10)),0))</f>
        <v/>
      </c>
      <c r="N809" s="11" t="str">
        <f>IF($A809="","",IFERROR(VALUE(MID(TRIM('Template Setup'!$C$6),FIND("-",TRIM('Template Setup'!$C$6))+1,10)),0))</f>
        <v/>
      </c>
      <c r="O809" s="11" t="str">
        <f>IF($A809="","",IFERROR(VALUE(MID(TRIM('Template Setup'!$C$7),FIND("-",TRIM('Template Setup'!$C$7))+1,10)),0))</f>
        <v/>
      </c>
      <c r="P809" s="11" t="str">
        <f>IF($A809="","",IFERROR(VALUE(MID(TRIM('Template Setup'!$C$8),FIND("-",TRIM('Template Setup'!$C$8))+1,10)),0))</f>
        <v/>
      </c>
      <c r="Q809" s="9" t="str">
        <f>IF($A809="","",$A809&amp;"-"&amp;'Template Setup'!$C$16)</f>
        <v/>
      </c>
      <c r="R809" s="24" t="str">
        <f t="shared" si="49"/>
        <v/>
      </c>
      <c r="S809" s="24"/>
      <c r="T809" s="24" t="str">
        <f t="shared" si="50"/>
        <v/>
      </c>
      <c r="U809" s="6" t="str">
        <f t="shared" si="52"/>
        <v/>
      </c>
    </row>
    <row r="810" spans="1:21">
      <c r="A810" s="11"/>
      <c r="B810" s="11"/>
      <c r="C810" s="11"/>
      <c r="D810" s="11" t="str">
        <f>IF($A810="","",_xlfn.TEXTJOIN(", ",TRUE,IF($G810&gt;0,'Template Setup'!$C$4,""),IF($H810&gt;0,'Template Setup'!$C$5,""),IF($I810&gt;0,'Template Setup'!$C$6,""),IF($J810&gt;0,'Template Setup'!$C$7,""),IF($K810&gt;0,'Template Setup'!$C$8,"")))</f>
        <v/>
      </c>
      <c r="E810" s="6" t="str" cm="1">
        <f t="array" ref="E810">IF($A810="","",_xlfn.LET(_xlpm.sheets,CHOOSE({1,2,3,4,5},'Template Setup'!$C$4,'Template Setup'!$C$5,'Template Setup'!$C$6,'Template Setup'!$C$7,'Template Setup'!$C$8),_xlpm.nums,CHOOSE({1,2,3,4,5},$L810,$M810,$N810,$O810,$P810),_xlpm.qtys,CHOOSE({1,2,3,4,5},$G810,$H810,$I810,$J810,$K810),_xlpm.validNums,_xlfn._xlws.FILTER(_xlpm.nums,_xlpm.qtys&gt;0),_xlpm.validSheets,_xlfn._xlws.FILTER(_xlpm.sheets,_xlpm.qtys&gt;0),_xlpm.mx,IFERROR(MAX(_xlpm.validNums),0),IF(_xlpm.mx=0,"",INDEX(_xlpm.validSheets,MATCH(_xlpm.mx,_xlpm.validNums,0))&amp;" (+"&amp;$R810&amp;")")))</f>
        <v/>
      </c>
      <c r="F810" s="11" t="str">
        <f t="shared" si="51"/>
        <v/>
      </c>
      <c r="G810" s="12" t="str">
        <f ca="1">IF($A810="","",IFERROR(SUMIF(INDIRECT("'"&amp;'Template Setup'!$C$4&amp;"'!C:C"),$A810,INDIRECT("'"&amp;'Template Setup'!$C$4&amp;"'!A:A")),0))</f>
        <v/>
      </c>
      <c r="H810" s="12" t="str">
        <f ca="1">IF($A810="","",IFERROR(SUMIF(INDIRECT("'"&amp;'Template Setup'!$C$5&amp;"'!C:C"),$A810,INDIRECT("'"&amp;'Template Setup'!$C$5&amp;"'!A:A")),0))</f>
        <v/>
      </c>
      <c r="I810" s="12" t="str">
        <f ca="1">IF($A810="","",IFERROR(SUMIF(INDIRECT("'"&amp;'Template Setup'!$C$6&amp;"'!C:C"),$A810,INDIRECT("'"&amp;'Template Setup'!$C$6&amp;"'!A:A")),0))</f>
        <v/>
      </c>
      <c r="J810" s="12" t="str">
        <f ca="1">IF($A810="","",IFERROR(SUMIF(INDIRECT("'"&amp;'Template Setup'!$C$7&amp;"'!C:C"),$A810,INDIRECT("'"&amp;'Template Setup'!$C$7&amp;"'!A:A")),0))</f>
        <v/>
      </c>
      <c r="K810" s="12" t="str">
        <f ca="1">IF($A810="","",IFERROR(SUMIF(INDIRECT("'"&amp;'Template Setup'!$C$8&amp;"'!C:C"),$A810,INDIRECT("'"&amp;'Template Setup'!$C$8&amp;"'!A:A")),0))</f>
        <v/>
      </c>
      <c r="L810" s="11" t="str">
        <f>IF($A810="","",IFERROR(VALUE(MID(TRIM('Template Setup'!$C$4),FIND("-",TRIM('Template Setup'!$C$4))+1,10)),0))</f>
        <v/>
      </c>
      <c r="M810" s="11" t="str">
        <f>IF($A810="","",IFERROR(VALUE(MID(TRIM('Template Setup'!$C$5),FIND("-",TRIM('Template Setup'!$C$5))+1,10)),0))</f>
        <v/>
      </c>
      <c r="N810" s="11" t="str">
        <f>IF($A810="","",IFERROR(VALUE(MID(TRIM('Template Setup'!$C$6),FIND("-",TRIM('Template Setup'!$C$6))+1,10)),0))</f>
        <v/>
      </c>
      <c r="O810" s="11" t="str">
        <f>IF($A810="","",IFERROR(VALUE(MID(TRIM('Template Setup'!$C$7),FIND("-",TRIM('Template Setup'!$C$7))+1,10)),0))</f>
        <v/>
      </c>
      <c r="P810" s="11" t="str">
        <f>IF($A810="","",IFERROR(VALUE(MID(TRIM('Template Setup'!$C$8),FIND("-",TRIM('Template Setup'!$C$8))+1,10)),0))</f>
        <v/>
      </c>
      <c r="Q810" s="9" t="str">
        <f>IF($A810="","",$A810&amp;"-"&amp;'Template Setup'!$C$16)</f>
        <v/>
      </c>
      <c r="R810" s="24" t="str">
        <f t="shared" si="49"/>
        <v/>
      </c>
      <c r="S810" s="24"/>
      <c r="T810" s="24" t="str">
        <f t="shared" si="50"/>
        <v/>
      </c>
      <c r="U810" s="6" t="str">
        <f t="shared" si="52"/>
        <v/>
      </c>
    </row>
    <row r="811" spans="1:21">
      <c r="A811" s="11"/>
      <c r="B811" s="11"/>
      <c r="C811" s="11"/>
      <c r="D811" s="11" t="str">
        <f>IF($A811="","",_xlfn.TEXTJOIN(", ",TRUE,IF($G811&gt;0,'Template Setup'!$C$4,""),IF($H811&gt;0,'Template Setup'!$C$5,""),IF($I811&gt;0,'Template Setup'!$C$6,""),IF($J811&gt;0,'Template Setup'!$C$7,""),IF($K811&gt;0,'Template Setup'!$C$8,"")))</f>
        <v/>
      </c>
      <c r="E811" s="6" t="str" cm="1">
        <f t="array" ref="E811">IF($A811="","",_xlfn.LET(_xlpm.sheets,CHOOSE({1,2,3,4,5},'Template Setup'!$C$4,'Template Setup'!$C$5,'Template Setup'!$C$6,'Template Setup'!$C$7,'Template Setup'!$C$8),_xlpm.nums,CHOOSE({1,2,3,4,5},$L811,$M811,$N811,$O811,$P811),_xlpm.qtys,CHOOSE({1,2,3,4,5},$G811,$H811,$I811,$J811,$K811),_xlpm.validNums,_xlfn._xlws.FILTER(_xlpm.nums,_xlpm.qtys&gt;0),_xlpm.validSheets,_xlfn._xlws.FILTER(_xlpm.sheets,_xlpm.qtys&gt;0),_xlpm.mx,IFERROR(MAX(_xlpm.validNums),0),IF(_xlpm.mx=0,"",INDEX(_xlpm.validSheets,MATCH(_xlpm.mx,_xlpm.validNums,0))&amp;" (+"&amp;$R811&amp;")")))</f>
        <v/>
      </c>
      <c r="F811" s="11" t="str">
        <f t="shared" si="51"/>
        <v/>
      </c>
      <c r="G811" s="12" t="str">
        <f ca="1">IF($A811="","",IFERROR(SUMIF(INDIRECT("'"&amp;'Template Setup'!$C$4&amp;"'!C:C"),$A811,INDIRECT("'"&amp;'Template Setup'!$C$4&amp;"'!A:A")),0))</f>
        <v/>
      </c>
      <c r="H811" s="12" t="str">
        <f ca="1">IF($A811="","",IFERROR(SUMIF(INDIRECT("'"&amp;'Template Setup'!$C$5&amp;"'!C:C"),$A811,INDIRECT("'"&amp;'Template Setup'!$C$5&amp;"'!A:A")),0))</f>
        <v/>
      </c>
      <c r="I811" s="12" t="str">
        <f ca="1">IF($A811="","",IFERROR(SUMIF(INDIRECT("'"&amp;'Template Setup'!$C$6&amp;"'!C:C"),$A811,INDIRECT("'"&amp;'Template Setup'!$C$6&amp;"'!A:A")),0))</f>
        <v/>
      </c>
      <c r="J811" s="12" t="str">
        <f ca="1">IF($A811="","",IFERROR(SUMIF(INDIRECT("'"&amp;'Template Setup'!$C$7&amp;"'!C:C"),$A811,INDIRECT("'"&amp;'Template Setup'!$C$7&amp;"'!A:A")),0))</f>
        <v/>
      </c>
      <c r="K811" s="12" t="str">
        <f ca="1">IF($A811="","",IFERROR(SUMIF(INDIRECT("'"&amp;'Template Setup'!$C$8&amp;"'!C:C"),$A811,INDIRECT("'"&amp;'Template Setup'!$C$8&amp;"'!A:A")),0))</f>
        <v/>
      </c>
      <c r="L811" s="11" t="str">
        <f>IF($A811="","",IFERROR(VALUE(MID(TRIM('Template Setup'!$C$4),FIND("-",TRIM('Template Setup'!$C$4))+1,10)),0))</f>
        <v/>
      </c>
      <c r="M811" s="11" t="str">
        <f>IF($A811="","",IFERROR(VALUE(MID(TRIM('Template Setup'!$C$5),FIND("-",TRIM('Template Setup'!$C$5))+1,10)),0))</f>
        <v/>
      </c>
      <c r="N811" s="11" t="str">
        <f>IF($A811="","",IFERROR(VALUE(MID(TRIM('Template Setup'!$C$6),FIND("-",TRIM('Template Setup'!$C$6))+1,10)),0))</f>
        <v/>
      </c>
      <c r="O811" s="11" t="str">
        <f>IF($A811="","",IFERROR(VALUE(MID(TRIM('Template Setup'!$C$7),FIND("-",TRIM('Template Setup'!$C$7))+1,10)),0))</f>
        <v/>
      </c>
      <c r="P811" s="11" t="str">
        <f>IF($A811="","",IFERROR(VALUE(MID(TRIM('Template Setup'!$C$8),FIND("-",TRIM('Template Setup'!$C$8))+1,10)),0))</f>
        <v/>
      </c>
      <c r="Q811" s="9" t="str">
        <f>IF($A811="","",$A811&amp;"-"&amp;'Template Setup'!$C$16)</f>
        <v/>
      </c>
      <c r="R811" s="24" t="str">
        <f t="shared" si="49"/>
        <v/>
      </c>
      <c r="S811" s="24"/>
      <c r="T811" s="24" t="str">
        <f t="shared" si="50"/>
        <v/>
      </c>
      <c r="U811" s="6" t="str">
        <f t="shared" si="52"/>
        <v/>
      </c>
    </row>
    <row r="812" spans="1:21">
      <c r="A812" s="11"/>
      <c r="B812" s="11"/>
      <c r="C812" s="11"/>
      <c r="D812" s="11" t="str">
        <f>IF($A812="","",_xlfn.TEXTJOIN(", ",TRUE,IF($G812&gt;0,'Template Setup'!$C$4,""),IF($H812&gt;0,'Template Setup'!$C$5,""),IF($I812&gt;0,'Template Setup'!$C$6,""),IF($J812&gt;0,'Template Setup'!$C$7,""),IF($K812&gt;0,'Template Setup'!$C$8,"")))</f>
        <v/>
      </c>
      <c r="E812" s="6" t="str" cm="1">
        <f t="array" ref="E812">IF($A812="","",_xlfn.LET(_xlpm.sheets,CHOOSE({1,2,3,4,5},'Template Setup'!$C$4,'Template Setup'!$C$5,'Template Setup'!$C$6,'Template Setup'!$C$7,'Template Setup'!$C$8),_xlpm.nums,CHOOSE({1,2,3,4,5},$L812,$M812,$N812,$O812,$P812),_xlpm.qtys,CHOOSE({1,2,3,4,5},$G812,$H812,$I812,$J812,$K812),_xlpm.validNums,_xlfn._xlws.FILTER(_xlpm.nums,_xlpm.qtys&gt;0),_xlpm.validSheets,_xlfn._xlws.FILTER(_xlpm.sheets,_xlpm.qtys&gt;0),_xlpm.mx,IFERROR(MAX(_xlpm.validNums),0),IF(_xlpm.mx=0,"",INDEX(_xlpm.validSheets,MATCH(_xlpm.mx,_xlpm.validNums,0))&amp;" (+"&amp;$R812&amp;")")))</f>
        <v/>
      </c>
      <c r="F812" s="11" t="str">
        <f t="shared" si="51"/>
        <v/>
      </c>
      <c r="G812" s="12" t="str">
        <f ca="1">IF($A812="","",IFERROR(SUMIF(INDIRECT("'"&amp;'Template Setup'!$C$4&amp;"'!C:C"),$A812,INDIRECT("'"&amp;'Template Setup'!$C$4&amp;"'!A:A")),0))</f>
        <v/>
      </c>
      <c r="H812" s="12" t="str">
        <f ca="1">IF($A812="","",IFERROR(SUMIF(INDIRECT("'"&amp;'Template Setup'!$C$5&amp;"'!C:C"),$A812,INDIRECT("'"&amp;'Template Setup'!$C$5&amp;"'!A:A")),0))</f>
        <v/>
      </c>
      <c r="I812" s="12" t="str">
        <f ca="1">IF($A812="","",IFERROR(SUMIF(INDIRECT("'"&amp;'Template Setup'!$C$6&amp;"'!C:C"),$A812,INDIRECT("'"&amp;'Template Setup'!$C$6&amp;"'!A:A")),0))</f>
        <v/>
      </c>
      <c r="J812" s="12" t="str">
        <f ca="1">IF($A812="","",IFERROR(SUMIF(INDIRECT("'"&amp;'Template Setup'!$C$7&amp;"'!C:C"),$A812,INDIRECT("'"&amp;'Template Setup'!$C$7&amp;"'!A:A")),0))</f>
        <v/>
      </c>
      <c r="K812" s="12" t="str">
        <f ca="1">IF($A812="","",IFERROR(SUMIF(INDIRECT("'"&amp;'Template Setup'!$C$8&amp;"'!C:C"),$A812,INDIRECT("'"&amp;'Template Setup'!$C$8&amp;"'!A:A")),0))</f>
        <v/>
      </c>
      <c r="L812" s="11" t="str">
        <f>IF($A812="","",IFERROR(VALUE(MID(TRIM('Template Setup'!$C$4),FIND("-",TRIM('Template Setup'!$C$4))+1,10)),0))</f>
        <v/>
      </c>
      <c r="M812" s="11" t="str">
        <f>IF($A812="","",IFERROR(VALUE(MID(TRIM('Template Setup'!$C$5),FIND("-",TRIM('Template Setup'!$C$5))+1,10)),0))</f>
        <v/>
      </c>
      <c r="N812" s="11" t="str">
        <f>IF($A812="","",IFERROR(VALUE(MID(TRIM('Template Setup'!$C$6),FIND("-",TRIM('Template Setup'!$C$6))+1,10)),0))</f>
        <v/>
      </c>
      <c r="O812" s="11" t="str">
        <f>IF($A812="","",IFERROR(VALUE(MID(TRIM('Template Setup'!$C$7),FIND("-",TRIM('Template Setup'!$C$7))+1,10)),0))</f>
        <v/>
      </c>
      <c r="P812" s="11" t="str">
        <f>IF($A812="","",IFERROR(VALUE(MID(TRIM('Template Setup'!$C$8),FIND("-",TRIM('Template Setup'!$C$8))+1,10)),0))</f>
        <v/>
      </c>
      <c r="Q812" s="9" t="str">
        <f>IF($A812="","",$A812&amp;"-"&amp;'Template Setup'!$C$16)</f>
        <v/>
      </c>
      <c r="R812" s="24" t="str">
        <f t="shared" si="49"/>
        <v/>
      </c>
      <c r="S812" s="24"/>
      <c r="T812" s="24" t="str">
        <f t="shared" si="50"/>
        <v/>
      </c>
      <c r="U812" s="6" t="str">
        <f t="shared" si="52"/>
        <v/>
      </c>
    </row>
    <row r="813" spans="1:21">
      <c r="A813" s="11"/>
      <c r="B813" s="11"/>
      <c r="C813" s="11"/>
      <c r="D813" s="11" t="str">
        <f>IF($A813="","",_xlfn.TEXTJOIN(", ",TRUE,IF($G813&gt;0,'Template Setup'!$C$4,""),IF($H813&gt;0,'Template Setup'!$C$5,""),IF($I813&gt;0,'Template Setup'!$C$6,""),IF($J813&gt;0,'Template Setup'!$C$7,""),IF($K813&gt;0,'Template Setup'!$C$8,"")))</f>
        <v/>
      </c>
      <c r="E813" s="6" t="str" cm="1">
        <f t="array" ref="E813">IF($A813="","",_xlfn.LET(_xlpm.sheets,CHOOSE({1,2,3,4,5},'Template Setup'!$C$4,'Template Setup'!$C$5,'Template Setup'!$C$6,'Template Setup'!$C$7,'Template Setup'!$C$8),_xlpm.nums,CHOOSE({1,2,3,4,5},$L813,$M813,$N813,$O813,$P813),_xlpm.qtys,CHOOSE({1,2,3,4,5},$G813,$H813,$I813,$J813,$K813),_xlpm.validNums,_xlfn._xlws.FILTER(_xlpm.nums,_xlpm.qtys&gt;0),_xlpm.validSheets,_xlfn._xlws.FILTER(_xlpm.sheets,_xlpm.qtys&gt;0),_xlpm.mx,IFERROR(MAX(_xlpm.validNums),0),IF(_xlpm.mx=0,"",INDEX(_xlpm.validSheets,MATCH(_xlpm.mx,_xlpm.validNums,0))&amp;" (+"&amp;$R813&amp;")")))</f>
        <v/>
      </c>
      <c r="F813" s="11" t="str">
        <f t="shared" si="51"/>
        <v/>
      </c>
      <c r="G813" s="12" t="str">
        <f ca="1">IF($A813="","",IFERROR(SUMIF(INDIRECT("'"&amp;'Template Setup'!$C$4&amp;"'!C:C"),$A813,INDIRECT("'"&amp;'Template Setup'!$C$4&amp;"'!A:A")),0))</f>
        <v/>
      </c>
      <c r="H813" s="12" t="str">
        <f ca="1">IF($A813="","",IFERROR(SUMIF(INDIRECT("'"&amp;'Template Setup'!$C$5&amp;"'!C:C"),$A813,INDIRECT("'"&amp;'Template Setup'!$C$5&amp;"'!A:A")),0))</f>
        <v/>
      </c>
      <c r="I813" s="12" t="str">
        <f ca="1">IF($A813="","",IFERROR(SUMIF(INDIRECT("'"&amp;'Template Setup'!$C$6&amp;"'!C:C"),$A813,INDIRECT("'"&amp;'Template Setup'!$C$6&amp;"'!A:A")),0))</f>
        <v/>
      </c>
      <c r="J813" s="12" t="str">
        <f ca="1">IF($A813="","",IFERROR(SUMIF(INDIRECT("'"&amp;'Template Setup'!$C$7&amp;"'!C:C"),$A813,INDIRECT("'"&amp;'Template Setup'!$C$7&amp;"'!A:A")),0))</f>
        <v/>
      </c>
      <c r="K813" s="12" t="str">
        <f ca="1">IF($A813="","",IFERROR(SUMIF(INDIRECT("'"&amp;'Template Setup'!$C$8&amp;"'!C:C"),$A813,INDIRECT("'"&amp;'Template Setup'!$C$8&amp;"'!A:A")),0))</f>
        <v/>
      </c>
      <c r="L813" s="11" t="str">
        <f>IF($A813="","",IFERROR(VALUE(MID(TRIM('Template Setup'!$C$4),FIND("-",TRIM('Template Setup'!$C$4))+1,10)),0))</f>
        <v/>
      </c>
      <c r="M813" s="11" t="str">
        <f>IF($A813="","",IFERROR(VALUE(MID(TRIM('Template Setup'!$C$5),FIND("-",TRIM('Template Setup'!$C$5))+1,10)),0))</f>
        <v/>
      </c>
      <c r="N813" s="11" t="str">
        <f>IF($A813="","",IFERROR(VALUE(MID(TRIM('Template Setup'!$C$6),FIND("-",TRIM('Template Setup'!$C$6))+1,10)),0))</f>
        <v/>
      </c>
      <c r="O813" s="11" t="str">
        <f>IF($A813="","",IFERROR(VALUE(MID(TRIM('Template Setup'!$C$7),FIND("-",TRIM('Template Setup'!$C$7))+1,10)),0))</f>
        <v/>
      </c>
      <c r="P813" s="11" t="str">
        <f>IF($A813="","",IFERROR(VALUE(MID(TRIM('Template Setup'!$C$8),FIND("-",TRIM('Template Setup'!$C$8))+1,10)),0))</f>
        <v/>
      </c>
      <c r="Q813" s="9" t="str">
        <f>IF($A813="","",$A813&amp;"-"&amp;'Template Setup'!$C$16)</f>
        <v/>
      </c>
      <c r="R813" s="24" t="str">
        <f t="shared" si="49"/>
        <v/>
      </c>
      <c r="S813" s="24"/>
      <c r="T813" s="24" t="str">
        <f t="shared" si="50"/>
        <v/>
      </c>
      <c r="U813" s="6" t="str">
        <f t="shared" si="52"/>
        <v/>
      </c>
    </row>
    <row r="814" spans="1:21">
      <c r="A814" s="11"/>
      <c r="B814" s="11"/>
      <c r="C814" s="11"/>
      <c r="D814" s="11" t="str">
        <f>IF($A814="","",_xlfn.TEXTJOIN(", ",TRUE,IF($G814&gt;0,'Template Setup'!$C$4,""),IF($H814&gt;0,'Template Setup'!$C$5,""),IF($I814&gt;0,'Template Setup'!$C$6,""),IF($J814&gt;0,'Template Setup'!$C$7,""),IF($K814&gt;0,'Template Setup'!$C$8,"")))</f>
        <v/>
      </c>
      <c r="E814" s="6" t="str" cm="1">
        <f t="array" ref="E814">IF($A814="","",_xlfn.LET(_xlpm.sheets,CHOOSE({1,2,3,4,5},'Template Setup'!$C$4,'Template Setup'!$C$5,'Template Setup'!$C$6,'Template Setup'!$C$7,'Template Setup'!$C$8),_xlpm.nums,CHOOSE({1,2,3,4,5},$L814,$M814,$N814,$O814,$P814),_xlpm.qtys,CHOOSE({1,2,3,4,5},$G814,$H814,$I814,$J814,$K814),_xlpm.validNums,_xlfn._xlws.FILTER(_xlpm.nums,_xlpm.qtys&gt;0),_xlpm.validSheets,_xlfn._xlws.FILTER(_xlpm.sheets,_xlpm.qtys&gt;0),_xlpm.mx,IFERROR(MAX(_xlpm.validNums),0),IF(_xlpm.mx=0,"",INDEX(_xlpm.validSheets,MATCH(_xlpm.mx,_xlpm.validNums,0))&amp;" (+"&amp;$R814&amp;")")))</f>
        <v/>
      </c>
      <c r="F814" s="11" t="str">
        <f t="shared" si="51"/>
        <v/>
      </c>
      <c r="G814" s="12" t="str">
        <f ca="1">IF($A814="","",IFERROR(SUMIF(INDIRECT("'"&amp;'Template Setup'!$C$4&amp;"'!C:C"),$A814,INDIRECT("'"&amp;'Template Setup'!$C$4&amp;"'!A:A")),0))</f>
        <v/>
      </c>
      <c r="H814" s="12" t="str">
        <f ca="1">IF($A814="","",IFERROR(SUMIF(INDIRECT("'"&amp;'Template Setup'!$C$5&amp;"'!C:C"),$A814,INDIRECT("'"&amp;'Template Setup'!$C$5&amp;"'!A:A")),0))</f>
        <v/>
      </c>
      <c r="I814" s="12" t="str">
        <f ca="1">IF($A814="","",IFERROR(SUMIF(INDIRECT("'"&amp;'Template Setup'!$C$6&amp;"'!C:C"),$A814,INDIRECT("'"&amp;'Template Setup'!$C$6&amp;"'!A:A")),0))</f>
        <v/>
      </c>
      <c r="J814" s="12" t="str">
        <f ca="1">IF($A814="","",IFERROR(SUMIF(INDIRECT("'"&amp;'Template Setup'!$C$7&amp;"'!C:C"),$A814,INDIRECT("'"&amp;'Template Setup'!$C$7&amp;"'!A:A")),0))</f>
        <v/>
      </c>
      <c r="K814" s="12" t="str">
        <f ca="1">IF($A814="","",IFERROR(SUMIF(INDIRECT("'"&amp;'Template Setup'!$C$8&amp;"'!C:C"),$A814,INDIRECT("'"&amp;'Template Setup'!$C$8&amp;"'!A:A")),0))</f>
        <v/>
      </c>
      <c r="L814" s="11" t="str">
        <f>IF($A814="","",IFERROR(VALUE(MID(TRIM('Template Setup'!$C$4),FIND("-",TRIM('Template Setup'!$C$4))+1,10)),0))</f>
        <v/>
      </c>
      <c r="M814" s="11" t="str">
        <f>IF($A814="","",IFERROR(VALUE(MID(TRIM('Template Setup'!$C$5),FIND("-",TRIM('Template Setup'!$C$5))+1,10)),0))</f>
        <v/>
      </c>
      <c r="N814" s="11" t="str">
        <f>IF($A814="","",IFERROR(VALUE(MID(TRIM('Template Setup'!$C$6),FIND("-",TRIM('Template Setup'!$C$6))+1,10)),0))</f>
        <v/>
      </c>
      <c r="O814" s="11" t="str">
        <f>IF($A814="","",IFERROR(VALUE(MID(TRIM('Template Setup'!$C$7),FIND("-",TRIM('Template Setup'!$C$7))+1,10)),0))</f>
        <v/>
      </c>
      <c r="P814" s="11" t="str">
        <f>IF($A814="","",IFERROR(VALUE(MID(TRIM('Template Setup'!$C$8),FIND("-",TRIM('Template Setup'!$C$8))+1,10)),0))</f>
        <v/>
      </c>
      <c r="Q814" s="9" t="str">
        <f>IF($A814="","",$A814&amp;"-"&amp;'Template Setup'!$C$16)</f>
        <v/>
      </c>
      <c r="R814" s="24" t="str">
        <f t="shared" si="49"/>
        <v/>
      </c>
      <c r="S814" s="24"/>
      <c r="T814" s="24" t="str">
        <f t="shared" si="50"/>
        <v/>
      </c>
      <c r="U814" s="6" t="str">
        <f t="shared" si="52"/>
        <v/>
      </c>
    </row>
    <row r="815" spans="1:21">
      <c r="A815" s="11"/>
      <c r="B815" s="11"/>
      <c r="C815" s="11"/>
      <c r="D815" s="11" t="str">
        <f>IF($A815="","",_xlfn.TEXTJOIN(", ",TRUE,IF($G815&gt;0,'Template Setup'!$C$4,""),IF($H815&gt;0,'Template Setup'!$C$5,""),IF($I815&gt;0,'Template Setup'!$C$6,""),IF($J815&gt;0,'Template Setup'!$C$7,""),IF($K815&gt;0,'Template Setup'!$C$8,"")))</f>
        <v/>
      </c>
      <c r="E815" s="6" t="str" cm="1">
        <f t="array" ref="E815">IF($A815="","",_xlfn.LET(_xlpm.sheets,CHOOSE({1,2,3,4,5},'Template Setup'!$C$4,'Template Setup'!$C$5,'Template Setup'!$C$6,'Template Setup'!$C$7,'Template Setup'!$C$8),_xlpm.nums,CHOOSE({1,2,3,4,5},$L815,$M815,$N815,$O815,$P815),_xlpm.qtys,CHOOSE({1,2,3,4,5},$G815,$H815,$I815,$J815,$K815),_xlpm.validNums,_xlfn._xlws.FILTER(_xlpm.nums,_xlpm.qtys&gt;0),_xlpm.validSheets,_xlfn._xlws.FILTER(_xlpm.sheets,_xlpm.qtys&gt;0),_xlpm.mx,IFERROR(MAX(_xlpm.validNums),0),IF(_xlpm.mx=0,"",INDEX(_xlpm.validSheets,MATCH(_xlpm.mx,_xlpm.validNums,0))&amp;" (+"&amp;$R815&amp;")")))</f>
        <v/>
      </c>
      <c r="F815" s="11" t="str">
        <f t="shared" si="51"/>
        <v/>
      </c>
      <c r="G815" s="12" t="str">
        <f ca="1">IF($A815="","",IFERROR(SUMIF(INDIRECT("'"&amp;'Template Setup'!$C$4&amp;"'!C:C"),$A815,INDIRECT("'"&amp;'Template Setup'!$C$4&amp;"'!A:A")),0))</f>
        <v/>
      </c>
      <c r="H815" s="12" t="str">
        <f ca="1">IF($A815="","",IFERROR(SUMIF(INDIRECT("'"&amp;'Template Setup'!$C$5&amp;"'!C:C"),$A815,INDIRECT("'"&amp;'Template Setup'!$C$5&amp;"'!A:A")),0))</f>
        <v/>
      </c>
      <c r="I815" s="12" t="str">
        <f ca="1">IF($A815="","",IFERROR(SUMIF(INDIRECT("'"&amp;'Template Setup'!$C$6&amp;"'!C:C"),$A815,INDIRECT("'"&amp;'Template Setup'!$C$6&amp;"'!A:A")),0))</f>
        <v/>
      </c>
      <c r="J815" s="12" t="str">
        <f ca="1">IF($A815="","",IFERROR(SUMIF(INDIRECT("'"&amp;'Template Setup'!$C$7&amp;"'!C:C"),$A815,INDIRECT("'"&amp;'Template Setup'!$C$7&amp;"'!A:A")),0))</f>
        <v/>
      </c>
      <c r="K815" s="12" t="str">
        <f ca="1">IF($A815="","",IFERROR(SUMIF(INDIRECT("'"&amp;'Template Setup'!$C$8&amp;"'!C:C"),$A815,INDIRECT("'"&amp;'Template Setup'!$C$8&amp;"'!A:A")),0))</f>
        <v/>
      </c>
      <c r="L815" s="11" t="str">
        <f>IF($A815="","",IFERROR(VALUE(MID(TRIM('Template Setup'!$C$4),FIND("-",TRIM('Template Setup'!$C$4))+1,10)),0))</f>
        <v/>
      </c>
      <c r="M815" s="11" t="str">
        <f>IF($A815="","",IFERROR(VALUE(MID(TRIM('Template Setup'!$C$5),FIND("-",TRIM('Template Setup'!$C$5))+1,10)),0))</f>
        <v/>
      </c>
      <c r="N815" s="11" t="str">
        <f>IF($A815="","",IFERROR(VALUE(MID(TRIM('Template Setup'!$C$6),FIND("-",TRIM('Template Setup'!$C$6))+1,10)),0))</f>
        <v/>
      </c>
      <c r="O815" s="11" t="str">
        <f>IF($A815="","",IFERROR(VALUE(MID(TRIM('Template Setup'!$C$7),FIND("-",TRIM('Template Setup'!$C$7))+1,10)),0))</f>
        <v/>
      </c>
      <c r="P815" s="11" t="str">
        <f>IF($A815="","",IFERROR(VALUE(MID(TRIM('Template Setup'!$C$8),FIND("-",TRIM('Template Setup'!$C$8))+1,10)),0))</f>
        <v/>
      </c>
      <c r="Q815" s="9" t="str">
        <f>IF($A815="","",$A815&amp;"-"&amp;'Template Setup'!$C$16)</f>
        <v/>
      </c>
      <c r="R815" s="24" t="str">
        <f t="shared" si="49"/>
        <v/>
      </c>
      <c r="S815" s="24"/>
      <c r="T815" s="24" t="str">
        <f t="shared" si="50"/>
        <v/>
      </c>
      <c r="U815" s="6" t="str">
        <f t="shared" si="52"/>
        <v/>
      </c>
    </row>
    <row r="816" spans="1:21">
      <c r="A816" s="11"/>
      <c r="B816" s="11"/>
      <c r="C816" s="11"/>
      <c r="D816" s="11" t="str">
        <f>IF($A816="","",_xlfn.TEXTJOIN(", ",TRUE,IF($G816&gt;0,'Template Setup'!$C$4,""),IF($H816&gt;0,'Template Setup'!$C$5,""),IF($I816&gt;0,'Template Setup'!$C$6,""),IF($J816&gt;0,'Template Setup'!$C$7,""),IF($K816&gt;0,'Template Setup'!$C$8,"")))</f>
        <v/>
      </c>
      <c r="E816" s="6" t="str" cm="1">
        <f t="array" ref="E816">IF($A816="","",_xlfn.LET(_xlpm.sheets,CHOOSE({1,2,3,4,5},'Template Setup'!$C$4,'Template Setup'!$C$5,'Template Setup'!$C$6,'Template Setup'!$C$7,'Template Setup'!$C$8),_xlpm.nums,CHOOSE({1,2,3,4,5},$L816,$M816,$N816,$O816,$P816),_xlpm.qtys,CHOOSE({1,2,3,4,5},$G816,$H816,$I816,$J816,$K816),_xlpm.validNums,_xlfn._xlws.FILTER(_xlpm.nums,_xlpm.qtys&gt;0),_xlpm.validSheets,_xlfn._xlws.FILTER(_xlpm.sheets,_xlpm.qtys&gt;0),_xlpm.mx,IFERROR(MAX(_xlpm.validNums),0),IF(_xlpm.mx=0,"",INDEX(_xlpm.validSheets,MATCH(_xlpm.mx,_xlpm.validNums,0))&amp;" (+"&amp;$R816&amp;")")))</f>
        <v/>
      </c>
      <c r="F816" s="11" t="str">
        <f t="shared" si="51"/>
        <v/>
      </c>
      <c r="G816" s="12" t="str">
        <f ca="1">IF($A816="","",IFERROR(SUMIF(INDIRECT("'"&amp;'Template Setup'!$C$4&amp;"'!C:C"),$A816,INDIRECT("'"&amp;'Template Setup'!$C$4&amp;"'!A:A")),0))</f>
        <v/>
      </c>
      <c r="H816" s="12" t="str">
        <f ca="1">IF($A816="","",IFERROR(SUMIF(INDIRECT("'"&amp;'Template Setup'!$C$5&amp;"'!C:C"),$A816,INDIRECT("'"&amp;'Template Setup'!$C$5&amp;"'!A:A")),0))</f>
        <v/>
      </c>
      <c r="I816" s="12" t="str">
        <f ca="1">IF($A816="","",IFERROR(SUMIF(INDIRECT("'"&amp;'Template Setup'!$C$6&amp;"'!C:C"),$A816,INDIRECT("'"&amp;'Template Setup'!$C$6&amp;"'!A:A")),0))</f>
        <v/>
      </c>
      <c r="J816" s="12" t="str">
        <f ca="1">IF($A816="","",IFERROR(SUMIF(INDIRECT("'"&amp;'Template Setup'!$C$7&amp;"'!C:C"),$A816,INDIRECT("'"&amp;'Template Setup'!$C$7&amp;"'!A:A")),0))</f>
        <v/>
      </c>
      <c r="K816" s="12" t="str">
        <f ca="1">IF($A816="","",IFERROR(SUMIF(INDIRECT("'"&amp;'Template Setup'!$C$8&amp;"'!C:C"),$A816,INDIRECT("'"&amp;'Template Setup'!$C$8&amp;"'!A:A")),0))</f>
        <v/>
      </c>
      <c r="L816" s="11" t="str">
        <f>IF($A816="","",IFERROR(VALUE(MID(TRIM('Template Setup'!$C$4),FIND("-",TRIM('Template Setup'!$C$4))+1,10)),0))</f>
        <v/>
      </c>
      <c r="M816" s="11" t="str">
        <f>IF($A816="","",IFERROR(VALUE(MID(TRIM('Template Setup'!$C$5),FIND("-",TRIM('Template Setup'!$C$5))+1,10)),0))</f>
        <v/>
      </c>
      <c r="N816" s="11" t="str">
        <f>IF($A816="","",IFERROR(VALUE(MID(TRIM('Template Setup'!$C$6),FIND("-",TRIM('Template Setup'!$C$6))+1,10)),0))</f>
        <v/>
      </c>
      <c r="O816" s="11" t="str">
        <f>IF($A816="","",IFERROR(VALUE(MID(TRIM('Template Setup'!$C$7),FIND("-",TRIM('Template Setup'!$C$7))+1,10)),0))</f>
        <v/>
      </c>
      <c r="P816" s="11" t="str">
        <f>IF($A816="","",IFERROR(VALUE(MID(TRIM('Template Setup'!$C$8),FIND("-",TRIM('Template Setup'!$C$8))+1,10)),0))</f>
        <v/>
      </c>
      <c r="Q816" s="9" t="str">
        <f>IF($A816="","",$A816&amp;"-"&amp;'Template Setup'!$C$16)</f>
        <v/>
      </c>
      <c r="R816" s="24" t="str">
        <f t="shared" si="49"/>
        <v/>
      </c>
      <c r="S816" s="24"/>
      <c r="T816" s="24" t="str">
        <f t="shared" si="50"/>
        <v/>
      </c>
      <c r="U816" s="6" t="str">
        <f t="shared" si="52"/>
        <v/>
      </c>
    </row>
    <row r="817" spans="1:21">
      <c r="A817" s="11"/>
      <c r="B817" s="11"/>
      <c r="C817" s="11"/>
      <c r="D817" s="11" t="str">
        <f>IF($A817="","",_xlfn.TEXTJOIN(", ",TRUE,IF($G817&gt;0,'Template Setup'!$C$4,""),IF($H817&gt;0,'Template Setup'!$C$5,""),IF($I817&gt;0,'Template Setup'!$C$6,""),IF($J817&gt;0,'Template Setup'!$C$7,""),IF($K817&gt;0,'Template Setup'!$C$8,"")))</f>
        <v/>
      </c>
      <c r="E817" s="6" t="str" cm="1">
        <f t="array" ref="E817">IF($A817="","",_xlfn.LET(_xlpm.sheets,CHOOSE({1,2,3,4,5},'Template Setup'!$C$4,'Template Setup'!$C$5,'Template Setup'!$C$6,'Template Setup'!$C$7,'Template Setup'!$C$8),_xlpm.nums,CHOOSE({1,2,3,4,5},$L817,$M817,$N817,$O817,$P817),_xlpm.qtys,CHOOSE({1,2,3,4,5},$G817,$H817,$I817,$J817,$K817),_xlpm.validNums,_xlfn._xlws.FILTER(_xlpm.nums,_xlpm.qtys&gt;0),_xlpm.validSheets,_xlfn._xlws.FILTER(_xlpm.sheets,_xlpm.qtys&gt;0),_xlpm.mx,IFERROR(MAX(_xlpm.validNums),0),IF(_xlpm.mx=0,"",INDEX(_xlpm.validSheets,MATCH(_xlpm.mx,_xlpm.validNums,0))&amp;" (+"&amp;$R817&amp;")")))</f>
        <v/>
      </c>
      <c r="F817" s="11" t="str">
        <f t="shared" si="51"/>
        <v/>
      </c>
      <c r="G817" s="12" t="str">
        <f ca="1">IF($A817="","",IFERROR(SUMIF(INDIRECT("'"&amp;'Template Setup'!$C$4&amp;"'!C:C"),$A817,INDIRECT("'"&amp;'Template Setup'!$C$4&amp;"'!A:A")),0))</f>
        <v/>
      </c>
      <c r="H817" s="12" t="str">
        <f ca="1">IF($A817="","",IFERROR(SUMIF(INDIRECT("'"&amp;'Template Setup'!$C$5&amp;"'!C:C"),$A817,INDIRECT("'"&amp;'Template Setup'!$C$5&amp;"'!A:A")),0))</f>
        <v/>
      </c>
      <c r="I817" s="12" t="str">
        <f ca="1">IF($A817="","",IFERROR(SUMIF(INDIRECT("'"&amp;'Template Setup'!$C$6&amp;"'!C:C"),$A817,INDIRECT("'"&amp;'Template Setup'!$C$6&amp;"'!A:A")),0))</f>
        <v/>
      </c>
      <c r="J817" s="12" t="str">
        <f ca="1">IF($A817="","",IFERROR(SUMIF(INDIRECT("'"&amp;'Template Setup'!$C$7&amp;"'!C:C"),$A817,INDIRECT("'"&amp;'Template Setup'!$C$7&amp;"'!A:A")),0))</f>
        <v/>
      </c>
      <c r="K817" s="12" t="str">
        <f ca="1">IF($A817="","",IFERROR(SUMIF(INDIRECT("'"&amp;'Template Setup'!$C$8&amp;"'!C:C"),$A817,INDIRECT("'"&amp;'Template Setup'!$C$8&amp;"'!A:A")),0))</f>
        <v/>
      </c>
      <c r="L817" s="11" t="str">
        <f>IF($A817="","",IFERROR(VALUE(MID(TRIM('Template Setup'!$C$4),FIND("-",TRIM('Template Setup'!$C$4))+1,10)),0))</f>
        <v/>
      </c>
      <c r="M817" s="11" t="str">
        <f>IF($A817="","",IFERROR(VALUE(MID(TRIM('Template Setup'!$C$5),FIND("-",TRIM('Template Setup'!$C$5))+1,10)),0))</f>
        <v/>
      </c>
      <c r="N817" s="11" t="str">
        <f>IF($A817="","",IFERROR(VALUE(MID(TRIM('Template Setup'!$C$6),FIND("-",TRIM('Template Setup'!$C$6))+1,10)),0))</f>
        <v/>
      </c>
      <c r="O817" s="11" t="str">
        <f>IF($A817="","",IFERROR(VALUE(MID(TRIM('Template Setup'!$C$7),FIND("-",TRIM('Template Setup'!$C$7))+1,10)),0))</f>
        <v/>
      </c>
      <c r="P817" s="11" t="str">
        <f>IF($A817="","",IFERROR(VALUE(MID(TRIM('Template Setup'!$C$8),FIND("-",TRIM('Template Setup'!$C$8))+1,10)),0))</f>
        <v/>
      </c>
      <c r="Q817" s="9" t="str">
        <f>IF($A817="","",$A817&amp;"-"&amp;'Template Setup'!$C$16)</f>
        <v/>
      </c>
      <c r="R817" s="24" t="str">
        <f t="shared" si="49"/>
        <v/>
      </c>
      <c r="S817" s="24"/>
      <c r="T817" s="24" t="str">
        <f t="shared" si="50"/>
        <v/>
      </c>
      <c r="U817" s="6" t="str">
        <f t="shared" si="52"/>
        <v/>
      </c>
    </row>
    <row r="818" spans="1:21">
      <c r="A818" s="11"/>
      <c r="B818" s="11"/>
      <c r="C818" s="11"/>
      <c r="D818" s="11" t="str">
        <f>IF($A818="","",_xlfn.TEXTJOIN(", ",TRUE,IF($G818&gt;0,'Template Setup'!$C$4,""),IF($H818&gt;0,'Template Setup'!$C$5,""),IF($I818&gt;0,'Template Setup'!$C$6,""),IF($J818&gt;0,'Template Setup'!$C$7,""),IF($K818&gt;0,'Template Setup'!$C$8,"")))</f>
        <v/>
      </c>
      <c r="E818" s="6" t="str" cm="1">
        <f t="array" ref="E818">IF($A818="","",_xlfn.LET(_xlpm.sheets,CHOOSE({1,2,3,4,5},'Template Setup'!$C$4,'Template Setup'!$C$5,'Template Setup'!$C$6,'Template Setup'!$C$7,'Template Setup'!$C$8),_xlpm.nums,CHOOSE({1,2,3,4,5},$L818,$M818,$N818,$O818,$P818),_xlpm.qtys,CHOOSE({1,2,3,4,5},$G818,$H818,$I818,$J818,$K818),_xlpm.validNums,_xlfn._xlws.FILTER(_xlpm.nums,_xlpm.qtys&gt;0),_xlpm.validSheets,_xlfn._xlws.FILTER(_xlpm.sheets,_xlpm.qtys&gt;0),_xlpm.mx,IFERROR(MAX(_xlpm.validNums),0),IF(_xlpm.mx=0,"",INDEX(_xlpm.validSheets,MATCH(_xlpm.mx,_xlpm.validNums,0))&amp;" (+"&amp;$R818&amp;")")))</f>
        <v/>
      </c>
      <c r="F818" s="11" t="str">
        <f t="shared" si="51"/>
        <v/>
      </c>
      <c r="G818" s="12" t="str">
        <f ca="1">IF($A818="","",IFERROR(SUMIF(INDIRECT("'"&amp;'Template Setup'!$C$4&amp;"'!C:C"),$A818,INDIRECT("'"&amp;'Template Setup'!$C$4&amp;"'!A:A")),0))</f>
        <v/>
      </c>
      <c r="H818" s="12" t="str">
        <f ca="1">IF($A818="","",IFERROR(SUMIF(INDIRECT("'"&amp;'Template Setup'!$C$5&amp;"'!C:C"),$A818,INDIRECT("'"&amp;'Template Setup'!$C$5&amp;"'!A:A")),0))</f>
        <v/>
      </c>
      <c r="I818" s="12" t="str">
        <f ca="1">IF($A818="","",IFERROR(SUMIF(INDIRECT("'"&amp;'Template Setup'!$C$6&amp;"'!C:C"),$A818,INDIRECT("'"&amp;'Template Setup'!$C$6&amp;"'!A:A")),0))</f>
        <v/>
      </c>
      <c r="J818" s="12" t="str">
        <f ca="1">IF($A818="","",IFERROR(SUMIF(INDIRECT("'"&amp;'Template Setup'!$C$7&amp;"'!C:C"),$A818,INDIRECT("'"&amp;'Template Setup'!$C$7&amp;"'!A:A")),0))</f>
        <v/>
      </c>
      <c r="K818" s="12" t="str">
        <f ca="1">IF($A818="","",IFERROR(SUMIF(INDIRECT("'"&amp;'Template Setup'!$C$8&amp;"'!C:C"),$A818,INDIRECT("'"&amp;'Template Setup'!$C$8&amp;"'!A:A")),0))</f>
        <v/>
      </c>
      <c r="L818" s="11" t="str">
        <f>IF($A818="","",IFERROR(VALUE(MID(TRIM('Template Setup'!$C$4),FIND("-",TRIM('Template Setup'!$C$4))+1,10)),0))</f>
        <v/>
      </c>
      <c r="M818" s="11" t="str">
        <f>IF($A818="","",IFERROR(VALUE(MID(TRIM('Template Setup'!$C$5),FIND("-",TRIM('Template Setup'!$C$5))+1,10)),0))</f>
        <v/>
      </c>
      <c r="N818" s="11" t="str">
        <f>IF($A818="","",IFERROR(VALUE(MID(TRIM('Template Setup'!$C$6),FIND("-",TRIM('Template Setup'!$C$6))+1,10)),0))</f>
        <v/>
      </c>
      <c r="O818" s="11" t="str">
        <f>IF($A818="","",IFERROR(VALUE(MID(TRIM('Template Setup'!$C$7),FIND("-",TRIM('Template Setup'!$C$7))+1,10)),0))</f>
        <v/>
      </c>
      <c r="P818" s="11" t="str">
        <f>IF($A818="","",IFERROR(VALUE(MID(TRIM('Template Setup'!$C$8),FIND("-",TRIM('Template Setup'!$C$8))+1,10)),0))</f>
        <v/>
      </c>
      <c r="Q818" s="9" t="str">
        <f>IF($A818="","",$A818&amp;"-"&amp;'Template Setup'!$C$16)</f>
        <v/>
      </c>
      <c r="R818" s="24" t="str">
        <f t="shared" si="49"/>
        <v/>
      </c>
      <c r="S818" s="24"/>
      <c r="T818" s="24" t="str">
        <f t="shared" si="50"/>
        <v/>
      </c>
      <c r="U818" s="6" t="str">
        <f t="shared" si="52"/>
        <v/>
      </c>
    </row>
    <row r="819" spans="1:21">
      <c r="A819" s="11"/>
      <c r="B819" s="11"/>
      <c r="C819" s="11"/>
      <c r="D819" s="11" t="str">
        <f>IF($A819="","",_xlfn.TEXTJOIN(", ",TRUE,IF($G819&gt;0,'Template Setup'!$C$4,""),IF($H819&gt;0,'Template Setup'!$C$5,""),IF($I819&gt;0,'Template Setup'!$C$6,""),IF($J819&gt;0,'Template Setup'!$C$7,""),IF($K819&gt;0,'Template Setup'!$C$8,"")))</f>
        <v/>
      </c>
      <c r="E819" s="6" t="str" cm="1">
        <f t="array" ref="E819">IF($A819="","",_xlfn.LET(_xlpm.sheets,CHOOSE({1,2,3,4,5},'Template Setup'!$C$4,'Template Setup'!$C$5,'Template Setup'!$C$6,'Template Setup'!$C$7,'Template Setup'!$C$8),_xlpm.nums,CHOOSE({1,2,3,4,5},$L819,$M819,$N819,$O819,$P819),_xlpm.qtys,CHOOSE({1,2,3,4,5},$G819,$H819,$I819,$J819,$K819),_xlpm.validNums,_xlfn._xlws.FILTER(_xlpm.nums,_xlpm.qtys&gt;0),_xlpm.validSheets,_xlfn._xlws.FILTER(_xlpm.sheets,_xlpm.qtys&gt;0),_xlpm.mx,IFERROR(MAX(_xlpm.validNums),0),IF(_xlpm.mx=0,"",INDEX(_xlpm.validSheets,MATCH(_xlpm.mx,_xlpm.validNums,0))&amp;" (+"&amp;$R819&amp;")")))</f>
        <v/>
      </c>
      <c r="F819" s="11" t="str">
        <f t="shared" si="51"/>
        <v/>
      </c>
      <c r="G819" s="12" t="str">
        <f ca="1">IF($A819="","",IFERROR(SUMIF(INDIRECT("'"&amp;'Template Setup'!$C$4&amp;"'!C:C"),$A819,INDIRECT("'"&amp;'Template Setup'!$C$4&amp;"'!A:A")),0))</f>
        <v/>
      </c>
      <c r="H819" s="12" t="str">
        <f ca="1">IF($A819="","",IFERROR(SUMIF(INDIRECT("'"&amp;'Template Setup'!$C$5&amp;"'!C:C"),$A819,INDIRECT("'"&amp;'Template Setup'!$C$5&amp;"'!A:A")),0))</f>
        <v/>
      </c>
      <c r="I819" s="12" t="str">
        <f ca="1">IF($A819="","",IFERROR(SUMIF(INDIRECT("'"&amp;'Template Setup'!$C$6&amp;"'!C:C"),$A819,INDIRECT("'"&amp;'Template Setup'!$C$6&amp;"'!A:A")),0))</f>
        <v/>
      </c>
      <c r="J819" s="12" t="str">
        <f ca="1">IF($A819="","",IFERROR(SUMIF(INDIRECT("'"&amp;'Template Setup'!$C$7&amp;"'!C:C"),$A819,INDIRECT("'"&amp;'Template Setup'!$C$7&amp;"'!A:A")),0))</f>
        <v/>
      </c>
      <c r="K819" s="12" t="str">
        <f ca="1">IF($A819="","",IFERROR(SUMIF(INDIRECT("'"&amp;'Template Setup'!$C$8&amp;"'!C:C"),$A819,INDIRECT("'"&amp;'Template Setup'!$C$8&amp;"'!A:A")),0))</f>
        <v/>
      </c>
      <c r="L819" s="11" t="str">
        <f>IF($A819="","",IFERROR(VALUE(MID(TRIM('Template Setup'!$C$4),FIND("-",TRIM('Template Setup'!$C$4))+1,10)),0))</f>
        <v/>
      </c>
      <c r="M819" s="11" t="str">
        <f>IF($A819="","",IFERROR(VALUE(MID(TRIM('Template Setup'!$C$5),FIND("-",TRIM('Template Setup'!$C$5))+1,10)),0))</f>
        <v/>
      </c>
      <c r="N819" s="11" t="str">
        <f>IF($A819="","",IFERROR(VALUE(MID(TRIM('Template Setup'!$C$6),FIND("-",TRIM('Template Setup'!$C$6))+1,10)),0))</f>
        <v/>
      </c>
      <c r="O819" s="11" t="str">
        <f>IF($A819="","",IFERROR(VALUE(MID(TRIM('Template Setup'!$C$7),FIND("-",TRIM('Template Setup'!$C$7))+1,10)),0))</f>
        <v/>
      </c>
      <c r="P819" s="11" t="str">
        <f>IF($A819="","",IFERROR(VALUE(MID(TRIM('Template Setup'!$C$8),FIND("-",TRIM('Template Setup'!$C$8))+1,10)),0))</f>
        <v/>
      </c>
      <c r="Q819" s="9" t="str">
        <f>IF($A819="","",$A819&amp;"-"&amp;'Template Setup'!$C$16)</f>
        <v/>
      </c>
      <c r="R819" s="24" t="str">
        <f t="shared" si="49"/>
        <v/>
      </c>
      <c r="S819" s="24"/>
      <c r="T819" s="24" t="str">
        <f t="shared" si="50"/>
        <v/>
      </c>
      <c r="U819" s="6" t="str">
        <f t="shared" si="52"/>
        <v/>
      </c>
    </row>
    <row r="820" spans="1:21">
      <c r="A820" s="11"/>
      <c r="B820" s="11"/>
      <c r="C820" s="11"/>
      <c r="D820" s="11" t="str">
        <f>IF($A820="","",_xlfn.TEXTJOIN(", ",TRUE,IF($G820&gt;0,'Template Setup'!$C$4,""),IF($H820&gt;0,'Template Setup'!$C$5,""),IF($I820&gt;0,'Template Setup'!$C$6,""),IF($J820&gt;0,'Template Setup'!$C$7,""),IF($K820&gt;0,'Template Setup'!$C$8,"")))</f>
        <v/>
      </c>
      <c r="E820" s="6" t="str" cm="1">
        <f t="array" ref="E820">IF($A820="","",_xlfn.LET(_xlpm.sheets,CHOOSE({1,2,3,4,5},'Template Setup'!$C$4,'Template Setup'!$C$5,'Template Setup'!$C$6,'Template Setup'!$C$7,'Template Setup'!$C$8),_xlpm.nums,CHOOSE({1,2,3,4,5},$L820,$M820,$N820,$O820,$P820),_xlpm.qtys,CHOOSE({1,2,3,4,5},$G820,$H820,$I820,$J820,$K820),_xlpm.validNums,_xlfn._xlws.FILTER(_xlpm.nums,_xlpm.qtys&gt;0),_xlpm.validSheets,_xlfn._xlws.FILTER(_xlpm.sheets,_xlpm.qtys&gt;0),_xlpm.mx,IFERROR(MAX(_xlpm.validNums),0),IF(_xlpm.mx=0,"",INDEX(_xlpm.validSheets,MATCH(_xlpm.mx,_xlpm.validNums,0))&amp;" (+"&amp;$R820&amp;")")))</f>
        <v/>
      </c>
      <c r="F820" s="11" t="str">
        <f t="shared" si="51"/>
        <v/>
      </c>
      <c r="G820" s="12" t="str">
        <f ca="1">IF($A820="","",IFERROR(SUMIF(INDIRECT("'"&amp;'Template Setup'!$C$4&amp;"'!C:C"),$A820,INDIRECT("'"&amp;'Template Setup'!$C$4&amp;"'!A:A")),0))</f>
        <v/>
      </c>
      <c r="H820" s="12" t="str">
        <f ca="1">IF($A820="","",IFERROR(SUMIF(INDIRECT("'"&amp;'Template Setup'!$C$5&amp;"'!C:C"),$A820,INDIRECT("'"&amp;'Template Setup'!$C$5&amp;"'!A:A")),0))</f>
        <v/>
      </c>
      <c r="I820" s="12" t="str">
        <f ca="1">IF($A820="","",IFERROR(SUMIF(INDIRECT("'"&amp;'Template Setup'!$C$6&amp;"'!C:C"),$A820,INDIRECT("'"&amp;'Template Setup'!$C$6&amp;"'!A:A")),0))</f>
        <v/>
      </c>
      <c r="J820" s="12" t="str">
        <f ca="1">IF($A820="","",IFERROR(SUMIF(INDIRECT("'"&amp;'Template Setup'!$C$7&amp;"'!C:C"),$A820,INDIRECT("'"&amp;'Template Setup'!$C$7&amp;"'!A:A")),0))</f>
        <v/>
      </c>
      <c r="K820" s="12" t="str">
        <f ca="1">IF($A820="","",IFERROR(SUMIF(INDIRECT("'"&amp;'Template Setup'!$C$8&amp;"'!C:C"),$A820,INDIRECT("'"&amp;'Template Setup'!$C$8&amp;"'!A:A")),0))</f>
        <v/>
      </c>
      <c r="L820" s="11" t="str">
        <f>IF($A820="","",IFERROR(VALUE(MID(TRIM('Template Setup'!$C$4),FIND("-",TRIM('Template Setup'!$C$4))+1,10)),0))</f>
        <v/>
      </c>
      <c r="M820" s="11" t="str">
        <f>IF($A820="","",IFERROR(VALUE(MID(TRIM('Template Setup'!$C$5),FIND("-",TRIM('Template Setup'!$C$5))+1,10)),0))</f>
        <v/>
      </c>
      <c r="N820" s="11" t="str">
        <f>IF($A820="","",IFERROR(VALUE(MID(TRIM('Template Setup'!$C$6),FIND("-",TRIM('Template Setup'!$C$6))+1,10)),0))</f>
        <v/>
      </c>
      <c r="O820" s="11" t="str">
        <f>IF($A820="","",IFERROR(VALUE(MID(TRIM('Template Setup'!$C$7),FIND("-",TRIM('Template Setup'!$C$7))+1,10)),0))</f>
        <v/>
      </c>
      <c r="P820" s="11" t="str">
        <f>IF($A820="","",IFERROR(VALUE(MID(TRIM('Template Setup'!$C$8),FIND("-",TRIM('Template Setup'!$C$8))+1,10)),0))</f>
        <v/>
      </c>
      <c r="Q820" s="9" t="str">
        <f>IF($A820="","",$A820&amp;"-"&amp;'Template Setup'!$C$16)</f>
        <v/>
      </c>
      <c r="R820" s="24" t="str">
        <f t="shared" si="49"/>
        <v/>
      </c>
      <c r="S820" s="24"/>
      <c r="T820" s="24" t="str">
        <f t="shared" si="50"/>
        <v/>
      </c>
      <c r="U820" s="6" t="str">
        <f t="shared" si="52"/>
        <v/>
      </c>
    </row>
    <row r="821" spans="1:21">
      <c r="A821" s="11"/>
      <c r="B821" s="11"/>
      <c r="C821" s="11"/>
      <c r="D821" s="11" t="str">
        <f>IF($A821="","",_xlfn.TEXTJOIN(", ",TRUE,IF($G821&gt;0,'Template Setup'!$C$4,""),IF($H821&gt;0,'Template Setup'!$C$5,""),IF($I821&gt;0,'Template Setup'!$C$6,""),IF($J821&gt;0,'Template Setup'!$C$7,""),IF($K821&gt;0,'Template Setup'!$C$8,"")))</f>
        <v/>
      </c>
      <c r="E821" s="6" t="str" cm="1">
        <f t="array" ref="E821">IF($A821="","",_xlfn.LET(_xlpm.sheets,CHOOSE({1,2,3,4,5},'Template Setup'!$C$4,'Template Setup'!$C$5,'Template Setup'!$C$6,'Template Setup'!$C$7,'Template Setup'!$C$8),_xlpm.nums,CHOOSE({1,2,3,4,5},$L821,$M821,$N821,$O821,$P821),_xlpm.qtys,CHOOSE({1,2,3,4,5},$G821,$H821,$I821,$J821,$K821),_xlpm.validNums,_xlfn._xlws.FILTER(_xlpm.nums,_xlpm.qtys&gt;0),_xlpm.validSheets,_xlfn._xlws.FILTER(_xlpm.sheets,_xlpm.qtys&gt;0),_xlpm.mx,IFERROR(MAX(_xlpm.validNums),0),IF(_xlpm.mx=0,"",INDEX(_xlpm.validSheets,MATCH(_xlpm.mx,_xlpm.validNums,0))&amp;" (+"&amp;$R821&amp;")")))</f>
        <v/>
      </c>
      <c r="F821" s="11" t="str">
        <f t="shared" si="51"/>
        <v/>
      </c>
      <c r="G821" s="12" t="str">
        <f ca="1">IF($A821="","",IFERROR(SUMIF(INDIRECT("'"&amp;'Template Setup'!$C$4&amp;"'!C:C"),$A821,INDIRECT("'"&amp;'Template Setup'!$C$4&amp;"'!A:A")),0))</f>
        <v/>
      </c>
      <c r="H821" s="12" t="str">
        <f ca="1">IF($A821="","",IFERROR(SUMIF(INDIRECT("'"&amp;'Template Setup'!$C$5&amp;"'!C:C"),$A821,INDIRECT("'"&amp;'Template Setup'!$C$5&amp;"'!A:A")),0))</f>
        <v/>
      </c>
      <c r="I821" s="12" t="str">
        <f ca="1">IF($A821="","",IFERROR(SUMIF(INDIRECT("'"&amp;'Template Setup'!$C$6&amp;"'!C:C"),$A821,INDIRECT("'"&amp;'Template Setup'!$C$6&amp;"'!A:A")),0))</f>
        <v/>
      </c>
      <c r="J821" s="12" t="str">
        <f ca="1">IF($A821="","",IFERROR(SUMIF(INDIRECT("'"&amp;'Template Setup'!$C$7&amp;"'!C:C"),$A821,INDIRECT("'"&amp;'Template Setup'!$C$7&amp;"'!A:A")),0))</f>
        <v/>
      </c>
      <c r="K821" s="12" t="str">
        <f ca="1">IF($A821="","",IFERROR(SUMIF(INDIRECT("'"&amp;'Template Setup'!$C$8&amp;"'!C:C"),$A821,INDIRECT("'"&amp;'Template Setup'!$C$8&amp;"'!A:A")),0))</f>
        <v/>
      </c>
      <c r="L821" s="11" t="str">
        <f>IF($A821="","",IFERROR(VALUE(MID(TRIM('Template Setup'!$C$4),FIND("-",TRIM('Template Setup'!$C$4))+1,10)),0))</f>
        <v/>
      </c>
      <c r="M821" s="11" t="str">
        <f>IF($A821="","",IFERROR(VALUE(MID(TRIM('Template Setup'!$C$5),FIND("-",TRIM('Template Setup'!$C$5))+1,10)),0))</f>
        <v/>
      </c>
      <c r="N821" s="11" t="str">
        <f>IF($A821="","",IFERROR(VALUE(MID(TRIM('Template Setup'!$C$6),FIND("-",TRIM('Template Setup'!$C$6))+1,10)),0))</f>
        <v/>
      </c>
      <c r="O821" s="11" t="str">
        <f>IF($A821="","",IFERROR(VALUE(MID(TRIM('Template Setup'!$C$7),FIND("-",TRIM('Template Setup'!$C$7))+1,10)),0))</f>
        <v/>
      </c>
      <c r="P821" s="11" t="str">
        <f>IF($A821="","",IFERROR(VALUE(MID(TRIM('Template Setup'!$C$8),FIND("-",TRIM('Template Setup'!$C$8))+1,10)),0))</f>
        <v/>
      </c>
      <c r="Q821" s="9" t="str">
        <f>IF($A821="","",$A821&amp;"-"&amp;'Template Setup'!$C$16)</f>
        <v/>
      </c>
      <c r="R821" s="24" t="str">
        <f t="shared" si="49"/>
        <v/>
      </c>
      <c r="S821" s="24"/>
      <c r="T821" s="24" t="str">
        <f t="shared" si="50"/>
        <v/>
      </c>
      <c r="U821" s="6" t="str">
        <f t="shared" si="52"/>
        <v/>
      </c>
    </row>
    <row r="822" spans="1:21">
      <c r="A822" s="11"/>
      <c r="B822" s="11"/>
      <c r="C822" s="11"/>
      <c r="D822" s="11" t="str">
        <f>IF($A822="","",_xlfn.TEXTJOIN(", ",TRUE,IF($G822&gt;0,'Template Setup'!$C$4,""),IF($H822&gt;0,'Template Setup'!$C$5,""),IF($I822&gt;0,'Template Setup'!$C$6,""),IF($J822&gt;0,'Template Setup'!$C$7,""),IF($K822&gt;0,'Template Setup'!$C$8,"")))</f>
        <v/>
      </c>
      <c r="E822" s="6" t="str" cm="1">
        <f t="array" ref="E822">IF($A822="","",_xlfn.LET(_xlpm.sheets,CHOOSE({1,2,3,4,5},'Template Setup'!$C$4,'Template Setup'!$C$5,'Template Setup'!$C$6,'Template Setup'!$C$7,'Template Setup'!$C$8),_xlpm.nums,CHOOSE({1,2,3,4,5},$L822,$M822,$N822,$O822,$P822),_xlpm.qtys,CHOOSE({1,2,3,4,5},$G822,$H822,$I822,$J822,$K822),_xlpm.validNums,_xlfn._xlws.FILTER(_xlpm.nums,_xlpm.qtys&gt;0),_xlpm.validSheets,_xlfn._xlws.FILTER(_xlpm.sheets,_xlpm.qtys&gt;0),_xlpm.mx,IFERROR(MAX(_xlpm.validNums),0),IF(_xlpm.mx=0,"",INDEX(_xlpm.validSheets,MATCH(_xlpm.mx,_xlpm.validNums,0))&amp;" (+"&amp;$R822&amp;")")))</f>
        <v/>
      </c>
      <c r="F822" s="11" t="str">
        <f t="shared" si="51"/>
        <v/>
      </c>
      <c r="G822" s="12" t="str">
        <f ca="1">IF($A822="","",IFERROR(SUMIF(INDIRECT("'"&amp;'Template Setup'!$C$4&amp;"'!C:C"),$A822,INDIRECT("'"&amp;'Template Setup'!$C$4&amp;"'!A:A")),0))</f>
        <v/>
      </c>
      <c r="H822" s="12" t="str">
        <f ca="1">IF($A822="","",IFERROR(SUMIF(INDIRECT("'"&amp;'Template Setup'!$C$5&amp;"'!C:C"),$A822,INDIRECT("'"&amp;'Template Setup'!$C$5&amp;"'!A:A")),0))</f>
        <v/>
      </c>
      <c r="I822" s="12" t="str">
        <f ca="1">IF($A822="","",IFERROR(SUMIF(INDIRECT("'"&amp;'Template Setup'!$C$6&amp;"'!C:C"),$A822,INDIRECT("'"&amp;'Template Setup'!$C$6&amp;"'!A:A")),0))</f>
        <v/>
      </c>
      <c r="J822" s="12" t="str">
        <f ca="1">IF($A822="","",IFERROR(SUMIF(INDIRECT("'"&amp;'Template Setup'!$C$7&amp;"'!C:C"),$A822,INDIRECT("'"&amp;'Template Setup'!$C$7&amp;"'!A:A")),0))</f>
        <v/>
      </c>
      <c r="K822" s="12" t="str">
        <f ca="1">IF($A822="","",IFERROR(SUMIF(INDIRECT("'"&amp;'Template Setup'!$C$8&amp;"'!C:C"),$A822,INDIRECT("'"&amp;'Template Setup'!$C$8&amp;"'!A:A")),0))</f>
        <v/>
      </c>
      <c r="L822" s="11" t="str">
        <f>IF($A822="","",IFERROR(VALUE(MID(TRIM('Template Setup'!$C$4),FIND("-",TRIM('Template Setup'!$C$4))+1,10)),0))</f>
        <v/>
      </c>
      <c r="M822" s="11" t="str">
        <f>IF($A822="","",IFERROR(VALUE(MID(TRIM('Template Setup'!$C$5),FIND("-",TRIM('Template Setup'!$C$5))+1,10)),0))</f>
        <v/>
      </c>
      <c r="N822" s="11" t="str">
        <f>IF($A822="","",IFERROR(VALUE(MID(TRIM('Template Setup'!$C$6),FIND("-",TRIM('Template Setup'!$C$6))+1,10)),0))</f>
        <v/>
      </c>
      <c r="O822" s="11" t="str">
        <f>IF($A822="","",IFERROR(VALUE(MID(TRIM('Template Setup'!$C$7),FIND("-",TRIM('Template Setup'!$C$7))+1,10)),0))</f>
        <v/>
      </c>
      <c r="P822" s="11" t="str">
        <f>IF($A822="","",IFERROR(VALUE(MID(TRIM('Template Setup'!$C$8),FIND("-",TRIM('Template Setup'!$C$8))+1,10)),0))</f>
        <v/>
      </c>
      <c r="Q822" s="9" t="str">
        <f>IF($A822="","",$A822&amp;"-"&amp;'Template Setup'!$C$16)</f>
        <v/>
      </c>
      <c r="R822" s="24" t="str">
        <f t="shared" si="49"/>
        <v/>
      </c>
      <c r="S822" s="24"/>
      <c r="T822" s="24" t="str">
        <f t="shared" si="50"/>
        <v/>
      </c>
      <c r="U822" s="6" t="str">
        <f t="shared" si="52"/>
        <v/>
      </c>
    </row>
    <row r="823" spans="1:21">
      <c r="A823" s="11"/>
      <c r="B823" s="11"/>
      <c r="C823" s="11"/>
      <c r="D823" s="11" t="str">
        <f>IF($A823="","",_xlfn.TEXTJOIN(", ",TRUE,IF($G823&gt;0,'Template Setup'!$C$4,""),IF($H823&gt;0,'Template Setup'!$C$5,""),IF($I823&gt;0,'Template Setup'!$C$6,""),IF($J823&gt;0,'Template Setup'!$C$7,""),IF($K823&gt;0,'Template Setup'!$C$8,"")))</f>
        <v/>
      </c>
      <c r="E823" s="6" t="str" cm="1">
        <f t="array" ref="E823">IF($A823="","",_xlfn.LET(_xlpm.sheets,CHOOSE({1,2,3,4,5},'Template Setup'!$C$4,'Template Setup'!$C$5,'Template Setup'!$C$6,'Template Setup'!$C$7,'Template Setup'!$C$8),_xlpm.nums,CHOOSE({1,2,3,4,5},$L823,$M823,$N823,$O823,$P823),_xlpm.qtys,CHOOSE({1,2,3,4,5},$G823,$H823,$I823,$J823,$K823),_xlpm.validNums,_xlfn._xlws.FILTER(_xlpm.nums,_xlpm.qtys&gt;0),_xlpm.validSheets,_xlfn._xlws.FILTER(_xlpm.sheets,_xlpm.qtys&gt;0),_xlpm.mx,IFERROR(MAX(_xlpm.validNums),0),IF(_xlpm.mx=0,"",INDEX(_xlpm.validSheets,MATCH(_xlpm.mx,_xlpm.validNums,0))&amp;" (+"&amp;$R823&amp;")")))</f>
        <v/>
      </c>
      <c r="F823" s="11" t="str">
        <f t="shared" si="51"/>
        <v/>
      </c>
      <c r="G823" s="12" t="str">
        <f ca="1">IF($A823="","",IFERROR(SUMIF(INDIRECT("'"&amp;'Template Setup'!$C$4&amp;"'!C:C"),$A823,INDIRECT("'"&amp;'Template Setup'!$C$4&amp;"'!A:A")),0))</f>
        <v/>
      </c>
      <c r="H823" s="12" t="str">
        <f ca="1">IF($A823="","",IFERROR(SUMIF(INDIRECT("'"&amp;'Template Setup'!$C$5&amp;"'!C:C"),$A823,INDIRECT("'"&amp;'Template Setup'!$C$5&amp;"'!A:A")),0))</f>
        <v/>
      </c>
      <c r="I823" s="12" t="str">
        <f ca="1">IF($A823="","",IFERROR(SUMIF(INDIRECT("'"&amp;'Template Setup'!$C$6&amp;"'!C:C"),$A823,INDIRECT("'"&amp;'Template Setup'!$C$6&amp;"'!A:A")),0))</f>
        <v/>
      </c>
      <c r="J823" s="12" t="str">
        <f ca="1">IF($A823="","",IFERROR(SUMIF(INDIRECT("'"&amp;'Template Setup'!$C$7&amp;"'!C:C"),$A823,INDIRECT("'"&amp;'Template Setup'!$C$7&amp;"'!A:A")),0))</f>
        <v/>
      </c>
      <c r="K823" s="12" t="str">
        <f ca="1">IF($A823="","",IFERROR(SUMIF(INDIRECT("'"&amp;'Template Setup'!$C$8&amp;"'!C:C"),$A823,INDIRECT("'"&amp;'Template Setup'!$C$8&amp;"'!A:A")),0))</f>
        <v/>
      </c>
      <c r="L823" s="11" t="str">
        <f>IF($A823="","",IFERROR(VALUE(MID(TRIM('Template Setup'!$C$4),FIND("-",TRIM('Template Setup'!$C$4))+1,10)),0))</f>
        <v/>
      </c>
      <c r="M823" s="11" t="str">
        <f>IF($A823="","",IFERROR(VALUE(MID(TRIM('Template Setup'!$C$5),FIND("-",TRIM('Template Setup'!$C$5))+1,10)),0))</f>
        <v/>
      </c>
      <c r="N823" s="11" t="str">
        <f>IF($A823="","",IFERROR(VALUE(MID(TRIM('Template Setup'!$C$6),FIND("-",TRIM('Template Setup'!$C$6))+1,10)),0))</f>
        <v/>
      </c>
      <c r="O823" s="11" t="str">
        <f>IF($A823="","",IFERROR(VALUE(MID(TRIM('Template Setup'!$C$7),FIND("-",TRIM('Template Setup'!$C$7))+1,10)),0))</f>
        <v/>
      </c>
      <c r="P823" s="11" t="str">
        <f>IF($A823="","",IFERROR(VALUE(MID(TRIM('Template Setup'!$C$8),FIND("-",TRIM('Template Setup'!$C$8))+1,10)),0))</f>
        <v/>
      </c>
      <c r="Q823" s="9" t="str">
        <f>IF($A823="","",$A823&amp;"-"&amp;'Template Setup'!$C$16)</f>
        <v/>
      </c>
      <c r="R823" s="24" t="str">
        <f t="shared" si="49"/>
        <v/>
      </c>
      <c r="S823" s="24"/>
      <c r="T823" s="24" t="str">
        <f t="shared" si="50"/>
        <v/>
      </c>
      <c r="U823" s="6" t="str">
        <f t="shared" si="52"/>
        <v/>
      </c>
    </row>
    <row r="824" spans="1:21">
      <c r="A824" s="11"/>
      <c r="B824" s="11"/>
      <c r="C824" s="11"/>
      <c r="D824" s="11" t="str">
        <f>IF($A824="","",_xlfn.TEXTJOIN(", ",TRUE,IF($G824&gt;0,'Template Setup'!$C$4,""),IF($H824&gt;0,'Template Setup'!$C$5,""),IF($I824&gt;0,'Template Setup'!$C$6,""),IF($J824&gt;0,'Template Setup'!$C$7,""),IF($K824&gt;0,'Template Setup'!$C$8,"")))</f>
        <v/>
      </c>
      <c r="E824" s="6" t="str" cm="1">
        <f t="array" ref="E824">IF($A824="","",_xlfn.LET(_xlpm.sheets,CHOOSE({1,2,3,4,5},'Template Setup'!$C$4,'Template Setup'!$C$5,'Template Setup'!$C$6,'Template Setup'!$C$7,'Template Setup'!$C$8),_xlpm.nums,CHOOSE({1,2,3,4,5},$L824,$M824,$N824,$O824,$P824),_xlpm.qtys,CHOOSE({1,2,3,4,5},$G824,$H824,$I824,$J824,$K824),_xlpm.validNums,_xlfn._xlws.FILTER(_xlpm.nums,_xlpm.qtys&gt;0),_xlpm.validSheets,_xlfn._xlws.FILTER(_xlpm.sheets,_xlpm.qtys&gt;0),_xlpm.mx,IFERROR(MAX(_xlpm.validNums),0),IF(_xlpm.mx=0,"",INDEX(_xlpm.validSheets,MATCH(_xlpm.mx,_xlpm.validNums,0))&amp;" (+"&amp;$R824&amp;")")))</f>
        <v/>
      </c>
      <c r="F824" s="11" t="str">
        <f t="shared" si="51"/>
        <v/>
      </c>
      <c r="G824" s="12" t="str">
        <f ca="1">IF($A824="","",IFERROR(SUMIF(INDIRECT("'"&amp;'Template Setup'!$C$4&amp;"'!C:C"),$A824,INDIRECT("'"&amp;'Template Setup'!$C$4&amp;"'!A:A")),0))</f>
        <v/>
      </c>
      <c r="H824" s="12" t="str">
        <f ca="1">IF($A824="","",IFERROR(SUMIF(INDIRECT("'"&amp;'Template Setup'!$C$5&amp;"'!C:C"),$A824,INDIRECT("'"&amp;'Template Setup'!$C$5&amp;"'!A:A")),0))</f>
        <v/>
      </c>
      <c r="I824" s="12" t="str">
        <f ca="1">IF($A824="","",IFERROR(SUMIF(INDIRECT("'"&amp;'Template Setup'!$C$6&amp;"'!C:C"),$A824,INDIRECT("'"&amp;'Template Setup'!$C$6&amp;"'!A:A")),0))</f>
        <v/>
      </c>
      <c r="J824" s="12" t="str">
        <f ca="1">IF($A824="","",IFERROR(SUMIF(INDIRECT("'"&amp;'Template Setup'!$C$7&amp;"'!C:C"),$A824,INDIRECT("'"&amp;'Template Setup'!$C$7&amp;"'!A:A")),0))</f>
        <v/>
      </c>
      <c r="K824" s="12" t="str">
        <f ca="1">IF($A824="","",IFERROR(SUMIF(INDIRECT("'"&amp;'Template Setup'!$C$8&amp;"'!C:C"),$A824,INDIRECT("'"&amp;'Template Setup'!$C$8&amp;"'!A:A")),0))</f>
        <v/>
      </c>
      <c r="L824" s="11" t="str">
        <f>IF($A824="","",IFERROR(VALUE(MID(TRIM('Template Setup'!$C$4),FIND("-",TRIM('Template Setup'!$C$4))+1,10)),0))</f>
        <v/>
      </c>
      <c r="M824" s="11" t="str">
        <f>IF($A824="","",IFERROR(VALUE(MID(TRIM('Template Setup'!$C$5),FIND("-",TRIM('Template Setup'!$C$5))+1,10)),0))</f>
        <v/>
      </c>
      <c r="N824" s="11" t="str">
        <f>IF($A824="","",IFERROR(VALUE(MID(TRIM('Template Setup'!$C$6),FIND("-",TRIM('Template Setup'!$C$6))+1,10)),0))</f>
        <v/>
      </c>
      <c r="O824" s="11" t="str">
        <f>IF($A824="","",IFERROR(VALUE(MID(TRIM('Template Setup'!$C$7),FIND("-",TRIM('Template Setup'!$C$7))+1,10)),0))</f>
        <v/>
      </c>
      <c r="P824" s="11" t="str">
        <f>IF($A824="","",IFERROR(VALUE(MID(TRIM('Template Setup'!$C$8),FIND("-",TRIM('Template Setup'!$C$8))+1,10)),0))</f>
        <v/>
      </c>
      <c r="Q824" s="9" t="str">
        <f>IF($A824="","",$A824&amp;"-"&amp;'Template Setup'!$C$16)</f>
        <v/>
      </c>
      <c r="R824" s="24" t="str">
        <f t="shared" si="49"/>
        <v/>
      </c>
      <c r="S824" s="24"/>
      <c r="T824" s="24" t="str">
        <f t="shared" si="50"/>
        <v/>
      </c>
      <c r="U824" s="6" t="str">
        <f t="shared" si="52"/>
        <v/>
      </c>
    </row>
    <row r="825" spans="1:21">
      <c r="A825" s="11"/>
      <c r="B825" s="11"/>
      <c r="C825" s="11"/>
      <c r="D825" s="11" t="str">
        <f>IF($A825="","",_xlfn.TEXTJOIN(", ",TRUE,IF($G825&gt;0,'Template Setup'!$C$4,""),IF($H825&gt;0,'Template Setup'!$C$5,""),IF($I825&gt;0,'Template Setup'!$C$6,""),IF($J825&gt;0,'Template Setup'!$C$7,""),IF($K825&gt;0,'Template Setup'!$C$8,"")))</f>
        <v/>
      </c>
      <c r="E825" s="6" t="str" cm="1">
        <f t="array" ref="E825">IF($A825="","",_xlfn.LET(_xlpm.sheets,CHOOSE({1,2,3,4,5},'Template Setup'!$C$4,'Template Setup'!$C$5,'Template Setup'!$C$6,'Template Setup'!$C$7,'Template Setup'!$C$8),_xlpm.nums,CHOOSE({1,2,3,4,5},$L825,$M825,$N825,$O825,$P825),_xlpm.qtys,CHOOSE({1,2,3,4,5},$G825,$H825,$I825,$J825,$K825),_xlpm.validNums,_xlfn._xlws.FILTER(_xlpm.nums,_xlpm.qtys&gt;0),_xlpm.validSheets,_xlfn._xlws.FILTER(_xlpm.sheets,_xlpm.qtys&gt;0),_xlpm.mx,IFERROR(MAX(_xlpm.validNums),0),IF(_xlpm.mx=0,"",INDEX(_xlpm.validSheets,MATCH(_xlpm.mx,_xlpm.validNums,0))&amp;" (+"&amp;$R825&amp;")")))</f>
        <v/>
      </c>
      <c r="F825" s="11" t="str">
        <f t="shared" si="51"/>
        <v/>
      </c>
      <c r="G825" s="12" t="str">
        <f ca="1">IF($A825="","",IFERROR(SUMIF(INDIRECT("'"&amp;'Template Setup'!$C$4&amp;"'!C:C"),$A825,INDIRECT("'"&amp;'Template Setup'!$C$4&amp;"'!A:A")),0))</f>
        <v/>
      </c>
      <c r="H825" s="12" t="str">
        <f ca="1">IF($A825="","",IFERROR(SUMIF(INDIRECT("'"&amp;'Template Setup'!$C$5&amp;"'!C:C"),$A825,INDIRECT("'"&amp;'Template Setup'!$C$5&amp;"'!A:A")),0))</f>
        <v/>
      </c>
      <c r="I825" s="12" t="str">
        <f ca="1">IF($A825="","",IFERROR(SUMIF(INDIRECT("'"&amp;'Template Setup'!$C$6&amp;"'!C:C"),$A825,INDIRECT("'"&amp;'Template Setup'!$C$6&amp;"'!A:A")),0))</f>
        <v/>
      </c>
      <c r="J825" s="12" t="str">
        <f ca="1">IF($A825="","",IFERROR(SUMIF(INDIRECT("'"&amp;'Template Setup'!$C$7&amp;"'!C:C"),$A825,INDIRECT("'"&amp;'Template Setup'!$C$7&amp;"'!A:A")),0))</f>
        <v/>
      </c>
      <c r="K825" s="12" t="str">
        <f ca="1">IF($A825="","",IFERROR(SUMIF(INDIRECT("'"&amp;'Template Setup'!$C$8&amp;"'!C:C"),$A825,INDIRECT("'"&amp;'Template Setup'!$C$8&amp;"'!A:A")),0))</f>
        <v/>
      </c>
      <c r="L825" s="11" t="str">
        <f>IF($A825="","",IFERROR(VALUE(MID(TRIM('Template Setup'!$C$4),FIND("-",TRIM('Template Setup'!$C$4))+1,10)),0))</f>
        <v/>
      </c>
      <c r="M825" s="11" t="str">
        <f>IF($A825="","",IFERROR(VALUE(MID(TRIM('Template Setup'!$C$5),FIND("-",TRIM('Template Setup'!$C$5))+1,10)),0))</f>
        <v/>
      </c>
      <c r="N825" s="11" t="str">
        <f>IF($A825="","",IFERROR(VALUE(MID(TRIM('Template Setup'!$C$6),FIND("-",TRIM('Template Setup'!$C$6))+1,10)),0))</f>
        <v/>
      </c>
      <c r="O825" s="11" t="str">
        <f>IF($A825="","",IFERROR(VALUE(MID(TRIM('Template Setup'!$C$7),FIND("-",TRIM('Template Setup'!$C$7))+1,10)),0))</f>
        <v/>
      </c>
      <c r="P825" s="11" t="str">
        <f>IF($A825="","",IFERROR(VALUE(MID(TRIM('Template Setup'!$C$8),FIND("-",TRIM('Template Setup'!$C$8))+1,10)),0))</f>
        <v/>
      </c>
      <c r="Q825" s="9" t="str">
        <f>IF($A825="","",$A825&amp;"-"&amp;'Template Setup'!$C$16)</f>
        <v/>
      </c>
      <c r="R825" s="24" t="str">
        <f t="shared" si="49"/>
        <v/>
      </c>
      <c r="S825" s="24"/>
      <c r="T825" s="24" t="str">
        <f t="shared" si="50"/>
        <v/>
      </c>
      <c r="U825" s="6" t="str">
        <f t="shared" si="52"/>
        <v/>
      </c>
    </row>
    <row r="826" spans="1:21">
      <c r="A826" s="11"/>
      <c r="B826" s="11"/>
      <c r="C826" s="11"/>
      <c r="D826" s="11" t="str">
        <f>IF($A826="","",_xlfn.TEXTJOIN(", ",TRUE,IF($G826&gt;0,'Template Setup'!$C$4,""),IF($H826&gt;0,'Template Setup'!$C$5,""),IF($I826&gt;0,'Template Setup'!$C$6,""),IF($J826&gt;0,'Template Setup'!$C$7,""),IF($K826&gt;0,'Template Setup'!$C$8,"")))</f>
        <v/>
      </c>
      <c r="E826" s="6" t="str" cm="1">
        <f t="array" ref="E826">IF($A826="","",_xlfn.LET(_xlpm.sheets,CHOOSE({1,2,3,4,5},'Template Setup'!$C$4,'Template Setup'!$C$5,'Template Setup'!$C$6,'Template Setup'!$C$7,'Template Setup'!$C$8),_xlpm.nums,CHOOSE({1,2,3,4,5},$L826,$M826,$N826,$O826,$P826),_xlpm.qtys,CHOOSE({1,2,3,4,5},$G826,$H826,$I826,$J826,$K826),_xlpm.validNums,_xlfn._xlws.FILTER(_xlpm.nums,_xlpm.qtys&gt;0),_xlpm.validSheets,_xlfn._xlws.FILTER(_xlpm.sheets,_xlpm.qtys&gt;0),_xlpm.mx,IFERROR(MAX(_xlpm.validNums),0),IF(_xlpm.mx=0,"",INDEX(_xlpm.validSheets,MATCH(_xlpm.mx,_xlpm.validNums,0))&amp;" (+"&amp;$R826&amp;")")))</f>
        <v/>
      </c>
      <c r="F826" s="11" t="str">
        <f t="shared" si="51"/>
        <v/>
      </c>
      <c r="G826" s="12" t="str">
        <f ca="1">IF($A826="","",IFERROR(SUMIF(INDIRECT("'"&amp;'Template Setup'!$C$4&amp;"'!C:C"),$A826,INDIRECT("'"&amp;'Template Setup'!$C$4&amp;"'!A:A")),0))</f>
        <v/>
      </c>
      <c r="H826" s="12" t="str">
        <f ca="1">IF($A826="","",IFERROR(SUMIF(INDIRECT("'"&amp;'Template Setup'!$C$5&amp;"'!C:C"),$A826,INDIRECT("'"&amp;'Template Setup'!$C$5&amp;"'!A:A")),0))</f>
        <v/>
      </c>
      <c r="I826" s="12" t="str">
        <f ca="1">IF($A826="","",IFERROR(SUMIF(INDIRECT("'"&amp;'Template Setup'!$C$6&amp;"'!C:C"),$A826,INDIRECT("'"&amp;'Template Setup'!$C$6&amp;"'!A:A")),0))</f>
        <v/>
      </c>
      <c r="J826" s="12" t="str">
        <f ca="1">IF($A826="","",IFERROR(SUMIF(INDIRECT("'"&amp;'Template Setup'!$C$7&amp;"'!C:C"),$A826,INDIRECT("'"&amp;'Template Setup'!$C$7&amp;"'!A:A")),0))</f>
        <v/>
      </c>
      <c r="K826" s="12" t="str">
        <f ca="1">IF($A826="","",IFERROR(SUMIF(INDIRECT("'"&amp;'Template Setup'!$C$8&amp;"'!C:C"),$A826,INDIRECT("'"&amp;'Template Setup'!$C$8&amp;"'!A:A")),0))</f>
        <v/>
      </c>
      <c r="L826" s="11" t="str">
        <f>IF($A826="","",IFERROR(VALUE(MID(TRIM('Template Setup'!$C$4),FIND("-",TRIM('Template Setup'!$C$4))+1,10)),0))</f>
        <v/>
      </c>
      <c r="M826" s="11" t="str">
        <f>IF($A826="","",IFERROR(VALUE(MID(TRIM('Template Setup'!$C$5),FIND("-",TRIM('Template Setup'!$C$5))+1,10)),0))</f>
        <v/>
      </c>
      <c r="N826" s="11" t="str">
        <f>IF($A826="","",IFERROR(VALUE(MID(TRIM('Template Setup'!$C$6),FIND("-",TRIM('Template Setup'!$C$6))+1,10)),0))</f>
        <v/>
      </c>
      <c r="O826" s="11" t="str">
        <f>IF($A826="","",IFERROR(VALUE(MID(TRIM('Template Setup'!$C$7),FIND("-",TRIM('Template Setup'!$C$7))+1,10)),0))</f>
        <v/>
      </c>
      <c r="P826" s="11" t="str">
        <f>IF($A826="","",IFERROR(VALUE(MID(TRIM('Template Setup'!$C$8),FIND("-",TRIM('Template Setup'!$C$8))+1,10)),0))</f>
        <v/>
      </c>
      <c r="Q826" s="9" t="str">
        <f>IF($A826="","",$A826&amp;"-"&amp;'Template Setup'!$C$16)</f>
        <v/>
      </c>
      <c r="R826" s="24" t="str">
        <f t="shared" si="49"/>
        <v/>
      </c>
      <c r="S826" s="24"/>
      <c r="T826" s="24" t="str">
        <f t="shared" si="50"/>
        <v/>
      </c>
      <c r="U826" s="6" t="str">
        <f t="shared" si="52"/>
        <v/>
      </c>
    </row>
    <row r="827" spans="1:21">
      <c r="A827" s="11"/>
      <c r="B827" s="11"/>
      <c r="C827" s="11"/>
      <c r="D827" s="11" t="str">
        <f>IF($A827="","",_xlfn.TEXTJOIN(", ",TRUE,IF($G827&gt;0,'Template Setup'!$C$4,""),IF($H827&gt;0,'Template Setup'!$C$5,""),IF($I827&gt;0,'Template Setup'!$C$6,""),IF($J827&gt;0,'Template Setup'!$C$7,""),IF($K827&gt;0,'Template Setup'!$C$8,"")))</f>
        <v/>
      </c>
      <c r="E827" s="6" t="str" cm="1">
        <f t="array" ref="E827">IF($A827="","",_xlfn.LET(_xlpm.sheets,CHOOSE({1,2,3,4,5},'Template Setup'!$C$4,'Template Setup'!$C$5,'Template Setup'!$C$6,'Template Setup'!$C$7,'Template Setup'!$C$8),_xlpm.nums,CHOOSE({1,2,3,4,5},$L827,$M827,$N827,$O827,$P827),_xlpm.qtys,CHOOSE({1,2,3,4,5},$G827,$H827,$I827,$J827,$K827),_xlpm.validNums,_xlfn._xlws.FILTER(_xlpm.nums,_xlpm.qtys&gt;0),_xlpm.validSheets,_xlfn._xlws.FILTER(_xlpm.sheets,_xlpm.qtys&gt;0),_xlpm.mx,IFERROR(MAX(_xlpm.validNums),0),IF(_xlpm.mx=0,"",INDEX(_xlpm.validSheets,MATCH(_xlpm.mx,_xlpm.validNums,0))&amp;" (+"&amp;$R827&amp;")")))</f>
        <v/>
      </c>
      <c r="F827" s="11" t="str">
        <f t="shared" si="51"/>
        <v/>
      </c>
      <c r="G827" s="12" t="str">
        <f ca="1">IF($A827="","",IFERROR(SUMIF(INDIRECT("'"&amp;'Template Setup'!$C$4&amp;"'!C:C"),$A827,INDIRECT("'"&amp;'Template Setup'!$C$4&amp;"'!A:A")),0))</f>
        <v/>
      </c>
      <c r="H827" s="12" t="str">
        <f ca="1">IF($A827="","",IFERROR(SUMIF(INDIRECT("'"&amp;'Template Setup'!$C$5&amp;"'!C:C"),$A827,INDIRECT("'"&amp;'Template Setup'!$C$5&amp;"'!A:A")),0))</f>
        <v/>
      </c>
      <c r="I827" s="12" t="str">
        <f ca="1">IF($A827="","",IFERROR(SUMIF(INDIRECT("'"&amp;'Template Setup'!$C$6&amp;"'!C:C"),$A827,INDIRECT("'"&amp;'Template Setup'!$C$6&amp;"'!A:A")),0))</f>
        <v/>
      </c>
      <c r="J827" s="12" t="str">
        <f ca="1">IF($A827="","",IFERROR(SUMIF(INDIRECT("'"&amp;'Template Setup'!$C$7&amp;"'!C:C"),$A827,INDIRECT("'"&amp;'Template Setup'!$C$7&amp;"'!A:A")),0))</f>
        <v/>
      </c>
      <c r="K827" s="12" t="str">
        <f ca="1">IF($A827="","",IFERROR(SUMIF(INDIRECT("'"&amp;'Template Setup'!$C$8&amp;"'!C:C"),$A827,INDIRECT("'"&amp;'Template Setup'!$C$8&amp;"'!A:A")),0))</f>
        <v/>
      </c>
      <c r="L827" s="11" t="str">
        <f>IF($A827="","",IFERROR(VALUE(MID(TRIM('Template Setup'!$C$4),FIND("-",TRIM('Template Setup'!$C$4))+1,10)),0))</f>
        <v/>
      </c>
      <c r="M827" s="11" t="str">
        <f>IF($A827="","",IFERROR(VALUE(MID(TRIM('Template Setup'!$C$5),FIND("-",TRIM('Template Setup'!$C$5))+1,10)),0))</f>
        <v/>
      </c>
      <c r="N827" s="11" t="str">
        <f>IF($A827="","",IFERROR(VALUE(MID(TRIM('Template Setup'!$C$6),FIND("-",TRIM('Template Setup'!$C$6))+1,10)),0))</f>
        <v/>
      </c>
      <c r="O827" s="11" t="str">
        <f>IF($A827="","",IFERROR(VALUE(MID(TRIM('Template Setup'!$C$7),FIND("-",TRIM('Template Setup'!$C$7))+1,10)),0))</f>
        <v/>
      </c>
      <c r="P827" s="11" t="str">
        <f>IF($A827="","",IFERROR(VALUE(MID(TRIM('Template Setup'!$C$8),FIND("-",TRIM('Template Setup'!$C$8))+1,10)),0))</f>
        <v/>
      </c>
      <c r="Q827" s="9" t="str">
        <f>IF($A827="","",$A827&amp;"-"&amp;'Template Setup'!$C$16)</f>
        <v/>
      </c>
      <c r="R827" s="24" t="str">
        <f t="shared" si="49"/>
        <v/>
      </c>
      <c r="S827" s="24"/>
      <c r="T827" s="24" t="str">
        <f t="shared" si="50"/>
        <v/>
      </c>
      <c r="U827" s="6" t="str">
        <f t="shared" si="52"/>
        <v/>
      </c>
    </row>
    <row r="828" spans="1:21">
      <c r="A828" s="11"/>
      <c r="B828" s="11"/>
      <c r="C828" s="11"/>
      <c r="D828" s="11" t="str">
        <f>IF($A828="","",_xlfn.TEXTJOIN(", ",TRUE,IF($G828&gt;0,'Template Setup'!$C$4,""),IF($H828&gt;0,'Template Setup'!$C$5,""),IF($I828&gt;0,'Template Setup'!$C$6,""),IF($J828&gt;0,'Template Setup'!$C$7,""),IF($K828&gt;0,'Template Setup'!$C$8,"")))</f>
        <v/>
      </c>
      <c r="E828" s="6" t="str" cm="1">
        <f t="array" ref="E828">IF($A828="","",_xlfn.LET(_xlpm.sheets,CHOOSE({1,2,3,4,5},'Template Setup'!$C$4,'Template Setup'!$C$5,'Template Setup'!$C$6,'Template Setup'!$C$7,'Template Setup'!$C$8),_xlpm.nums,CHOOSE({1,2,3,4,5},$L828,$M828,$N828,$O828,$P828),_xlpm.qtys,CHOOSE({1,2,3,4,5},$G828,$H828,$I828,$J828,$K828),_xlpm.validNums,_xlfn._xlws.FILTER(_xlpm.nums,_xlpm.qtys&gt;0),_xlpm.validSheets,_xlfn._xlws.FILTER(_xlpm.sheets,_xlpm.qtys&gt;0),_xlpm.mx,IFERROR(MAX(_xlpm.validNums),0),IF(_xlpm.mx=0,"",INDEX(_xlpm.validSheets,MATCH(_xlpm.mx,_xlpm.validNums,0))&amp;" (+"&amp;$R828&amp;")")))</f>
        <v/>
      </c>
      <c r="F828" s="11" t="str">
        <f t="shared" si="51"/>
        <v/>
      </c>
      <c r="G828" s="12" t="str">
        <f ca="1">IF($A828="","",IFERROR(SUMIF(INDIRECT("'"&amp;'Template Setup'!$C$4&amp;"'!C:C"),$A828,INDIRECT("'"&amp;'Template Setup'!$C$4&amp;"'!A:A")),0))</f>
        <v/>
      </c>
      <c r="H828" s="12" t="str">
        <f ca="1">IF($A828="","",IFERROR(SUMIF(INDIRECT("'"&amp;'Template Setup'!$C$5&amp;"'!C:C"),$A828,INDIRECT("'"&amp;'Template Setup'!$C$5&amp;"'!A:A")),0))</f>
        <v/>
      </c>
      <c r="I828" s="12" t="str">
        <f ca="1">IF($A828="","",IFERROR(SUMIF(INDIRECT("'"&amp;'Template Setup'!$C$6&amp;"'!C:C"),$A828,INDIRECT("'"&amp;'Template Setup'!$C$6&amp;"'!A:A")),0))</f>
        <v/>
      </c>
      <c r="J828" s="12" t="str">
        <f ca="1">IF($A828="","",IFERROR(SUMIF(INDIRECT("'"&amp;'Template Setup'!$C$7&amp;"'!C:C"),$A828,INDIRECT("'"&amp;'Template Setup'!$C$7&amp;"'!A:A")),0))</f>
        <v/>
      </c>
      <c r="K828" s="12" t="str">
        <f ca="1">IF($A828="","",IFERROR(SUMIF(INDIRECT("'"&amp;'Template Setup'!$C$8&amp;"'!C:C"),$A828,INDIRECT("'"&amp;'Template Setup'!$C$8&amp;"'!A:A")),0))</f>
        <v/>
      </c>
      <c r="L828" s="11" t="str">
        <f>IF($A828="","",IFERROR(VALUE(MID(TRIM('Template Setup'!$C$4),FIND("-",TRIM('Template Setup'!$C$4))+1,10)),0))</f>
        <v/>
      </c>
      <c r="M828" s="11" t="str">
        <f>IF($A828="","",IFERROR(VALUE(MID(TRIM('Template Setup'!$C$5),FIND("-",TRIM('Template Setup'!$C$5))+1,10)),0))</f>
        <v/>
      </c>
      <c r="N828" s="11" t="str">
        <f>IF($A828="","",IFERROR(VALUE(MID(TRIM('Template Setup'!$C$6),FIND("-",TRIM('Template Setup'!$C$6))+1,10)),0))</f>
        <v/>
      </c>
      <c r="O828" s="11" t="str">
        <f>IF($A828="","",IFERROR(VALUE(MID(TRIM('Template Setup'!$C$7),FIND("-",TRIM('Template Setup'!$C$7))+1,10)),0))</f>
        <v/>
      </c>
      <c r="P828" s="11" t="str">
        <f>IF($A828="","",IFERROR(VALUE(MID(TRIM('Template Setup'!$C$8),FIND("-",TRIM('Template Setup'!$C$8))+1,10)),0))</f>
        <v/>
      </c>
      <c r="Q828" s="9" t="str">
        <f>IF($A828="","",$A828&amp;"-"&amp;'Template Setup'!$C$16)</f>
        <v/>
      </c>
      <c r="R828" s="24" t="str">
        <f t="shared" si="49"/>
        <v/>
      </c>
      <c r="S828" s="24"/>
      <c r="T828" s="24" t="str">
        <f t="shared" si="50"/>
        <v/>
      </c>
      <c r="U828" s="6" t="str">
        <f t="shared" si="52"/>
        <v/>
      </c>
    </row>
    <row r="829" spans="1:21">
      <c r="A829" s="11"/>
      <c r="B829" s="11"/>
      <c r="C829" s="11"/>
      <c r="D829" s="11" t="str">
        <f>IF($A829="","",_xlfn.TEXTJOIN(", ",TRUE,IF($G829&gt;0,'Template Setup'!$C$4,""),IF($H829&gt;0,'Template Setup'!$C$5,""),IF($I829&gt;0,'Template Setup'!$C$6,""),IF($J829&gt;0,'Template Setup'!$C$7,""),IF($K829&gt;0,'Template Setup'!$C$8,"")))</f>
        <v/>
      </c>
      <c r="E829" s="6" t="str" cm="1">
        <f t="array" ref="E829">IF($A829="","",_xlfn.LET(_xlpm.sheets,CHOOSE({1,2,3,4,5},'Template Setup'!$C$4,'Template Setup'!$C$5,'Template Setup'!$C$6,'Template Setup'!$C$7,'Template Setup'!$C$8),_xlpm.nums,CHOOSE({1,2,3,4,5},$L829,$M829,$N829,$O829,$P829),_xlpm.qtys,CHOOSE({1,2,3,4,5},$G829,$H829,$I829,$J829,$K829),_xlpm.validNums,_xlfn._xlws.FILTER(_xlpm.nums,_xlpm.qtys&gt;0),_xlpm.validSheets,_xlfn._xlws.FILTER(_xlpm.sheets,_xlpm.qtys&gt;0),_xlpm.mx,IFERROR(MAX(_xlpm.validNums),0),IF(_xlpm.mx=0,"",INDEX(_xlpm.validSheets,MATCH(_xlpm.mx,_xlpm.validNums,0))&amp;" (+"&amp;$R829&amp;")")))</f>
        <v/>
      </c>
      <c r="F829" s="11" t="str">
        <f t="shared" si="51"/>
        <v/>
      </c>
      <c r="G829" s="12" t="str">
        <f ca="1">IF($A829="","",IFERROR(SUMIF(INDIRECT("'"&amp;'Template Setup'!$C$4&amp;"'!C:C"),$A829,INDIRECT("'"&amp;'Template Setup'!$C$4&amp;"'!A:A")),0))</f>
        <v/>
      </c>
      <c r="H829" s="12" t="str">
        <f ca="1">IF($A829="","",IFERROR(SUMIF(INDIRECT("'"&amp;'Template Setup'!$C$5&amp;"'!C:C"),$A829,INDIRECT("'"&amp;'Template Setup'!$C$5&amp;"'!A:A")),0))</f>
        <v/>
      </c>
      <c r="I829" s="12" t="str">
        <f ca="1">IF($A829="","",IFERROR(SUMIF(INDIRECT("'"&amp;'Template Setup'!$C$6&amp;"'!C:C"),$A829,INDIRECT("'"&amp;'Template Setup'!$C$6&amp;"'!A:A")),0))</f>
        <v/>
      </c>
      <c r="J829" s="12" t="str">
        <f ca="1">IF($A829="","",IFERROR(SUMIF(INDIRECT("'"&amp;'Template Setup'!$C$7&amp;"'!C:C"),$A829,INDIRECT("'"&amp;'Template Setup'!$C$7&amp;"'!A:A")),0))</f>
        <v/>
      </c>
      <c r="K829" s="12" t="str">
        <f ca="1">IF($A829="","",IFERROR(SUMIF(INDIRECT("'"&amp;'Template Setup'!$C$8&amp;"'!C:C"),$A829,INDIRECT("'"&amp;'Template Setup'!$C$8&amp;"'!A:A")),0))</f>
        <v/>
      </c>
      <c r="L829" s="11" t="str">
        <f>IF($A829="","",IFERROR(VALUE(MID(TRIM('Template Setup'!$C$4),FIND("-",TRIM('Template Setup'!$C$4))+1,10)),0))</f>
        <v/>
      </c>
      <c r="M829" s="11" t="str">
        <f>IF($A829="","",IFERROR(VALUE(MID(TRIM('Template Setup'!$C$5),FIND("-",TRIM('Template Setup'!$C$5))+1,10)),0))</f>
        <v/>
      </c>
      <c r="N829" s="11" t="str">
        <f>IF($A829="","",IFERROR(VALUE(MID(TRIM('Template Setup'!$C$6),FIND("-",TRIM('Template Setup'!$C$6))+1,10)),0))</f>
        <v/>
      </c>
      <c r="O829" s="11" t="str">
        <f>IF($A829="","",IFERROR(VALUE(MID(TRIM('Template Setup'!$C$7),FIND("-",TRIM('Template Setup'!$C$7))+1,10)),0))</f>
        <v/>
      </c>
      <c r="P829" s="11" t="str">
        <f>IF($A829="","",IFERROR(VALUE(MID(TRIM('Template Setup'!$C$8),FIND("-",TRIM('Template Setup'!$C$8))+1,10)),0))</f>
        <v/>
      </c>
      <c r="Q829" s="9" t="str">
        <f>IF($A829="","",$A829&amp;"-"&amp;'Template Setup'!$C$16)</f>
        <v/>
      </c>
      <c r="R829" s="24" t="str">
        <f t="shared" si="49"/>
        <v/>
      </c>
      <c r="S829" s="24"/>
      <c r="T829" s="24" t="str">
        <f t="shared" si="50"/>
        <v/>
      </c>
      <c r="U829" s="6" t="str">
        <f t="shared" si="52"/>
        <v/>
      </c>
    </row>
    <row r="830" spans="1:21">
      <c r="A830" s="11"/>
      <c r="B830" s="11"/>
      <c r="C830" s="11"/>
      <c r="D830" s="11" t="str">
        <f>IF($A830="","",_xlfn.TEXTJOIN(", ",TRUE,IF($G830&gt;0,'Template Setup'!$C$4,""),IF($H830&gt;0,'Template Setup'!$C$5,""),IF($I830&gt;0,'Template Setup'!$C$6,""),IF($J830&gt;0,'Template Setup'!$C$7,""),IF($K830&gt;0,'Template Setup'!$C$8,"")))</f>
        <v/>
      </c>
      <c r="E830" s="6" t="str" cm="1">
        <f t="array" ref="E830">IF($A830="","",_xlfn.LET(_xlpm.sheets,CHOOSE({1,2,3,4,5},'Template Setup'!$C$4,'Template Setup'!$C$5,'Template Setup'!$C$6,'Template Setup'!$C$7,'Template Setup'!$C$8),_xlpm.nums,CHOOSE({1,2,3,4,5},$L830,$M830,$N830,$O830,$P830),_xlpm.qtys,CHOOSE({1,2,3,4,5},$G830,$H830,$I830,$J830,$K830),_xlpm.validNums,_xlfn._xlws.FILTER(_xlpm.nums,_xlpm.qtys&gt;0),_xlpm.validSheets,_xlfn._xlws.FILTER(_xlpm.sheets,_xlpm.qtys&gt;0),_xlpm.mx,IFERROR(MAX(_xlpm.validNums),0),IF(_xlpm.mx=0,"",INDEX(_xlpm.validSheets,MATCH(_xlpm.mx,_xlpm.validNums,0))&amp;" (+"&amp;$R830&amp;")")))</f>
        <v/>
      </c>
      <c r="F830" s="11" t="str">
        <f t="shared" si="51"/>
        <v/>
      </c>
      <c r="G830" s="12" t="str">
        <f ca="1">IF($A830="","",IFERROR(SUMIF(INDIRECT("'"&amp;'Template Setup'!$C$4&amp;"'!C:C"),$A830,INDIRECT("'"&amp;'Template Setup'!$C$4&amp;"'!A:A")),0))</f>
        <v/>
      </c>
      <c r="H830" s="12" t="str">
        <f ca="1">IF($A830="","",IFERROR(SUMIF(INDIRECT("'"&amp;'Template Setup'!$C$5&amp;"'!C:C"),$A830,INDIRECT("'"&amp;'Template Setup'!$C$5&amp;"'!A:A")),0))</f>
        <v/>
      </c>
      <c r="I830" s="12" t="str">
        <f ca="1">IF($A830="","",IFERROR(SUMIF(INDIRECT("'"&amp;'Template Setup'!$C$6&amp;"'!C:C"),$A830,INDIRECT("'"&amp;'Template Setup'!$C$6&amp;"'!A:A")),0))</f>
        <v/>
      </c>
      <c r="J830" s="12" t="str">
        <f ca="1">IF($A830="","",IFERROR(SUMIF(INDIRECT("'"&amp;'Template Setup'!$C$7&amp;"'!C:C"),$A830,INDIRECT("'"&amp;'Template Setup'!$C$7&amp;"'!A:A")),0))</f>
        <v/>
      </c>
      <c r="K830" s="12" t="str">
        <f ca="1">IF($A830="","",IFERROR(SUMIF(INDIRECT("'"&amp;'Template Setup'!$C$8&amp;"'!C:C"),$A830,INDIRECT("'"&amp;'Template Setup'!$C$8&amp;"'!A:A")),0))</f>
        <v/>
      </c>
      <c r="L830" s="11" t="str">
        <f>IF($A830="","",IFERROR(VALUE(MID(TRIM('Template Setup'!$C$4),FIND("-",TRIM('Template Setup'!$C$4))+1,10)),0))</f>
        <v/>
      </c>
      <c r="M830" s="11" t="str">
        <f>IF($A830="","",IFERROR(VALUE(MID(TRIM('Template Setup'!$C$5),FIND("-",TRIM('Template Setup'!$C$5))+1,10)),0))</f>
        <v/>
      </c>
      <c r="N830" s="11" t="str">
        <f>IF($A830="","",IFERROR(VALUE(MID(TRIM('Template Setup'!$C$6),FIND("-",TRIM('Template Setup'!$C$6))+1,10)),0))</f>
        <v/>
      </c>
      <c r="O830" s="11" t="str">
        <f>IF($A830="","",IFERROR(VALUE(MID(TRIM('Template Setup'!$C$7),FIND("-",TRIM('Template Setup'!$C$7))+1,10)),0))</f>
        <v/>
      </c>
      <c r="P830" s="11" t="str">
        <f>IF($A830="","",IFERROR(VALUE(MID(TRIM('Template Setup'!$C$8),FIND("-",TRIM('Template Setup'!$C$8))+1,10)),0))</f>
        <v/>
      </c>
      <c r="Q830" s="9" t="str">
        <f>IF($A830="","",$A830&amp;"-"&amp;'Template Setup'!$C$16)</f>
        <v/>
      </c>
      <c r="R830" s="24" t="str">
        <f t="shared" si="49"/>
        <v/>
      </c>
      <c r="S830" s="24"/>
      <c r="T830" s="24" t="str">
        <f t="shared" si="50"/>
        <v/>
      </c>
      <c r="U830" s="6" t="str">
        <f t="shared" si="52"/>
        <v/>
      </c>
    </row>
    <row r="831" spans="1:21">
      <c r="A831" s="11"/>
      <c r="B831" s="11"/>
      <c r="C831" s="11"/>
      <c r="D831" s="11" t="str">
        <f>IF($A831="","",_xlfn.TEXTJOIN(", ",TRUE,IF($G831&gt;0,'Template Setup'!$C$4,""),IF($H831&gt;0,'Template Setup'!$C$5,""),IF($I831&gt;0,'Template Setup'!$C$6,""),IF($J831&gt;0,'Template Setup'!$C$7,""),IF($K831&gt;0,'Template Setup'!$C$8,"")))</f>
        <v/>
      </c>
      <c r="E831" s="6" t="str" cm="1">
        <f t="array" ref="E831">IF($A831="","",_xlfn.LET(_xlpm.sheets,CHOOSE({1,2,3,4,5},'Template Setup'!$C$4,'Template Setup'!$C$5,'Template Setup'!$C$6,'Template Setup'!$C$7,'Template Setup'!$C$8),_xlpm.nums,CHOOSE({1,2,3,4,5},$L831,$M831,$N831,$O831,$P831),_xlpm.qtys,CHOOSE({1,2,3,4,5},$G831,$H831,$I831,$J831,$K831),_xlpm.validNums,_xlfn._xlws.FILTER(_xlpm.nums,_xlpm.qtys&gt;0),_xlpm.validSheets,_xlfn._xlws.FILTER(_xlpm.sheets,_xlpm.qtys&gt;0),_xlpm.mx,IFERROR(MAX(_xlpm.validNums),0),IF(_xlpm.mx=0,"",INDEX(_xlpm.validSheets,MATCH(_xlpm.mx,_xlpm.validNums,0))&amp;" (+"&amp;$R831&amp;")")))</f>
        <v/>
      </c>
      <c r="F831" s="11" t="str">
        <f t="shared" si="51"/>
        <v/>
      </c>
      <c r="G831" s="12" t="str">
        <f ca="1">IF($A831="","",IFERROR(SUMIF(INDIRECT("'"&amp;'Template Setup'!$C$4&amp;"'!C:C"),$A831,INDIRECT("'"&amp;'Template Setup'!$C$4&amp;"'!A:A")),0))</f>
        <v/>
      </c>
      <c r="H831" s="12" t="str">
        <f ca="1">IF($A831="","",IFERROR(SUMIF(INDIRECT("'"&amp;'Template Setup'!$C$5&amp;"'!C:C"),$A831,INDIRECT("'"&amp;'Template Setup'!$C$5&amp;"'!A:A")),0))</f>
        <v/>
      </c>
      <c r="I831" s="12" t="str">
        <f ca="1">IF($A831="","",IFERROR(SUMIF(INDIRECT("'"&amp;'Template Setup'!$C$6&amp;"'!C:C"),$A831,INDIRECT("'"&amp;'Template Setup'!$C$6&amp;"'!A:A")),0))</f>
        <v/>
      </c>
      <c r="J831" s="12" t="str">
        <f ca="1">IF($A831="","",IFERROR(SUMIF(INDIRECT("'"&amp;'Template Setup'!$C$7&amp;"'!C:C"),$A831,INDIRECT("'"&amp;'Template Setup'!$C$7&amp;"'!A:A")),0))</f>
        <v/>
      </c>
      <c r="K831" s="12" t="str">
        <f ca="1">IF($A831="","",IFERROR(SUMIF(INDIRECT("'"&amp;'Template Setup'!$C$8&amp;"'!C:C"),$A831,INDIRECT("'"&amp;'Template Setup'!$C$8&amp;"'!A:A")),0))</f>
        <v/>
      </c>
      <c r="L831" s="11" t="str">
        <f>IF($A831="","",IFERROR(VALUE(MID(TRIM('Template Setup'!$C$4),FIND("-",TRIM('Template Setup'!$C$4))+1,10)),0))</f>
        <v/>
      </c>
      <c r="M831" s="11" t="str">
        <f>IF($A831="","",IFERROR(VALUE(MID(TRIM('Template Setup'!$C$5),FIND("-",TRIM('Template Setup'!$C$5))+1,10)),0))</f>
        <v/>
      </c>
      <c r="N831" s="11" t="str">
        <f>IF($A831="","",IFERROR(VALUE(MID(TRIM('Template Setup'!$C$6),FIND("-",TRIM('Template Setup'!$C$6))+1,10)),0))</f>
        <v/>
      </c>
      <c r="O831" s="11" t="str">
        <f>IF($A831="","",IFERROR(VALUE(MID(TRIM('Template Setup'!$C$7),FIND("-",TRIM('Template Setup'!$C$7))+1,10)),0))</f>
        <v/>
      </c>
      <c r="P831" s="11" t="str">
        <f>IF($A831="","",IFERROR(VALUE(MID(TRIM('Template Setup'!$C$8),FIND("-",TRIM('Template Setup'!$C$8))+1,10)),0))</f>
        <v/>
      </c>
      <c r="Q831" s="9" t="str">
        <f>IF($A831="","",$A831&amp;"-"&amp;'Template Setup'!$C$16)</f>
        <v/>
      </c>
      <c r="R831" s="24" t="str">
        <f t="shared" si="49"/>
        <v/>
      </c>
      <c r="S831" s="24"/>
      <c r="T831" s="24" t="str">
        <f t="shared" si="50"/>
        <v/>
      </c>
      <c r="U831" s="6" t="str">
        <f t="shared" si="52"/>
        <v/>
      </c>
    </row>
    <row r="832" spans="1:21">
      <c r="A832" s="11"/>
      <c r="B832" s="11"/>
      <c r="C832" s="11"/>
      <c r="D832" s="11" t="str">
        <f>IF($A832="","",_xlfn.TEXTJOIN(", ",TRUE,IF($G832&gt;0,'Template Setup'!$C$4,""),IF($H832&gt;0,'Template Setup'!$C$5,""),IF($I832&gt;0,'Template Setup'!$C$6,""),IF($J832&gt;0,'Template Setup'!$C$7,""),IF($K832&gt;0,'Template Setup'!$C$8,"")))</f>
        <v/>
      </c>
      <c r="E832" s="6" t="str" cm="1">
        <f t="array" ref="E832">IF($A832="","",_xlfn.LET(_xlpm.sheets,CHOOSE({1,2,3,4,5},'Template Setup'!$C$4,'Template Setup'!$C$5,'Template Setup'!$C$6,'Template Setup'!$C$7,'Template Setup'!$C$8),_xlpm.nums,CHOOSE({1,2,3,4,5},$L832,$M832,$N832,$O832,$P832),_xlpm.qtys,CHOOSE({1,2,3,4,5},$G832,$H832,$I832,$J832,$K832),_xlpm.validNums,_xlfn._xlws.FILTER(_xlpm.nums,_xlpm.qtys&gt;0),_xlpm.validSheets,_xlfn._xlws.FILTER(_xlpm.sheets,_xlpm.qtys&gt;0),_xlpm.mx,IFERROR(MAX(_xlpm.validNums),0),IF(_xlpm.mx=0,"",INDEX(_xlpm.validSheets,MATCH(_xlpm.mx,_xlpm.validNums,0))&amp;" (+"&amp;$R832&amp;")")))</f>
        <v/>
      </c>
      <c r="F832" s="11" t="str">
        <f t="shared" si="51"/>
        <v/>
      </c>
      <c r="G832" s="12" t="str">
        <f ca="1">IF($A832="","",IFERROR(SUMIF(INDIRECT("'"&amp;'Template Setup'!$C$4&amp;"'!C:C"),$A832,INDIRECT("'"&amp;'Template Setup'!$C$4&amp;"'!A:A")),0))</f>
        <v/>
      </c>
      <c r="H832" s="12" t="str">
        <f ca="1">IF($A832="","",IFERROR(SUMIF(INDIRECT("'"&amp;'Template Setup'!$C$5&amp;"'!C:C"),$A832,INDIRECT("'"&amp;'Template Setup'!$C$5&amp;"'!A:A")),0))</f>
        <v/>
      </c>
      <c r="I832" s="12" t="str">
        <f ca="1">IF($A832="","",IFERROR(SUMIF(INDIRECT("'"&amp;'Template Setup'!$C$6&amp;"'!C:C"),$A832,INDIRECT("'"&amp;'Template Setup'!$C$6&amp;"'!A:A")),0))</f>
        <v/>
      </c>
      <c r="J832" s="12" t="str">
        <f ca="1">IF($A832="","",IFERROR(SUMIF(INDIRECT("'"&amp;'Template Setup'!$C$7&amp;"'!C:C"),$A832,INDIRECT("'"&amp;'Template Setup'!$C$7&amp;"'!A:A")),0))</f>
        <v/>
      </c>
      <c r="K832" s="12" t="str">
        <f ca="1">IF($A832="","",IFERROR(SUMIF(INDIRECT("'"&amp;'Template Setup'!$C$8&amp;"'!C:C"),$A832,INDIRECT("'"&amp;'Template Setup'!$C$8&amp;"'!A:A")),0))</f>
        <v/>
      </c>
      <c r="L832" s="11" t="str">
        <f>IF($A832="","",IFERROR(VALUE(MID(TRIM('Template Setup'!$C$4),FIND("-",TRIM('Template Setup'!$C$4))+1,10)),0))</f>
        <v/>
      </c>
      <c r="M832" s="11" t="str">
        <f>IF($A832="","",IFERROR(VALUE(MID(TRIM('Template Setup'!$C$5),FIND("-",TRIM('Template Setup'!$C$5))+1,10)),0))</f>
        <v/>
      </c>
      <c r="N832" s="11" t="str">
        <f>IF($A832="","",IFERROR(VALUE(MID(TRIM('Template Setup'!$C$6),FIND("-",TRIM('Template Setup'!$C$6))+1,10)),0))</f>
        <v/>
      </c>
      <c r="O832" s="11" t="str">
        <f>IF($A832="","",IFERROR(VALUE(MID(TRIM('Template Setup'!$C$7),FIND("-",TRIM('Template Setup'!$C$7))+1,10)),0))</f>
        <v/>
      </c>
      <c r="P832" s="11" t="str">
        <f>IF($A832="","",IFERROR(VALUE(MID(TRIM('Template Setup'!$C$8),FIND("-",TRIM('Template Setup'!$C$8))+1,10)),0))</f>
        <v/>
      </c>
      <c r="Q832" s="9" t="str">
        <f>IF($A832="","",$A832&amp;"-"&amp;'Template Setup'!$C$16)</f>
        <v/>
      </c>
      <c r="R832" s="24" t="str">
        <f t="shared" si="49"/>
        <v/>
      </c>
      <c r="S832" s="24"/>
      <c r="T832" s="24" t="str">
        <f t="shared" si="50"/>
        <v/>
      </c>
      <c r="U832" s="6" t="str">
        <f t="shared" si="52"/>
        <v/>
      </c>
    </row>
    <row r="833" spans="1:21">
      <c r="A833" s="11"/>
      <c r="B833" s="11"/>
      <c r="C833" s="11"/>
      <c r="D833" s="11" t="str">
        <f>IF($A833="","",_xlfn.TEXTJOIN(", ",TRUE,IF($G833&gt;0,'Template Setup'!$C$4,""),IF($H833&gt;0,'Template Setup'!$C$5,""),IF($I833&gt;0,'Template Setup'!$C$6,""),IF($J833&gt;0,'Template Setup'!$C$7,""),IF($K833&gt;0,'Template Setup'!$C$8,"")))</f>
        <v/>
      </c>
      <c r="E833" s="6" t="str" cm="1">
        <f t="array" ref="E833">IF($A833="","",_xlfn.LET(_xlpm.sheets,CHOOSE({1,2,3,4,5},'Template Setup'!$C$4,'Template Setup'!$C$5,'Template Setup'!$C$6,'Template Setup'!$C$7,'Template Setup'!$C$8),_xlpm.nums,CHOOSE({1,2,3,4,5},$L833,$M833,$N833,$O833,$P833),_xlpm.qtys,CHOOSE({1,2,3,4,5},$G833,$H833,$I833,$J833,$K833),_xlpm.validNums,_xlfn._xlws.FILTER(_xlpm.nums,_xlpm.qtys&gt;0),_xlpm.validSheets,_xlfn._xlws.FILTER(_xlpm.sheets,_xlpm.qtys&gt;0),_xlpm.mx,IFERROR(MAX(_xlpm.validNums),0),IF(_xlpm.mx=0,"",INDEX(_xlpm.validSheets,MATCH(_xlpm.mx,_xlpm.validNums,0))&amp;" (+"&amp;$R833&amp;")")))</f>
        <v/>
      </c>
      <c r="F833" s="11" t="str">
        <f t="shared" si="51"/>
        <v/>
      </c>
      <c r="G833" s="12" t="str">
        <f ca="1">IF($A833="","",IFERROR(SUMIF(INDIRECT("'"&amp;'Template Setup'!$C$4&amp;"'!C:C"),$A833,INDIRECT("'"&amp;'Template Setup'!$C$4&amp;"'!A:A")),0))</f>
        <v/>
      </c>
      <c r="H833" s="12" t="str">
        <f ca="1">IF($A833="","",IFERROR(SUMIF(INDIRECT("'"&amp;'Template Setup'!$C$5&amp;"'!C:C"),$A833,INDIRECT("'"&amp;'Template Setup'!$C$5&amp;"'!A:A")),0))</f>
        <v/>
      </c>
      <c r="I833" s="12" t="str">
        <f ca="1">IF($A833="","",IFERROR(SUMIF(INDIRECT("'"&amp;'Template Setup'!$C$6&amp;"'!C:C"),$A833,INDIRECT("'"&amp;'Template Setup'!$C$6&amp;"'!A:A")),0))</f>
        <v/>
      </c>
      <c r="J833" s="12" t="str">
        <f ca="1">IF($A833="","",IFERROR(SUMIF(INDIRECT("'"&amp;'Template Setup'!$C$7&amp;"'!C:C"),$A833,INDIRECT("'"&amp;'Template Setup'!$C$7&amp;"'!A:A")),0))</f>
        <v/>
      </c>
      <c r="K833" s="12" t="str">
        <f ca="1">IF($A833="","",IFERROR(SUMIF(INDIRECT("'"&amp;'Template Setup'!$C$8&amp;"'!C:C"),$A833,INDIRECT("'"&amp;'Template Setup'!$C$8&amp;"'!A:A")),0))</f>
        <v/>
      </c>
      <c r="L833" s="11" t="str">
        <f>IF($A833="","",IFERROR(VALUE(MID(TRIM('Template Setup'!$C$4),FIND("-",TRIM('Template Setup'!$C$4))+1,10)),0))</f>
        <v/>
      </c>
      <c r="M833" s="11" t="str">
        <f>IF($A833="","",IFERROR(VALUE(MID(TRIM('Template Setup'!$C$5),FIND("-",TRIM('Template Setup'!$C$5))+1,10)),0))</f>
        <v/>
      </c>
      <c r="N833" s="11" t="str">
        <f>IF($A833="","",IFERROR(VALUE(MID(TRIM('Template Setup'!$C$6),FIND("-",TRIM('Template Setup'!$C$6))+1,10)),0))</f>
        <v/>
      </c>
      <c r="O833" s="11" t="str">
        <f>IF($A833="","",IFERROR(VALUE(MID(TRIM('Template Setup'!$C$7),FIND("-",TRIM('Template Setup'!$C$7))+1,10)),0))</f>
        <v/>
      </c>
      <c r="P833" s="11" t="str">
        <f>IF($A833="","",IFERROR(VALUE(MID(TRIM('Template Setup'!$C$8),FIND("-",TRIM('Template Setup'!$C$8))+1,10)),0))</f>
        <v/>
      </c>
      <c r="Q833" s="9" t="str">
        <f>IF($A833="","",$A833&amp;"-"&amp;'Template Setup'!$C$16)</f>
        <v/>
      </c>
      <c r="R833" s="24" t="str">
        <f t="shared" si="49"/>
        <v/>
      </c>
      <c r="S833" s="24"/>
      <c r="T833" s="24" t="str">
        <f t="shared" si="50"/>
        <v/>
      </c>
      <c r="U833" s="6" t="str">
        <f t="shared" si="52"/>
        <v/>
      </c>
    </row>
    <row r="834" spans="1:21">
      <c r="A834" s="11"/>
      <c r="B834" s="11"/>
      <c r="C834" s="11"/>
      <c r="D834" s="11" t="str">
        <f>IF($A834="","",_xlfn.TEXTJOIN(", ",TRUE,IF($G834&gt;0,'Template Setup'!$C$4,""),IF($H834&gt;0,'Template Setup'!$C$5,""),IF($I834&gt;0,'Template Setup'!$C$6,""),IF($J834&gt;0,'Template Setup'!$C$7,""),IF($K834&gt;0,'Template Setup'!$C$8,"")))</f>
        <v/>
      </c>
      <c r="E834" s="6" t="str" cm="1">
        <f t="array" ref="E834">IF($A834="","",_xlfn.LET(_xlpm.sheets,CHOOSE({1,2,3,4,5},'Template Setup'!$C$4,'Template Setup'!$C$5,'Template Setup'!$C$6,'Template Setup'!$C$7,'Template Setup'!$C$8),_xlpm.nums,CHOOSE({1,2,3,4,5},$L834,$M834,$N834,$O834,$P834),_xlpm.qtys,CHOOSE({1,2,3,4,5},$G834,$H834,$I834,$J834,$K834),_xlpm.validNums,_xlfn._xlws.FILTER(_xlpm.nums,_xlpm.qtys&gt;0),_xlpm.validSheets,_xlfn._xlws.FILTER(_xlpm.sheets,_xlpm.qtys&gt;0),_xlpm.mx,IFERROR(MAX(_xlpm.validNums),0),IF(_xlpm.mx=0,"",INDEX(_xlpm.validSheets,MATCH(_xlpm.mx,_xlpm.validNums,0))&amp;" (+"&amp;$R834&amp;")")))</f>
        <v/>
      </c>
      <c r="F834" s="11" t="str">
        <f t="shared" si="51"/>
        <v/>
      </c>
      <c r="G834" s="12" t="str">
        <f ca="1">IF($A834="","",IFERROR(SUMIF(INDIRECT("'"&amp;'Template Setup'!$C$4&amp;"'!C:C"),$A834,INDIRECT("'"&amp;'Template Setup'!$C$4&amp;"'!A:A")),0))</f>
        <v/>
      </c>
      <c r="H834" s="12" t="str">
        <f ca="1">IF($A834="","",IFERROR(SUMIF(INDIRECT("'"&amp;'Template Setup'!$C$5&amp;"'!C:C"),$A834,INDIRECT("'"&amp;'Template Setup'!$C$5&amp;"'!A:A")),0))</f>
        <v/>
      </c>
      <c r="I834" s="12" t="str">
        <f ca="1">IF($A834="","",IFERROR(SUMIF(INDIRECT("'"&amp;'Template Setup'!$C$6&amp;"'!C:C"),$A834,INDIRECT("'"&amp;'Template Setup'!$C$6&amp;"'!A:A")),0))</f>
        <v/>
      </c>
      <c r="J834" s="12" t="str">
        <f ca="1">IF($A834="","",IFERROR(SUMIF(INDIRECT("'"&amp;'Template Setup'!$C$7&amp;"'!C:C"),$A834,INDIRECT("'"&amp;'Template Setup'!$C$7&amp;"'!A:A")),0))</f>
        <v/>
      </c>
      <c r="K834" s="12" t="str">
        <f ca="1">IF($A834="","",IFERROR(SUMIF(INDIRECT("'"&amp;'Template Setup'!$C$8&amp;"'!C:C"),$A834,INDIRECT("'"&amp;'Template Setup'!$C$8&amp;"'!A:A")),0))</f>
        <v/>
      </c>
      <c r="L834" s="11" t="str">
        <f>IF($A834="","",IFERROR(VALUE(MID(TRIM('Template Setup'!$C$4),FIND("-",TRIM('Template Setup'!$C$4))+1,10)),0))</f>
        <v/>
      </c>
      <c r="M834" s="11" t="str">
        <f>IF($A834="","",IFERROR(VALUE(MID(TRIM('Template Setup'!$C$5),FIND("-",TRIM('Template Setup'!$C$5))+1,10)),0))</f>
        <v/>
      </c>
      <c r="N834" s="11" t="str">
        <f>IF($A834="","",IFERROR(VALUE(MID(TRIM('Template Setup'!$C$6),FIND("-",TRIM('Template Setup'!$C$6))+1,10)),0))</f>
        <v/>
      </c>
      <c r="O834" s="11" t="str">
        <f>IF($A834="","",IFERROR(VALUE(MID(TRIM('Template Setup'!$C$7),FIND("-",TRIM('Template Setup'!$C$7))+1,10)),0))</f>
        <v/>
      </c>
      <c r="P834" s="11" t="str">
        <f>IF($A834="","",IFERROR(VALUE(MID(TRIM('Template Setup'!$C$8),FIND("-",TRIM('Template Setup'!$C$8))+1,10)),0))</f>
        <v/>
      </c>
      <c r="Q834" s="9" t="str">
        <f>IF($A834="","",$A834&amp;"-"&amp;'Template Setup'!$C$16)</f>
        <v/>
      </c>
      <c r="R834" s="24" t="str">
        <f t="shared" ref="R834:R897" si="53">IF($A834="","",SUM($G834:$K834))</f>
        <v/>
      </c>
      <c r="S834" s="24"/>
      <c r="T834" s="24" t="str">
        <f t="shared" ref="T834:T897" si="54">IF($A834="","",IF(ISBLANK(S834),"",N(R834)+S834))</f>
        <v/>
      </c>
      <c r="U834" s="6" t="str">
        <f t="shared" si="52"/>
        <v/>
      </c>
    </row>
    <row r="835" spans="1:21">
      <c r="A835" s="11"/>
      <c r="B835" s="11"/>
      <c r="C835" s="11"/>
      <c r="D835" s="11" t="str">
        <f>IF($A835="","",_xlfn.TEXTJOIN(", ",TRUE,IF($G835&gt;0,'Template Setup'!$C$4,""),IF($H835&gt;0,'Template Setup'!$C$5,""),IF($I835&gt;0,'Template Setup'!$C$6,""),IF($J835&gt;0,'Template Setup'!$C$7,""),IF($K835&gt;0,'Template Setup'!$C$8,"")))</f>
        <v/>
      </c>
      <c r="E835" s="6" t="str" cm="1">
        <f t="array" ref="E835">IF($A835="","",_xlfn.LET(_xlpm.sheets,CHOOSE({1,2,3,4,5},'Template Setup'!$C$4,'Template Setup'!$C$5,'Template Setup'!$C$6,'Template Setup'!$C$7,'Template Setup'!$C$8),_xlpm.nums,CHOOSE({1,2,3,4,5},$L835,$M835,$N835,$O835,$P835),_xlpm.qtys,CHOOSE({1,2,3,4,5},$G835,$H835,$I835,$J835,$K835),_xlpm.validNums,_xlfn._xlws.FILTER(_xlpm.nums,_xlpm.qtys&gt;0),_xlpm.validSheets,_xlfn._xlws.FILTER(_xlpm.sheets,_xlpm.qtys&gt;0),_xlpm.mx,IFERROR(MAX(_xlpm.validNums),0),IF(_xlpm.mx=0,"",INDEX(_xlpm.validSheets,MATCH(_xlpm.mx,_xlpm.validNums,0))&amp;" (+"&amp;$R835&amp;")")))</f>
        <v/>
      </c>
      <c r="F835" s="11" t="str">
        <f t="shared" ref="F835:F898" si="55">IF($E835="","","PACP-"&amp;LEFT($E835,FIND("-",$E835)-1)&amp;"-000"&amp;MID($E835,FIND("-",$E835)+1,3))</f>
        <v/>
      </c>
      <c r="G835" s="12" t="str">
        <f ca="1">IF($A835="","",IFERROR(SUMIF(INDIRECT("'"&amp;'Template Setup'!$C$4&amp;"'!C:C"),$A835,INDIRECT("'"&amp;'Template Setup'!$C$4&amp;"'!A:A")),0))</f>
        <v/>
      </c>
      <c r="H835" s="12" t="str">
        <f ca="1">IF($A835="","",IFERROR(SUMIF(INDIRECT("'"&amp;'Template Setup'!$C$5&amp;"'!C:C"),$A835,INDIRECT("'"&amp;'Template Setup'!$C$5&amp;"'!A:A")),0))</f>
        <v/>
      </c>
      <c r="I835" s="12" t="str">
        <f ca="1">IF($A835="","",IFERROR(SUMIF(INDIRECT("'"&amp;'Template Setup'!$C$6&amp;"'!C:C"),$A835,INDIRECT("'"&amp;'Template Setup'!$C$6&amp;"'!A:A")),0))</f>
        <v/>
      </c>
      <c r="J835" s="12" t="str">
        <f ca="1">IF($A835="","",IFERROR(SUMIF(INDIRECT("'"&amp;'Template Setup'!$C$7&amp;"'!C:C"),$A835,INDIRECT("'"&amp;'Template Setup'!$C$7&amp;"'!A:A")),0))</f>
        <v/>
      </c>
      <c r="K835" s="12" t="str">
        <f ca="1">IF($A835="","",IFERROR(SUMIF(INDIRECT("'"&amp;'Template Setup'!$C$8&amp;"'!C:C"),$A835,INDIRECT("'"&amp;'Template Setup'!$C$8&amp;"'!A:A")),0))</f>
        <v/>
      </c>
      <c r="L835" s="11" t="str">
        <f>IF($A835="","",IFERROR(VALUE(MID(TRIM('Template Setup'!$C$4),FIND("-",TRIM('Template Setup'!$C$4))+1,10)),0))</f>
        <v/>
      </c>
      <c r="M835" s="11" t="str">
        <f>IF($A835="","",IFERROR(VALUE(MID(TRIM('Template Setup'!$C$5),FIND("-",TRIM('Template Setup'!$C$5))+1,10)),0))</f>
        <v/>
      </c>
      <c r="N835" s="11" t="str">
        <f>IF($A835="","",IFERROR(VALUE(MID(TRIM('Template Setup'!$C$6),FIND("-",TRIM('Template Setup'!$C$6))+1,10)),0))</f>
        <v/>
      </c>
      <c r="O835" s="11" t="str">
        <f>IF($A835="","",IFERROR(VALUE(MID(TRIM('Template Setup'!$C$7),FIND("-",TRIM('Template Setup'!$C$7))+1,10)),0))</f>
        <v/>
      </c>
      <c r="P835" s="11" t="str">
        <f>IF($A835="","",IFERROR(VALUE(MID(TRIM('Template Setup'!$C$8),FIND("-",TRIM('Template Setup'!$C$8))+1,10)),0))</f>
        <v/>
      </c>
      <c r="Q835" s="9" t="str">
        <f>IF($A835="","",$A835&amp;"-"&amp;'Template Setup'!$C$16)</f>
        <v/>
      </c>
      <c r="R835" s="24" t="str">
        <f t="shared" si="53"/>
        <v/>
      </c>
      <c r="S835" s="24"/>
      <c r="T835" s="24" t="str">
        <f t="shared" si="54"/>
        <v/>
      </c>
      <c r="U835" s="6" t="str">
        <f t="shared" si="52"/>
        <v/>
      </c>
    </row>
    <row r="836" spans="1:21">
      <c r="A836" s="11"/>
      <c r="B836" s="11"/>
      <c r="C836" s="11"/>
      <c r="D836" s="11" t="str">
        <f>IF($A836="","",_xlfn.TEXTJOIN(", ",TRUE,IF($G836&gt;0,'Template Setup'!$C$4,""),IF($H836&gt;0,'Template Setup'!$C$5,""),IF($I836&gt;0,'Template Setup'!$C$6,""),IF($J836&gt;0,'Template Setup'!$C$7,""),IF($K836&gt;0,'Template Setup'!$C$8,"")))</f>
        <v/>
      </c>
      <c r="E836" s="6" t="str" cm="1">
        <f t="array" ref="E836">IF($A836="","",_xlfn.LET(_xlpm.sheets,CHOOSE({1,2,3,4,5},'Template Setup'!$C$4,'Template Setup'!$C$5,'Template Setup'!$C$6,'Template Setup'!$C$7,'Template Setup'!$C$8),_xlpm.nums,CHOOSE({1,2,3,4,5},$L836,$M836,$N836,$O836,$P836),_xlpm.qtys,CHOOSE({1,2,3,4,5},$G836,$H836,$I836,$J836,$K836),_xlpm.validNums,_xlfn._xlws.FILTER(_xlpm.nums,_xlpm.qtys&gt;0),_xlpm.validSheets,_xlfn._xlws.FILTER(_xlpm.sheets,_xlpm.qtys&gt;0),_xlpm.mx,IFERROR(MAX(_xlpm.validNums),0),IF(_xlpm.mx=0,"",INDEX(_xlpm.validSheets,MATCH(_xlpm.mx,_xlpm.validNums,0))&amp;" (+"&amp;$R836&amp;")")))</f>
        <v/>
      </c>
      <c r="F836" s="11" t="str">
        <f t="shared" si="55"/>
        <v/>
      </c>
      <c r="G836" s="12" t="str">
        <f ca="1">IF($A836="","",IFERROR(SUMIF(INDIRECT("'"&amp;'Template Setup'!$C$4&amp;"'!C:C"),$A836,INDIRECT("'"&amp;'Template Setup'!$C$4&amp;"'!A:A")),0))</f>
        <v/>
      </c>
      <c r="H836" s="12" t="str">
        <f ca="1">IF($A836="","",IFERROR(SUMIF(INDIRECT("'"&amp;'Template Setup'!$C$5&amp;"'!C:C"),$A836,INDIRECT("'"&amp;'Template Setup'!$C$5&amp;"'!A:A")),0))</f>
        <v/>
      </c>
      <c r="I836" s="12" t="str">
        <f ca="1">IF($A836="","",IFERROR(SUMIF(INDIRECT("'"&amp;'Template Setup'!$C$6&amp;"'!C:C"),$A836,INDIRECT("'"&amp;'Template Setup'!$C$6&amp;"'!A:A")),0))</f>
        <v/>
      </c>
      <c r="J836" s="12" t="str">
        <f ca="1">IF($A836="","",IFERROR(SUMIF(INDIRECT("'"&amp;'Template Setup'!$C$7&amp;"'!C:C"),$A836,INDIRECT("'"&amp;'Template Setup'!$C$7&amp;"'!A:A")),0))</f>
        <v/>
      </c>
      <c r="K836" s="12" t="str">
        <f ca="1">IF($A836="","",IFERROR(SUMIF(INDIRECT("'"&amp;'Template Setup'!$C$8&amp;"'!C:C"),$A836,INDIRECT("'"&amp;'Template Setup'!$C$8&amp;"'!A:A")),0))</f>
        <v/>
      </c>
      <c r="L836" s="11" t="str">
        <f>IF($A836="","",IFERROR(VALUE(MID(TRIM('Template Setup'!$C$4),FIND("-",TRIM('Template Setup'!$C$4))+1,10)),0))</f>
        <v/>
      </c>
      <c r="M836" s="11" t="str">
        <f>IF($A836="","",IFERROR(VALUE(MID(TRIM('Template Setup'!$C$5),FIND("-",TRIM('Template Setup'!$C$5))+1,10)),0))</f>
        <v/>
      </c>
      <c r="N836" s="11" t="str">
        <f>IF($A836="","",IFERROR(VALUE(MID(TRIM('Template Setup'!$C$6),FIND("-",TRIM('Template Setup'!$C$6))+1,10)),0))</f>
        <v/>
      </c>
      <c r="O836" s="11" t="str">
        <f>IF($A836="","",IFERROR(VALUE(MID(TRIM('Template Setup'!$C$7),FIND("-",TRIM('Template Setup'!$C$7))+1,10)),0))</f>
        <v/>
      </c>
      <c r="P836" s="11" t="str">
        <f>IF($A836="","",IFERROR(VALUE(MID(TRIM('Template Setup'!$C$8),FIND("-",TRIM('Template Setup'!$C$8))+1,10)),0))</f>
        <v/>
      </c>
      <c r="Q836" s="9" t="str">
        <f>IF($A836="","",$A836&amp;"-"&amp;'Template Setup'!$C$16)</f>
        <v/>
      </c>
      <c r="R836" s="24" t="str">
        <f t="shared" si="53"/>
        <v/>
      </c>
      <c r="S836" s="24"/>
      <c r="T836" s="24" t="str">
        <f t="shared" si="54"/>
        <v/>
      </c>
      <c r="U836" s="6" t="str">
        <f t="shared" si="52"/>
        <v/>
      </c>
    </row>
    <row r="837" spans="1:21">
      <c r="A837" s="11"/>
      <c r="B837" s="11"/>
      <c r="C837" s="11"/>
      <c r="D837" s="11" t="str">
        <f>IF($A837="","",_xlfn.TEXTJOIN(", ",TRUE,IF($G837&gt;0,'Template Setup'!$C$4,""),IF($H837&gt;0,'Template Setup'!$C$5,""),IF($I837&gt;0,'Template Setup'!$C$6,""),IF($J837&gt;0,'Template Setup'!$C$7,""),IF($K837&gt;0,'Template Setup'!$C$8,"")))</f>
        <v/>
      </c>
      <c r="E837" s="6" t="str" cm="1">
        <f t="array" ref="E837">IF($A837="","",_xlfn.LET(_xlpm.sheets,CHOOSE({1,2,3,4,5},'Template Setup'!$C$4,'Template Setup'!$C$5,'Template Setup'!$C$6,'Template Setup'!$C$7,'Template Setup'!$C$8),_xlpm.nums,CHOOSE({1,2,3,4,5},$L837,$M837,$N837,$O837,$P837),_xlpm.qtys,CHOOSE({1,2,3,4,5},$G837,$H837,$I837,$J837,$K837),_xlpm.validNums,_xlfn._xlws.FILTER(_xlpm.nums,_xlpm.qtys&gt;0),_xlpm.validSheets,_xlfn._xlws.FILTER(_xlpm.sheets,_xlpm.qtys&gt;0),_xlpm.mx,IFERROR(MAX(_xlpm.validNums),0),IF(_xlpm.mx=0,"",INDEX(_xlpm.validSheets,MATCH(_xlpm.mx,_xlpm.validNums,0))&amp;" (+"&amp;$R837&amp;")")))</f>
        <v/>
      </c>
      <c r="F837" s="11" t="str">
        <f t="shared" si="55"/>
        <v/>
      </c>
      <c r="G837" s="12" t="str">
        <f ca="1">IF($A837="","",IFERROR(SUMIF(INDIRECT("'"&amp;'Template Setup'!$C$4&amp;"'!C:C"),$A837,INDIRECT("'"&amp;'Template Setup'!$C$4&amp;"'!A:A")),0))</f>
        <v/>
      </c>
      <c r="H837" s="12" t="str">
        <f ca="1">IF($A837="","",IFERROR(SUMIF(INDIRECT("'"&amp;'Template Setup'!$C$5&amp;"'!C:C"),$A837,INDIRECT("'"&amp;'Template Setup'!$C$5&amp;"'!A:A")),0))</f>
        <v/>
      </c>
      <c r="I837" s="12" t="str">
        <f ca="1">IF($A837="","",IFERROR(SUMIF(INDIRECT("'"&amp;'Template Setup'!$C$6&amp;"'!C:C"),$A837,INDIRECT("'"&amp;'Template Setup'!$C$6&amp;"'!A:A")),0))</f>
        <v/>
      </c>
      <c r="J837" s="12" t="str">
        <f ca="1">IF($A837="","",IFERROR(SUMIF(INDIRECT("'"&amp;'Template Setup'!$C$7&amp;"'!C:C"),$A837,INDIRECT("'"&amp;'Template Setup'!$C$7&amp;"'!A:A")),0))</f>
        <v/>
      </c>
      <c r="K837" s="12" t="str">
        <f ca="1">IF($A837="","",IFERROR(SUMIF(INDIRECT("'"&amp;'Template Setup'!$C$8&amp;"'!C:C"),$A837,INDIRECT("'"&amp;'Template Setup'!$C$8&amp;"'!A:A")),0))</f>
        <v/>
      </c>
      <c r="L837" s="11" t="str">
        <f>IF($A837="","",IFERROR(VALUE(MID(TRIM('Template Setup'!$C$4),FIND("-",TRIM('Template Setup'!$C$4))+1,10)),0))</f>
        <v/>
      </c>
      <c r="M837" s="11" t="str">
        <f>IF($A837="","",IFERROR(VALUE(MID(TRIM('Template Setup'!$C$5),FIND("-",TRIM('Template Setup'!$C$5))+1,10)),0))</f>
        <v/>
      </c>
      <c r="N837" s="11" t="str">
        <f>IF($A837="","",IFERROR(VALUE(MID(TRIM('Template Setup'!$C$6),FIND("-",TRIM('Template Setup'!$C$6))+1,10)),0))</f>
        <v/>
      </c>
      <c r="O837" s="11" t="str">
        <f>IF($A837="","",IFERROR(VALUE(MID(TRIM('Template Setup'!$C$7),FIND("-",TRIM('Template Setup'!$C$7))+1,10)),0))</f>
        <v/>
      </c>
      <c r="P837" s="11" t="str">
        <f>IF($A837="","",IFERROR(VALUE(MID(TRIM('Template Setup'!$C$8),FIND("-",TRIM('Template Setup'!$C$8))+1,10)),0))</f>
        <v/>
      </c>
      <c r="Q837" s="9" t="str">
        <f>IF($A837="","",$A837&amp;"-"&amp;'Template Setup'!$C$16)</f>
        <v/>
      </c>
      <c r="R837" s="24" t="str">
        <f t="shared" si="53"/>
        <v/>
      </c>
      <c r="S837" s="24"/>
      <c r="T837" s="24" t="str">
        <f t="shared" si="54"/>
        <v/>
      </c>
      <c r="U837" s="6" t="str">
        <f t="shared" si="52"/>
        <v/>
      </c>
    </row>
    <row r="838" spans="1:21">
      <c r="A838" s="11"/>
      <c r="B838" s="11"/>
      <c r="C838" s="11"/>
      <c r="D838" s="11" t="str">
        <f>IF($A838="","",_xlfn.TEXTJOIN(", ",TRUE,IF($G838&gt;0,'Template Setup'!$C$4,""),IF($H838&gt;0,'Template Setup'!$C$5,""),IF($I838&gt;0,'Template Setup'!$C$6,""),IF($J838&gt;0,'Template Setup'!$C$7,""),IF($K838&gt;0,'Template Setup'!$C$8,"")))</f>
        <v/>
      </c>
      <c r="E838" s="6" t="str" cm="1">
        <f t="array" ref="E838">IF($A838="","",_xlfn.LET(_xlpm.sheets,CHOOSE({1,2,3,4,5},'Template Setup'!$C$4,'Template Setup'!$C$5,'Template Setup'!$C$6,'Template Setup'!$C$7,'Template Setup'!$C$8),_xlpm.nums,CHOOSE({1,2,3,4,5},$L838,$M838,$N838,$O838,$P838),_xlpm.qtys,CHOOSE({1,2,3,4,5},$G838,$H838,$I838,$J838,$K838),_xlpm.validNums,_xlfn._xlws.FILTER(_xlpm.nums,_xlpm.qtys&gt;0),_xlpm.validSheets,_xlfn._xlws.FILTER(_xlpm.sheets,_xlpm.qtys&gt;0),_xlpm.mx,IFERROR(MAX(_xlpm.validNums),0),IF(_xlpm.mx=0,"",INDEX(_xlpm.validSheets,MATCH(_xlpm.mx,_xlpm.validNums,0))&amp;" (+"&amp;$R838&amp;")")))</f>
        <v/>
      </c>
      <c r="F838" s="11" t="str">
        <f t="shared" si="55"/>
        <v/>
      </c>
      <c r="G838" s="12" t="str">
        <f ca="1">IF($A838="","",IFERROR(SUMIF(INDIRECT("'"&amp;'Template Setup'!$C$4&amp;"'!C:C"),$A838,INDIRECT("'"&amp;'Template Setup'!$C$4&amp;"'!A:A")),0))</f>
        <v/>
      </c>
      <c r="H838" s="12" t="str">
        <f ca="1">IF($A838="","",IFERROR(SUMIF(INDIRECT("'"&amp;'Template Setup'!$C$5&amp;"'!C:C"),$A838,INDIRECT("'"&amp;'Template Setup'!$C$5&amp;"'!A:A")),0))</f>
        <v/>
      </c>
      <c r="I838" s="12" t="str">
        <f ca="1">IF($A838="","",IFERROR(SUMIF(INDIRECT("'"&amp;'Template Setup'!$C$6&amp;"'!C:C"),$A838,INDIRECT("'"&amp;'Template Setup'!$C$6&amp;"'!A:A")),0))</f>
        <v/>
      </c>
      <c r="J838" s="12" t="str">
        <f ca="1">IF($A838="","",IFERROR(SUMIF(INDIRECT("'"&amp;'Template Setup'!$C$7&amp;"'!C:C"),$A838,INDIRECT("'"&amp;'Template Setup'!$C$7&amp;"'!A:A")),0))</f>
        <v/>
      </c>
      <c r="K838" s="12" t="str">
        <f ca="1">IF($A838="","",IFERROR(SUMIF(INDIRECT("'"&amp;'Template Setup'!$C$8&amp;"'!C:C"),$A838,INDIRECT("'"&amp;'Template Setup'!$C$8&amp;"'!A:A")),0))</f>
        <v/>
      </c>
      <c r="L838" s="11" t="str">
        <f>IF($A838="","",IFERROR(VALUE(MID(TRIM('Template Setup'!$C$4),FIND("-",TRIM('Template Setup'!$C$4))+1,10)),0))</f>
        <v/>
      </c>
      <c r="M838" s="11" t="str">
        <f>IF($A838="","",IFERROR(VALUE(MID(TRIM('Template Setup'!$C$5),FIND("-",TRIM('Template Setup'!$C$5))+1,10)),0))</f>
        <v/>
      </c>
      <c r="N838" s="11" t="str">
        <f>IF($A838="","",IFERROR(VALUE(MID(TRIM('Template Setup'!$C$6),FIND("-",TRIM('Template Setup'!$C$6))+1,10)),0))</f>
        <v/>
      </c>
      <c r="O838" s="11" t="str">
        <f>IF($A838="","",IFERROR(VALUE(MID(TRIM('Template Setup'!$C$7),FIND("-",TRIM('Template Setup'!$C$7))+1,10)),0))</f>
        <v/>
      </c>
      <c r="P838" s="11" t="str">
        <f>IF($A838="","",IFERROR(VALUE(MID(TRIM('Template Setup'!$C$8),FIND("-",TRIM('Template Setup'!$C$8))+1,10)),0))</f>
        <v/>
      </c>
      <c r="Q838" s="9" t="str">
        <f>IF($A838="","",$A838&amp;"-"&amp;'Template Setup'!$C$16)</f>
        <v/>
      </c>
      <c r="R838" s="24" t="str">
        <f t="shared" si="53"/>
        <v/>
      </c>
      <c r="S838" s="24"/>
      <c r="T838" s="24" t="str">
        <f t="shared" si="54"/>
        <v/>
      </c>
      <c r="U838" s="6" t="str">
        <f t="shared" si="52"/>
        <v/>
      </c>
    </row>
    <row r="839" spans="1:21">
      <c r="A839" s="11"/>
      <c r="B839" s="11"/>
      <c r="C839" s="11"/>
      <c r="D839" s="11" t="str">
        <f>IF($A839="","",_xlfn.TEXTJOIN(", ",TRUE,IF($G839&gt;0,'Template Setup'!$C$4,""),IF($H839&gt;0,'Template Setup'!$C$5,""),IF($I839&gt;0,'Template Setup'!$C$6,""),IF($J839&gt;0,'Template Setup'!$C$7,""),IF($K839&gt;0,'Template Setup'!$C$8,"")))</f>
        <v/>
      </c>
      <c r="E839" s="6" t="str" cm="1">
        <f t="array" ref="E839">IF($A839="","",_xlfn.LET(_xlpm.sheets,CHOOSE({1,2,3,4,5},'Template Setup'!$C$4,'Template Setup'!$C$5,'Template Setup'!$C$6,'Template Setup'!$C$7,'Template Setup'!$C$8),_xlpm.nums,CHOOSE({1,2,3,4,5},$L839,$M839,$N839,$O839,$P839),_xlpm.qtys,CHOOSE({1,2,3,4,5},$G839,$H839,$I839,$J839,$K839),_xlpm.validNums,_xlfn._xlws.FILTER(_xlpm.nums,_xlpm.qtys&gt;0),_xlpm.validSheets,_xlfn._xlws.FILTER(_xlpm.sheets,_xlpm.qtys&gt;0),_xlpm.mx,IFERROR(MAX(_xlpm.validNums),0),IF(_xlpm.mx=0,"",INDEX(_xlpm.validSheets,MATCH(_xlpm.mx,_xlpm.validNums,0))&amp;" (+"&amp;$R839&amp;")")))</f>
        <v/>
      </c>
      <c r="F839" s="11" t="str">
        <f t="shared" si="55"/>
        <v/>
      </c>
      <c r="G839" s="12" t="str">
        <f ca="1">IF($A839="","",IFERROR(SUMIF(INDIRECT("'"&amp;'Template Setup'!$C$4&amp;"'!C:C"),$A839,INDIRECT("'"&amp;'Template Setup'!$C$4&amp;"'!A:A")),0))</f>
        <v/>
      </c>
      <c r="H839" s="12" t="str">
        <f ca="1">IF($A839="","",IFERROR(SUMIF(INDIRECT("'"&amp;'Template Setup'!$C$5&amp;"'!C:C"),$A839,INDIRECT("'"&amp;'Template Setup'!$C$5&amp;"'!A:A")),0))</f>
        <v/>
      </c>
      <c r="I839" s="12" t="str">
        <f ca="1">IF($A839="","",IFERROR(SUMIF(INDIRECT("'"&amp;'Template Setup'!$C$6&amp;"'!C:C"),$A839,INDIRECT("'"&amp;'Template Setup'!$C$6&amp;"'!A:A")),0))</f>
        <v/>
      </c>
      <c r="J839" s="12" t="str">
        <f ca="1">IF($A839="","",IFERROR(SUMIF(INDIRECT("'"&amp;'Template Setup'!$C$7&amp;"'!C:C"),$A839,INDIRECT("'"&amp;'Template Setup'!$C$7&amp;"'!A:A")),0))</f>
        <v/>
      </c>
      <c r="K839" s="12" t="str">
        <f ca="1">IF($A839="","",IFERROR(SUMIF(INDIRECT("'"&amp;'Template Setup'!$C$8&amp;"'!C:C"),$A839,INDIRECT("'"&amp;'Template Setup'!$C$8&amp;"'!A:A")),0))</f>
        <v/>
      </c>
      <c r="L839" s="11" t="str">
        <f>IF($A839="","",IFERROR(VALUE(MID(TRIM('Template Setup'!$C$4),FIND("-",TRIM('Template Setup'!$C$4))+1,10)),0))</f>
        <v/>
      </c>
      <c r="M839" s="11" t="str">
        <f>IF($A839="","",IFERROR(VALUE(MID(TRIM('Template Setup'!$C$5),FIND("-",TRIM('Template Setup'!$C$5))+1,10)),0))</f>
        <v/>
      </c>
      <c r="N839" s="11" t="str">
        <f>IF($A839="","",IFERROR(VALUE(MID(TRIM('Template Setup'!$C$6),FIND("-",TRIM('Template Setup'!$C$6))+1,10)),0))</f>
        <v/>
      </c>
      <c r="O839" s="11" t="str">
        <f>IF($A839="","",IFERROR(VALUE(MID(TRIM('Template Setup'!$C$7),FIND("-",TRIM('Template Setup'!$C$7))+1,10)),0))</f>
        <v/>
      </c>
      <c r="P839" s="11" t="str">
        <f>IF($A839="","",IFERROR(VALUE(MID(TRIM('Template Setup'!$C$8),FIND("-",TRIM('Template Setup'!$C$8))+1,10)),0))</f>
        <v/>
      </c>
      <c r="Q839" s="9" t="str">
        <f>IF($A839="","",$A839&amp;"-"&amp;'Template Setup'!$C$16)</f>
        <v/>
      </c>
      <c r="R839" s="24" t="str">
        <f t="shared" si="53"/>
        <v/>
      </c>
      <c r="S839" s="24"/>
      <c r="T839" s="24" t="str">
        <f t="shared" si="54"/>
        <v/>
      </c>
      <c r="U839" s="6" t="str">
        <f t="shared" si="52"/>
        <v/>
      </c>
    </row>
    <row r="840" spans="1:21">
      <c r="A840" s="11"/>
      <c r="B840" s="11"/>
      <c r="C840" s="11"/>
      <c r="D840" s="11" t="str">
        <f>IF($A840="","",_xlfn.TEXTJOIN(", ",TRUE,IF($G840&gt;0,'Template Setup'!$C$4,""),IF($H840&gt;0,'Template Setup'!$C$5,""),IF($I840&gt;0,'Template Setup'!$C$6,""),IF($J840&gt;0,'Template Setup'!$C$7,""),IF($K840&gt;0,'Template Setup'!$C$8,"")))</f>
        <v/>
      </c>
      <c r="E840" s="6" t="str" cm="1">
        <f t="array" ref="E840">IF($A840="","",_xlfn.LET(_xlpm.sheets,CHOOSE({1,2,3,4,5},'Template Setup'!$C$4,'Template Setup'!$C$5,'Template Setup'!$C$6,'Template Setup'!$C$7,'Template Setup'!$C$8),_xlpm.nums,CHOOSE({1,2,3,4,5},$L840,$M840,$N840,$O840,$P840),_xlpm.qtys,CHOOSE({1,2,3,4,5},$G840,$H840,$I840,$J840,$K840),_xlpm.validNums,_xlfn._xlws.FILTER(_xlpm.nums,_xlpm.qtys&gt;0),_xlpm.validSheets,_xlfn._xlws.FILTER(_xlpm.sheets,_xlpm.qtys&gt;0),_xlpm.mx,IFERROR(MAX(_xlpm.validNums),0),IF(_xlpm.mx=0,"",INDEX(_xlpm.validSheets,MATCH(_xlpm.mx,_xlpm.validNums,0))&amp;" (+"&amp;$R840&amp;")")))</f>
        <v/>
      </c>
      <c r="F840" s="11" t="str">
        <f t="shared" si="55"/>
        <v/>
      </c>
      <c r="G840" s="12" t="str">
        <f ca="1">IF($A840="","",IFERROR(SUMIF(INDIRECT("'"&amp;'Template Setup'!$C$4&amp;"'!C:C"),$A840,INDIRECT("'"&amp;'Template Setup'!$C$4&amp;"'!A:A")),0))</f>
        <v/>
      </c>
      <c r="H840" s="12" t="str">
        <f ca="1">IF($A840="","",IFERROR(SUMIF(INDIRECT("'"&amp;'Template Setup'!$C$5&amp;"'!C:C"),$A840,INDIRECT("'"&amp;'Template Setup'!$C$5&amp;"'!A:A")),0))</f>
        <v/>
      </c>
      <c r="I840" s="12" t="str">
        <f ca="1">IF($A840="","",IFERROR(SUMIF(INDIRECT("'"&amp;'Template Setup'!$C$6&amp;"'!C:C"),$A840,INDIRECT("'"&amp;'Template Setup'!$C$6&amp;"'!A:A")),0))</f>
        <v/>
      </c>
      <c r="J840" s="12" t="str">
        <f ca="1">IF($A840="","",IFERROR(SUMIF(INDIRECT("'"&amp;'Template Setup'!$C$7&amp;"'!C:C"),$A840,INDIRECT("'"&amp;'Template Setup'!$C$7&amp;"'!A:A")),0))</f>
        <v/>
      </c>
      <c r="K840" s="12" t="str">
        <f ca="1">IF($A840="","",IFERROR(SUMIF(INDIRECT("'"&amp;'Template Setup'!$C$8&amp;"'!C:C"),$A840,INDIRECT("'"&amp;'Template Setup'!$C$8&amp;"'!A:A")),0))</f>
        <v/>
      </c>
      <c r="L840" s="11" t="str">
        <f>IF($A840="","",IFERROR(VALUE(MID(TRIM('Template Setup'!$C$4),FIND("-",TRIM('Template Setup'!$C$4))+1,10)),0))</f>
        <v/>
      </c>
      <c r="M840" s="11" t="str">
        <f>IF($A840="","",IFERROR(VALUE(MID(TRIM('Template Setup'!$C$5),FIND("-",TRIM('Template Setup'!$C$5))+1,10)),0))</f>
        <v/>
      </c>
      <c r="N840" s="11" t="str">
        <f>IF($A840="","",IFERROR(VALUE(MID(TRIM('Template Setup'!$C$6),FIND("-",TRIM('Template Setup'!$C$6))+1,10)),0))</f>
        <v/>
      </c>
      <c r="O840" s="11" t="str">
        <f>IF($A840="","",IFERROR(VALUE(MID(TRIM('Template Setup'!$C$7),FIND("-",TRIM('Template Setup'!$C$7))+1,10)),0))</f>
        <v/>
      </c>
      <c r="P840" s="11" t="str">
        <f>IF($A840="","",IFERROR(VALUE(MID(TRIM('Template Setup'!$C$8),FIND("-",TRIM('Template Setup'!$C$8))+1,10)),0))</f>
        <v/>
      </c>
      <c r="Q840" s="9" t="str">
        <f>IF($A840="","",$A840&amp;"-"&amp;'Template Setup'!$C$16)</f>
        <v/>
      </c>
      <c r="R840" s="24" t="str">
        <f t="shared" si="53"/>
        <v/>
      </c>
      <c r="S840" s="24"/>
      <c r="T840" s="24" t="str">
        <f t="shared" si="54"/>
        <v/>
      </c>
      <c r="U840" s="6" t="str">
        <f t="shared" si="52"/>
        <v/>
      </c>
    </row>
    <row r="841" spans="1:21">
      <c r="A841" s="11"/>
      <c r="B841" s="11"/>
      <c r="C841" s="11"/>
      <c r="D841" s="11" t="str">
        <f>IF($A841="","",_xlfn.TEXTJOIN(", ",TRUE,IF($G841&gt;0,'Template Setup'!$C$4,""),IF($H841&gt;0,'Template Setup'!$C$5,""),IF($I841&gt;0,'Template Setup'!$C$6,""),IF($J841&gt;0,'Template Setup'!$C$7,""),IF($K841&gt;0,'Template Setup'!$C$8,"")))</f>
        <v/>
      </c>
      <c r="E841" s="6" t="str" cm="1">
        <f t="array" ref="E841">IF($A841="","",_xlfn.LET(_xlpm.sheets,CHOOSE({1,2,3,4,5},'Template Setup'!$C$4,'Template Setup'!$C$5,'Template Setup'!$C$6,'Template Setup'!$C$7,'Template Setup'!$C$8),_xlpm.nums,CHOOSE({1,2,3,4,5},$L841,$M841,$N841,$O841,$P841),_xlpm.qtys,CHOOSE({1,2,3,4,5},$G841,$H841,$I841,$J841,$K841),_xlpm.validNums,_xlfn._xlws.FILTER(_xlpm.nums,_xlpm.qtys&gt;0),_xlpm.validSheets,_xlfn._xlws.FILTER(_xlpm.sheets,_xlpm.qtys&gt;0),_xlpm.mx,IFERROR(MAX(_xlpm.validNums),0),IF(_xlpm.mx=0,"",INDEX(_xlpm.validSheets,MATCH(_xlpm.mx,_xlpm.validNums,0))&amp;" (+"&amp;$R841&amp;")")))</f>
        <v/>
      </c>
      <c r="F841" s="11" t="str">
        <f t="shared" si="55"/>
        <v/>
      </c>
      <c r="G841" s="12" t="str">
        <f ca="1">IF($A841="","",IFERROR(SUMIF(INDIRECT("'"&amp;'Template Setup'!$C$4&amp;"'!C:C"),$A841,INDIRECT("'"&amp;'Template Setup'!$C$4&amp;"'!A:A")),0))</f>
        <v/>
      </c>
      <c r="H841" s="12" t="str">
        <f ca="1">IF($A841="","",IFERROR(SUMIF(INDIRECT("'"&amp;'Template Setup'!$C$5&amp;"'!C:C"),$A841,INDIRECT("'"&amp;'Template Setup'!$C$5&amp;"'!A:A")),0))</f>
        <v/>
      </c>
      <c r="I841" s="12" t="str">
        <f ca="1">IF($A841="","",IFERROR(SUMIF(INDIRECT("'"&amp;'Template Setup'!$C$6&amp;"'!C:C"),$A841,INDIRECT("'"&amp;'Template Setup'!$C$6&amp;"'!A:A")),0))</f>
        <v/>
      </c>
      <c r="J841" s="12" t="str">
        <f ca="1">IF($A841="","",IFERROR(SUMIF(INDIRECT("'"&amp;'Template Setup'!$C$7&amp;"'!C:C"),$A841,INDIRECT("'"&amp;'Template Setup'!$C$7&amp;"'!A:A")),0))</f>
        <v/>
      </c>
      <c r="K841" s="12" t="str">
        <f ca="1">IF($A841="","",IFERROR(SUMIF(INDIRECT("'"&amp;'Template Setup'!$C$8&amp;"'!C:C"),$A841,INDIRECT("'"&amp;'Template Setup'!$C$8&amp;"'!A:A")),0))</f>
        <v/>
      </c>
      <c r="L841" s="11" t="str">
        <f>IF($A841="","",IFERROR(VALUE(MID(TRIM('Template Setup'!$C$4),FIND("-",TRIM('Template Setup'!$C$4))+1,10)),0))</f>
        <v/>
      </c>
      <c r="M841" s="11" t="str">
        <f>IF($A841="","",IFERROR(VALUE(MID(TRIM('Template Setup'!$C$5),FIND("-",TRIM('Template Setup'!$C$5))+1,10)),0))</f>
        <v/>
      </c>
      <c r="N841" s="11" t="str">
        <f>IF($A841="","",IFERROR(VALUE(MID(TRIM('Template Setup'!$C$6),FIND("-",TRIM('Template Setup'!$C$6))+1,10)),0))</f>
        <v/>
      </c>
      <c r="O841" s="11" t="str">
        <f>IF($A841="","",IFERROR(VALUE(MID(TRIM('Template Setup'!$C$7),FIND("-",TRIM('Template Setup'!$C$7))+1,10)),0))</f>
        <v/>
      </c>
      <c r="P841" s="11" t="str">
        <f>IF($A841="","",IFERROR(VALUE(MID(TRIM('Template Setup'!$C$8),FIND("-",TRIM('Template Setup'!$C$8))+1,10)),0))</f>
        <v/>
      </c>
      <c r="Q841" s="9" t="str">
        <f>IF($A841="","",$A841&amp;"-"&amp;'Template Setup'!$C$16)</f>
        <v/>
      </c>
      <c r="R841" s="24" t="str">
        <f t="shared" si="53"/>
        <v/>
      </c>
      <c r="S841" s="24"/>
      <c r="T841" s="24" t="str">
        <f t="shared" si="54"/>
        <v/>
      </c>
      <c r="U841" s="6" t="str">
        <f t="shared" si="52"/>
        <v/>
      </c>
    </row>
    <row r="842" spans="1:21">
      <c r="A842" s="11"/>
      <c r="B842" s="11"/>
      <c r="C842" s="11"/>
      <c r="D842" s="11" t="str">
        <f>IF($A842="","",_xlfn.TEXTJOIN(", ",TRUE,IF($G842&gt;0,'Template Setup'!$C$4,""),IF($H842&gt;0,'Template Setup'!$C$5,""),IF($I842&gt;0,'Template Setup'!$C$6,""),IF($J842&gt;0,'Template Setup'!$C$7,""),IF($K842&gt;0,'Template Setup'!$C$8,"")))</f>
        <v/>
      </c>
      <c r="E842" s="6" t="str" cm="1">
        <f t="array" ref="E842">IF($A842="","",_xlfn.LET(_xlpm.sheets,CHOOSE({1,2,3,4,5},'Template Setup'!$C$4,'Template Setup'!$C$5,'Template Setup'!$C$6,'Template Setup'!$C$7,'Template Setup'!$C$8),_xlpm.nums,CHOOSE({1,2,3,4,5},$L842,$M842,$N842,$O842,$P842),_xlpm.qtys,CHOOSE({1,2,3,4,5},$G842,$H842,$I842,$J842,$K842),_xlpm.validNums,_xlfn._xlws.FILTER(_xlpm.nums,_xlpm.qtys&gt;0),_xlpm.validSheets,_xlfn._xlws.FILTER(_xlpm.sheets,_xlpm.qtys&gt;0),_xlpm.mx,IFERROR(MAX(_xlpm.validNums),0),IF(_xlpm.mx=0,"",INDEX(_xlpm.validSheets,MATCH(_xlpm.mx,_xlpm.validNums,0))&amp;" (+"&amp;$R842&amp;")")))</f>
        <v/>
      </c>
      <c r="F842" s="11" t="str">
        <f t="shared" si="55"/>
        <v/>
      </c>
      <c r="G842" s="12" t="str">
        <f ca="1">IF($A842="","",IFERROR(SUMIF(INDIRECT("'"&amp;'Template Setup'!$C$4&amp;"'!C:C"),$A842,INDIRECT("'"&amp;'Template Setup'!$C$4&amp;"'!A:A")),0))</f>
        <v/>
      </c>
      <c r="H842" s="12" t="str">
        <f ca="1">IF($A842="","",IFERROR(SUMIF(INDIRECT("'"&amp;'Template Setup'!$C$5&amp;"'!C:C"),$A842,INDIRECT("'"&amp;'Template Setup'!$C$5&amp;"'!A:A")),0))</f>
        <v/>
      </c>
      <c r="I842" s="12" t="str">
        <f ca="1">IF($A842="","",IFERROR(SUMIF(INDIRECT("'"&amp;'Template Setup'!$C$6&amp;"'!C:C"),$A842,INDIRECT("'"&amp;'Template Setup'!$C$6&amp;"'!A:A")),0))</f>
        <v/>
      </c>
      <c r="J842" s="12" t="str">
        <f ca="1">IF($A842="","",IFERROR(SUMIF(INDIRECT("'"&amp;'Template Setup'!$C$7&amp;"'!C:C"),$A842,INDIRECT("'"&amp;'Template Setup'!$C$7&amp;"'!A:A")),0))</f>
        <v/>
      </c>
      <c r="K842" s="12" t="str">
        <f ca="1">IF($A842="","",IFERROR(SUMIF(INDIRECT("'"&amp;'Template Setup'!$C$8&amp;"'!C:C"),$A842,INDIRECT("'"&amp;'Template Setup'!$C$8&amp;"'!A:A")),0))</f>
        <v/>
      </c>
      <c r="L842" s="11" t="str">
        <f>IF($A842="","",IFERROR(VALUE(MID(TRIM('Template Setup'!$C$4),FIND("-",TRIM('Template Setup'!$C$4))+1,10)),0))</f>
        <v/>
      </c>
      <c r="M842" s="11" t="str">
        <f>IF($A842="","",IFERROR(VALUE(MID(TRIM('Template Setup'!$C$5),FIND("-",TRIM('Template Setup'!$C$5))+1,10)),0))</f>
        <v/>
      </c>
      <c r="N842" s="11" t="str">
        <f>IF($A842="","",IFERROR(VALUE(MID(TRIM('Template Setup'!$C$6),FIND("-",TRIM('Template Setup'!$C$6))+1,10)),0))</f>
        <v/>
      </c>
      <c r="O842" s="11" t="str">
        <f>IF($A842="","",IFERROR(VALUE(MID(TRIM('Template Setup'!$C$7),FIND("-",TRIM('Template Setup'!$C$7))+1,10)),0))</f>
        <v/>
      </c>
      <c r="P842" s="11" t="str">
        <f>IF($A842="","",IFERROR(VALUE(MID(TRIM('Template Setup'!$C$8),FIND("-",TRIM('Template Setup'!$C$8))+1,10)),0))</f>
        <v/>
      </c>
      <c r="Q842" s="9" t="str">
        <f>IF($A842="","",$A842&amp;"-"&amp;'Template Setup'!$C$16)</f>
        <v/>
      </c>
      <c r="R842" s="24" t="str">
        <f t="shared" si="53"/>
        <v/>
      </c>
      <c r="S842" s="24"/>
      <c r="T842" s="24" t="str">
        <f t="shared" si="54"/>
        <v/>
      </c>
      <c r="U842" s="6" t="str">
        <f t="shared" si="52"/>
        <v/>
      </c>
    </row>
    <row r="843" spans="1:21">
      <c r="A843" s="11"/>
      <c r="B843" s="11"/>
      <c r="C843" s="11"/>
      <c r="D843" s="11" t="str">
        <f>IF($A843="","",_xlfn.TEXTJOIN(", ",TRUE,IF($G843&gt;0,'Template Setup'!$C$4,""),IF($H843&gt;0,'Template Setup'!$C$5,""),IF($I843&gt;0,'Template Setup'!$C$6,""),IF($J843&gt;0,'Template Setup'!$C$7,""),IF($K843&gt;0,'Template Setup'!$C$8,"")))</f>
        <v/>
      </c>
      <c r="E843" s="6" t="str" cm="1">
        <f t="array" ref="E843">IF($A843="","",_xlfn.LET(_xlpm.sheets,CHOOSE({1,2,3,4,5},'Template Setup'!$C$4,'Template Setup'!$C$5,'Template Setup'!$C$6,'Template Setup'!$C$7,'Template Setup'!$C$8),_xlpm.nums,CHOOSE({1,2,3,4,5},$L843,$M843,$N843,$O843,$P843),_xlpm.qtys,CHOOSE({1,2,3,4,5},$G843,$H843,$I843,$J843,$K843),_xlpm.validNums,_xlfn._xlws.FILTER(_xlpm.nums,_xlpm.qtys&gt;0),_xlpm.validSheets,_xlfn._xlws.FILTER(_xlpm.sheets,_xlpm.qtys&gt;0),_xlpm.mx,IFERROR(MAX(_xlpm.validNums),0),IF(_xlpm.mx=0,"",INDEX(_xlpm.validSheets,MATCH(_xlpm.mx,_xlpm.validNums,0))&amp;" (+"&amp;$R843&amp;")")))</f>
        <v/>
      </c>
      <c r="F843" s="11" t="str">
        <f t="shared" si="55"/>
        <v/>
      </c>
      <c r="G843" s="12" t="str">
        <f ca="1">IF($A843="","",IFERROR(SUMIF(INDIRECT("'"&amp;'Template Setup'!$C$4&amp;"'!C:C"),$A843,INDIRECT("'"&amp;'Template Setup'!$C$4&amp;"'!A:A")),0))</f>
        <v/>
      </c>
      <c r="H843" s="12" t="str">
        <f ca="1">IF($A843="","",IFERROR(SUMIF(INDIRECT("'"&amp;'Template Setup'!$C$5&amp;"'!C:C"),$A843,INDIRECT("'"&amp;'Template Setup'!$C$5&amp;"'!A:A")),0))</f>
        <v/>
      </c>
      <c r="I843" s="12" t="str">
        <f ca="1">IF($A843="","",IFERROR(SUMIF(INDIRECT("'"&amp;'Template Setup'!$C$6&amp;"'!C:C"),$A843,INDIRECT("'"&amp;'Template Setup'!$C$6&amp;"'!A:A")),0))</f>
        <v/>
      </c>
      <c r="J843" s="12" t="str">
        <f ca="1">IF($A843="","",IFERROR(SUMIF(INDIRECT("'"&amp;'Template Setup'!$C$7&amp;"'!C:C"),$A843,INDIRECT("'"&amp;'Template Setup'!$C$7&amp;"'!A:A")),0))</f>
        <v/>
      </c>
      <c r="K843" s="12" t="str">
        <f ca="1">IF($A843="","",IFERROR(SUMIF(INDIRECT("'"&amp;'Template Setup'!$C$8&amp;"'!C:C"),$A843,INDIRECT("'"&amp;'Template Setup'!$C$8&amp;"'!A:A")),0))</f>
        <v/>
      </c>
      <c r="L843" s="11" t="str">
        <f>IF($A843="","",IFERROR(VALUE(MID(TRIM('Template Setup'!$C$4),FIND("-",TRIM('Template Setup'!$C$4))+1,10)),0))</f>
        <v/>
      </c>
      <c r="M843" s="11" t="str">
        <f>IF($A843="","",IFERROR(VALUE(MID(TRIM('Template Setup'!$C$5),FIND("-",TRIM('Template Setup'!$C$5))+1,10)),0))</f>
        <v/>
      </c>
      <c r="N843" s="11" t="str">
        <f>IF($A843="","",IFERROR(VALUE(MID(TRIM('Template Setup'!$C$6),FIND("-",TRIM('Template Setup'!$C$6))+1,10)),0))</f>
        <v/>
      </c>
      <c r="O843" s="11" t="str">
        <f>IF($A843="","",IFERROR(VALUE(MID(TRIM('Template Setup'!$C$7),FIND("-",TRIM('Template Setup'!$C$7))+1,10)),0))</f>
        <v/>
      </c>
      <c r="P843" s="11" t="str">
        <f>IF($A843="","",IFERROR(VALUE(MID(TRIM('Template Setup'!$C$8),FIND("-",TRIM('Template Setup'!$C$8))+1,10)),0))</f>
        <v/>
      </c>
      <c r="Q843" s="9" t="str">
        <f>IF($A843="","",$A843&amp;"-"&amp;'Template Setup'!$C$16)</f>
        <v/>
      </c>
      <c r="R843" s="24" t="str">
        <f t="shared" si="53"/>
        <v/>
      </c>
      <c r="S843" s="24"/>
      <c r="T843" s="24" t="str">
        <f t="shared" si="54"/>
        <v/>
      </c>
      <c r="U843" s="6" t="str">
        <f t="shared" si="52"/>
        <v/>
      </c>
    </row>
    <row r="844" spans="1:21">
      <c r="A844" s="11"/>
      <c r="B844" s="11"/>
      <c r="C844" s="11"/>
      <c r="D844" s="11" t="str">
        <f>IF($A844="","",_xlfn.TEXTJOIN(", ",TRUE,IF($G844&gt;0,'Template Setup'!$C$4,""),IF($H844&gt;0,'Template Setup'!$C$5,""),IF($I844&gt;0,'Template Setup'!$C$6,""),IF($J844&gt;0,'Template Setup'!$C$7,""),IF($K844&gt;0,'Template Setup'!$C$8,"")))</f>
        <v/>
      </c>
      <c r="E844" s="6" t="str" cm="1">
        <f t="array" ref="E844">IF($A844="","",_xlfn.LET(_xlpm.sheets,CHOOSE({1,2,3,4,5},'Template Setup'!$C$4,'Template Setup'!$C$5,'Template Setup'!$C$6,'Template Setup'!$C$7,'Template Setup'!$C$8),_xlpm.nums,CHOOSE({1,2,3,4,5},$L844,$M844,$N844,$O844,$P844),_xlpm.qtys,CHOOSE({1,2,3,4,5},$G844,$H844,$I844,$J844,$K844),_xlpm.validNums,_xlfn._xlws.FILTER(_xlpm.nums,_xlpm.qtys&gt;0),_xlpm.validSheets,_xlfn._xlws.FILTER(_xlpm.sheets,_xlpm.qtys&gt;0),_xlpm.mx,IFERROR(MAX(_xlpm.validNums),0),IF(_xlpm.mx=0,"",INDEX(_xlpm.validSheets,MATCH(_xlpm.mx,_xlpm.validNums,0))&amp;" (+"&amp;$R844&amp;")")))</f>
        <v/>
      </c>
      <c r="F844" s="11" t="str">
        <f t="shared" si="55"/>
        <v/>
      </c>
      <c r="G844" s="12" t="str">
        <f ca="1">IF($A844="","",IFERROR(SUMIF(INDIRECT("'"&amp;'Template Setup'!$C$4&amp;"'!C:C"),$A844,INDIRECT("'"&amp;'Template Setup'!$C$4&amp;"'!A:A")),0))</f>
        <v/>
      </c>
      <c r="H844" s="12" t="str">
        <f ca="1">IF($A844="","",IFERROR(SUMIF(INDIRECT("'"&amp;'Template Setup'!$C$5&amp;"'!C:C"),$A844,INDIRECT("'"&amp;'Template Setup'!$C$5&amp;"'!A:A")),0))</f>
        <v/>
      </c>
      <c r="I844" s="12" t="str">
        <f ca="1">IF($A844="","",IFERROR(SUMIF(INDIRECT("'"&amp;'Template Setup'!$C$6&amp;"'!C:C"),$A844,INDIRECT("'"&amp;'Template Setup'!$C$6&amp;"'!A:A")),0))</f>
        <v/>
      </c>
      <c r="J844" s="12" t="str">
        <f ca="1">IF($A844="","",IFERROR(SUMIF(INDIRECT("'"&amp;'Template Setup'!$C$7&amp;"'!C:C"),$A844,INDIRECT("'"&amp;'Template Setup'!$C$7&amp;"'!A:A")),0))</f>
        <v/>
      </c>
      <c r="K844" s="12" t="str">
        <f ca="1">IF($A844="","",IFERROR(SUMIF(INDIRECT("'"&amp;'Template Setup'!$C$8&amp;"'!C:C"),$A844,INDIRECT("'"&amp;'Template Setup'!$C$8&amp;"'!A:A")),0))</f>
        <v/>
      </c>
      <c r="L844" s="11" t="str">
        <f>IF($A844="","",IFERROR(VALUE(MID(TRIM('Template Setup'!$C$4),FIND("-",TRIM('Template Setup'!$C$4))+1,10)),0))</f>
        <v/>
      </c>
      <c r="M844" s="11" t="str">
        <f>IF($A844="","",IFERROR(VALUE(MID(TRIM('Template Setup'!$C$5),FIND("-",TRIM('Template Setup'!$C$5))+1,10)),0))</f>
        <v/>
      </c>
      <c r="N844" s="11" t="str">
        <f>IF($A844="","",IFERROR(VALUE(MID(TRIM('Template Setup'!$C$6),FIND("-",TRIM('Template Setup'!$C$6))+1,10)),0))</f>
        <v/>
      </c>
      <c r="O844" s="11" t="str">
        <f>IF($A844="","",IFERROR(VALUE(MID(TRIM('Template Setup'!$C$7),FIND("-",TRIM('Template Setup'!$C$7))+1,10)),0))</f>
        <v/>
      </c>
      <c r="P844" s="11" t="str">
        <f>IF($A844="","",IFERROR(VALUE(MID(TRIM('Template Setup'!$C$8),FIND("-",TRIM('Template Setup'!$C$8))+1,10)),0))</f>
        <v/>
      </c>
      <c r="Q844" s="9" t="str">
        <f>IF($A844="","",$A844&amp;"-"&amp;'Template Setup'!$C$16)</f>
        <v/>
      </c>
      <c r="R844" s="24" t="str">
        <f t="shared" si="53"/>
        <v/>
      </c>
      <c r="S844" s="24"/>
      <c r="T844" s="24" t="str">
        <f t="shared" si="54"/>
        <v/>
      </c>
      <c r="U844" s="6" t="str">
        <f t="shared" si="52"/>
        <v/>
      </c>
    </row>
    <row r="845" spans="1:21">
      <c r="A845" s="11"/>
      <c r="B845" s="11"/>
      <c r="C845" s="11"/>
      <c r="D845" s="11" t="str">
        <f>IF($A845="","",_xlfn.TEXTJOIN(", ",TRUE,IF($G845&gt;0,'Template Setup'!$C$4,""),IF($H845&gt;0,'Template Setup'!$C$5,""),IF($I845&gt;0,'Template Setup'!$C$6,""),IF($J845&gt;0,'Template Setup'!$C$7,""),IF($K845&gt;0,'Template Setup'!$C$8,"")))</f>
        <v/>
      </c>
      <c r="E845" s="6" t="str" cm="1">
        <f t="array" ref="E845">IF($A845="","",_xlfn.LET(_xlpm.sheets,CHOOSE({1,2,3,4,5},'Template Setup'!$C$4,'Template Setup'!$C$5,'Template Setup'!$C$6,'Template Setup'!$C$7,'Template Setup'!$C$8),_xlpm.nums,CHOOSE({1,2,3,4,5},$L845,$M845,$N845,$O845,$P845),_xlpm.qtys,CHOOSE({1,2,3,4,5},$G845,$H845,$I845,$J845,$K845),_xlpm.validNums,_xlfn._xlws.FILTER(_xlpm.nums,_xlpm.qtys&gt;0),_xlpm.validSheets,_xlfn._xlws.FILTER(_xlpm.sheets,_xlpm.qtys&gt;0),_xlpm.mx,IFERROR(MAX(_xlpm.validNums),0),IF(_xlpm.mx=0,"",INDEX(_xlpm.validSheets,MATCH(_xlpm.mx,_xlpm.validNums,0))&amp;" (+"&amp;$R845&amp;")")))</f>
        <v/>
      </c>
      <c r="F845" s="11" t="str">
        <f t="shared" si="55"/>
        <v/>
      </c>
      <c r="G845" s="12" t="str">
        <f ca="1">IF($A845="","",IFERROR(SUMIF(INDIRECT("'"&amp;'Template Setup'!$C$4&amp;"'!C:C"),$A845,INDIRECT("'"&amp;'Template Setup'!$C$4&amp;"'!A:A")),0))</f>
        <v/>
      </c>
      <c r="H845" s="12" t="str">
        <f ca="1">IF($A845="","",IFERROR(SUMIF(INDIRECT("'"&amp;'Template Setup'!$C$5&amp;"'!C:C"),$A845,INDIRECT("'"&amp;'Template Setup'!$C$5&amp;"'!A:A")),0))</f>
        <v/>
      </c>
      <c r="I845" s="12" t="str">
        <f ca="1">IF($A845="","",IFERROR(SUMIF(INDIRECT("'"&amp;'Template Setup'!$C$6&amp;"'!C:C"),$A845,INDIRECT("'"&amp;'Template Setup'!$C$6&amp;"'!A:A")),0))</f>
        <v/>
      </c>
      <c r="J845" s="12" t="str">
        <f ca="1">IF($A845="","",IFERROR(SUMIF(INDIRECT("'"&amp;'Template Setup'!$C$7&amp;"'!C:C"),$A845,INDIRECT("'"&amp;'Template Setup'!$C$7&amp;"'!A:A")),0))</f>
        <v/>
      </c>
      <c r="K845" s="12" t="str">
        <f ca="1">IF($A845="","",IFERROR(SUMIF(INDIRECT("'"&amp;'Template Setup'!$C$8&amp;"'!C:C"),$A845,INDIRECT("'"&amp;'Template Setup'!$C$8&amp;"'!A:A")),0))</f>
        <v/>
      </c>
      <c r="L845" s="11" t="str">
        <f>IF($A845="","",IFERROR(VALUE(MID(TRIM('Template Setup'!$C$4),FIND("-",TRIM('Template Setup'!$C$4))+1,10)),0))</f>
        <v/>
      </c>
      <c r="M845" s="11" t="str">
        <f>IF($A845="","",IFERROR(VALUE(MID(TRIM('Template Setup'!$C$5),FIND("-",TRIM('Template Setup'!$C$5))+1,10)),0))</f>
        <v/>
      </c>
      <c r="N845" s="11" t="str">
        <f>IF($A845="","",IFERROR(VALUE(MID(TRIM('Template Setup'!$C$6),FIND("-",TRIM('Template Setup'!$C$6))+1,10)),0))</f>
        <v/>
      </c>
      <c r="O845" s="11" t="str">
        <f>IF($A845="","",IFERROR(VALUE(MID(TRIM('Template Setup'!$C$7),FIND("-",TRIM('Template Setup'!$C$7))+1,10)),0))</f>
        <v/>
      </c>
      <c r="P845" s="11" t="str">
        <f>IF($A845="","",IFERROR(VALUE(MID(TRIM('Template Setup'!$C$8),FIND("-",TRIM('Template Setup'!$C$8))+1,10)),0))</f>
        <v/>
      </c>
      <c r="Q845" s="9" t="str">
        <f>IF($A845="","",$A845&amp;"-"&amp;'Template Setup'!$C$16)</f>
        <v/>
      </c>
      <c r="R845" s="24" t="str">
        <f t="shared" si="53"/>
        <v/>
      </c>
      <c r="S845" s="24"/>
      <c r="T845" s="24" t="str">
        <f t="shared" si="54"/>
        <v/>
      </c>
      <c r="U845" s="6" t="str">
        <f t="shared" si="52"/>
        <v/>
      </c>
    </row>
    <row r="846" spans="1:21">
      <c r="A846" s="11"/>
      <c r="B846" s="11"/>
      <c r="C846" s="11"/>
      <c r="D846" s="11" t="str">
        <f>IF($A846="","",_xlfn.TEXTJOIN(", ",TRUE,IF($G846&gt;0,'Template Setup'!$C$4,""),IF($H846&gt;0,'Template Setup'!$C$5,""),IF($I846&gt;0,'Template Setup'!$C$6,""),IF($J846&gt;0,'Template Setup'!$C$7,""),IF($K846&gt;0,'Template Setup'!$C$8,"")))</f>
        <v/>
      </c>
      <c r="E846" s="6" t="str" cm="1">
        <f t="array" ref="E846">IF($A846="","",_xlfn.LET(_xlpm.sheets,CHOOSE({1,2,3,4,5},'Template Setup'!$C$4,'Template Setup'!$C$5,'Template Setup'!$C$6,'Template Setup'!$C$7,'Template Setup'!$C$8),_xlpm.nums,CHOOSE({1,2,3,4,5},$L846,$M846,$N846,$O846,$P846),_xlpm.qtys,CHOOSE({1,2,3,4,5},$G846,$H846,$I846,$J846,$K846),_xlpm.validNums,_xlfn._xlws.FILTER(_xlpm.nums,_xlpm.qtys&gt;0),_xlpm.validSheets,_xlfn._xlws.FILTER(_xlpm.sheets,_xlpm.qtys&gt;0),_xlpm.mx,IFERROR(MAX(_xlpm.validNums),0),IF(_xlpm.mx=0,"",INDEX(_xlpm.validSheets,MATCH(_xlpm.mx,_xlpm.validNums,0))&amp;" (+"&amp;$R846&amp;")")))</f>
        <v/>
      </c>
      <c r="F846" s="11" t="str">
        <f t="shared" si="55"/>
        <v/>
      </c>
      <c r="G846" s="12" t="str">
        <f ca="1">IF($A846="","",IFERROR(SUMIF(INDIRECT("'"&amp;'Template Setup'!$C$4&amp;"'!C:C"),$A846,INDIRECT("'"&amp;'Template Setup'!$C$4&amp;"'!A:A")),0))</f>
        <v/>
      </c>
      <c r="H846" s="12" t="str">
        <f ca="1">IF($A846="","",IFERROR(SUMIF(INDIRECT("'"&amp;'Template Setup'!$C$5&amp;"'!C:C"),$A846,INDIRECT("'"&amp;'Template Setup'!$C$5&amp;"'!A:A")),0))</f>
        <v/>
      </c>
      <c r="I846" s="12" t="str">
        <f ca="1">IF($A846="","",IFERROR(SUMIF(INDIRECT("'"&amp;'Template Setup'!$C$6&amp;"'!C:C"),$A846,INDIRECT("'"&amp;'Template Setup'!$C$6&amp;"'!A:A")),0))</f>
        <v/>
      </c>
      <c r="J846" s="12" t="str">
        <f ca="1">IF($A846="","",IFERROR(SUMIF(INDIRECT("'"&amp;'Template Setup'!$C$7&amp;"'!C:C"),$A846,INDIRECT("'"&amp;'Template Setup'!$C$7&amp;"'!A:A")),0))</f>
        <v/>
      </c>
      <c r="K846" s="12" t="str">
        <f ca="1">IF($A846="","",IFERROR(SUMIF(INDIRECT("'"&amp;'Template Setup'!$C$8&amp;"'!C:C"),$A846,INDIRECT("'"&amp;'Template Setup'!$C$8&amp;"'!A:A")),0))</f>
        <v/>
      </c>
      <c r="L846" s="11" t="str">
        <f>IF($A846="","",IFERROR(VALUE(MID(TRIM('Template Setup'!$C$4),FIND("-",TRIM('Template Setup'!$C$4))+1,10)),0))</f>
        <v/>
      </c>
      <c r="M846" s="11" t="str">
        <f>IF($A846="","",IFERROR(VALUE(MID(TRIM('Template Setup'!$C$5),FIND("-",TRIM('Template Setup'!$C$5))+1,10)),0))</f>
        <v/>
      </c>
      <c r="N846" s="11" t="str">
        <f>IF($A846="","",IFERROR(VALUE(MID(TRIM('Template Setup'!$C$6),FIND("-",TRIM('Template Setup'!$C$6))+1,10)),0))</f>
        <v/>
      </c>
      <c r="O846" s="11" t="str">
        <f>IF($A846="","",IFERROR(VALUE(MID(TRIM('Template Setup'!$C$7),FIND("-",TRIM('Template Setup'!$C$7))+1,10)),0))</f>
        <v/>
      </c>
      <c r="P846" s="11" t="str">
        <f>IF($A846="","",IFERROR(VALUE(MID(TRIM('Template Setup'!$C$8),FIND("-",TRIM('Template Setup'!$C$8))+1,10)),0))</f>
        <v/>
      </c>
      <c r="Q846" s="9" t="str">
        <f>IF($A846="","",$A846&amp;"-"&amp;'Template Setup'!$C$16)</f>
        <v/>
      </c>
      <c r="R846" s="24" t="str">
        <f t="shared" si="53"/>
        <v/>
      </c>
      <c r="S846" s="24"/>
      <c r="T846" s="24" t="str">
        <f t="shared" si="54"/>
        <v/>
      </c>
      <c r="U846" s="6" t="str">
        <f t="shared" si="52"/>
        <v/>
      </c>
    </row>
    <row r="847" spans="1:21">
      <c r="A847" s="11"/>
      <c r="B847" s="11"/>
      <c r="C847" s="11"/>
      <c r="D847" s="11" t="str">
        <f>IF($A847="","",_xlfn.TEXTJOIN(", ",TRUE,IF($G847&gt;0,'Template Setup'!$C$4,""),IF($H847&gt;0,'Template Setup'!$C$5,""),IF($I847&gt;0,'Template Setup'!$C$6,""),IF($J847&gt;0,'Template Setup'!$C$7,""),IF($K847&gt;0,'Template Setup'!$C$8,"")))</f>
        <v/>
      </c>
      <c r="E847" s="6" t="str" cm="1">
        <f t="array" ref="E847">IF($A847="","",_xlfn.LET(_xlpm.sheets,CHOOSE({1,2,3,4,5},'Template Setup'!$C$4,'Template Setup'!$C$5,'Template Setup'!$C$6,'Template Setup'!$C$7,'Template Setup'!$C$8),_xlpm.nums,CHOOSE({1,2,3,4,5},$L847,$M847,$N847,$O847,$P847),_xlpm.qtys,CHOOSE({1,2,3,4,5},$G847,$H847,$I847,$J847,$K847),_xlpm.validNums,_xlfn._xlws.FILTER(_xlpm.nums,_xlpm.qtys&gt;0),_xlpm.validSheets,_xlfn._xlws.FILTER(_xlpm.sheets,_xlpm.qtys&gt;0),_xlpm.mx,IFERROR(MAX(_xlpm.validNums),0),IF(_xlpm.mx=0,"",INDEX(_xlpm.validSheets,MATCH(_xlpm.mx,_xlpm.validNums,0))&amp;" (+"&amp;$R847&amp;")")))</f>
        <v/>
      </c>
      <c r="F847" s="11" t="str">
        <f t="shared" si="55"/>
        <v/>
      </c>
      <c r="G847" s="12" t="str">
        <f ca="1">IF($A847="","",IFERROR(SUMIF(INDIRECT("'"&amp;'Template Setup'!$C$4&amp;"'!C:C"),$A847,INDIRECT("'"&amp;'Template Setup'!$C$4&amp;"'!A:A")),0))</f>
        <v/>
      </c>
      <c r="H847" s="12" t="str">
        <f ca="1">IF($A847="","",IFERROR(SUMIF(INDIRECT("'"&amp;'Template Setup'!$C$5&amp;"'!C:C"),$A847,INDIRECT("'"&amp;'Template Setup'!$C$5&amp;"'!A:A")),0))</f>
        <v/>
      </c>
      <c r="I847" s="12" t="str">
        <f ca="1">IF($A847="","",IFERROR(SUMIF(INDIRECT("'"&amp;'Template Setup'!$C$6&amp;"'!C:C"),$A847,INDIRECT("'"&amp;'Template Setup'!$C$6&amp;"'!A:A")),0))</f>
        <v/>
      </c>
      <c r="J847" s="12" t="str">
        <f ca="1">IF($A847="","",IFERROR(SUMIF(INDIRECT("'"&amp;'Template Setup'!$C$7&amp;"'!C:C"),$A847,INDIRECT("'"&amp;'Template Setup'!$C$7&amp;"'!A:A")),0))</f>
        <v/>
      </c>
      <c r="K847" s="12" t="str">
        <f ca="1">IF($A847="","",IFERROR(SUMIF(INDIRECT("'"&amp;'Template Setup'!$C$8&amp;"'!C:C"),$A847,INDIRECT("'"&amp;'Template Setup'!$C$8&amp;"'!A:A")),0))</f>
        <v/>
      </c>
      <c r="L847" s="11" t="str">
        <f>IF($A847="","",IFERROR(VALUE(MID(TRIM('Template Setup'!$C$4),FIND("-",TRIM('Template Setup'!$C$4))+1,10)),0))</f>
        <v/>
      </c>
      <c r="M847" s="11" t="str">
        <f>IF($A847="","",IFERROR(VALUE(MID(TRIM('Template Setup'!$C$5),FIND("-",TRIM('Template Setup'!$C$5))+1,10)),0))</f>
        <v/>
      </c>
      <c r="N847" s="11" t="str">
        <f>IF($A847="","",IFERROR(VALUE(MID(TRIM('Template Setup'!$C$6),FIND("-",TRIM('Template Setup'!$C$6))+1,10)),0))</f>
        <v/>
      </c>
      <c r="O847" s="11" t="str">
        <f>IF($A847="","",IFERROR(VALUE(MID(TRIM('Template Setup'!$C$7),FIND("-",TRIM('Template Setup'!$C$7))+1,10)),0))</f>
        <v/>
      </c>
      <c r="P847" s="11" t="str">
        <f>IF($A847="","",IFERROR(VALUE(MID(TRIM('Template Setup'!$C$8),FIND("-",TRIM('Template Setup'!$C$8))+1,10)),0))</f>
        <v/>
      </c>
      <c r="Q847" s="9" t="str">
        <f>IF($A847="","",$A847&amp;"-"&amp;'Template Setup'!$C$16)</f>
        <v/>
      </c>
      <c r="R847" s="24" t="str">
        <f t="shared" si="53"/>
        <v/>
      </c>
      <c r="S847" s="24"/>
      <c r="T847" s="24" t="str">
        <f t="shared" si="54"/>
        <v/>
      </c>
      <c r="U847" s="6" t="str">
        <f t="shared" si="52"/>
        <v/>
      </c>
    </row>
    <row r="848" spans="1:21">
      <c r="A848" s="11"/>
      <c r="B848" s="11"/>
      <c r="C848" s="11"/>
      <c r="D848" s="11" t="str">
        <f>IF($A848="","",_xlfn.TEXTJOIN(", ",TRUE,IF($G848&gt;0,'Template Setup'!$C$4,""),IF($H848&gt;0,'Template Setup'!$C$5,""),IF($I848&gt;0,'Template Setup'!$C$6,""),IF($J848&gt;0,'Template Setup'!$C$7,""),IF($K848&gt;0,'Template Setup'!$C$8,"")))</f>
        <v/>
      </c>
      <c r="E848" s="6" t="str" cm="1">
        <f t="array" ref="E848">IF($A848="","",_xlfn.LET(_xlpm.sheets,CHOOSE({1,2,3,4,5},'Template Setup'!$C$4,'Template Setup'!$C$5,'Template Setup'!$C$6,'Template Setup'!$C$7,'Template Setup'!$C$8),_xlpm.nums,CHOOSE({1,2,3,4,5},$L848,$M848,$N848,$O848,$P848),_xlpm.qtys,CHOOSE({1,2,3,4,5},$G848,$H848,$I848,$J848,$K848),_xlpm.validNums,_xlfn._xlws.FILTER(_xlpm.nums,_xlpm.qtys&gt;0),_xlpm.validSheets,_xlfn._xlws.FILTER(_xlpm.sheets,_xlpm.qtys&gt;0),_xlpm.mx,IFERROR(MAX(_xlpm.validNums),0),IF(_xlpm.mx=0,"",INDEX(_xlpm.validSheets,MATCH(_xlpm.mx,_xlpm.validNums,0))&amp;" (+"&amp;$R848&amp;")")))</f>
        <v/>
      </c>
      <c r="F848" s="11" t="str">
        <f t="shared" si="55"/>
        <v/>
      </c>
      <c r="G848" s="12" t="str">
        <f ca="1">IF($A848="","",IFERROR(SUMIF(INDIRECT("'"&amp;'Template Setup'!$C$4&amp;"'!C:C"),$A848,INDIRECT("'"&amp;'Template Setup'!$C$4&amp;"'!A:A")),0))</f>
        <v/>
      </c>
      <c r="H848" s="12" t="str">
        <f ca="1">IF($A848="","",IFERROR(SUMIF(INDIRECT("'"&amp;'Template Setup'!$C$5&amp;"'!C:C"),$A848,INDIRECT("'"&amp;'Template Setup'!$C$5&amp;"'!A:A")),0))</f>
        <v/>
      </c>
      <c r="I848" s="12" t="str">
        <f ca="1">IF($A848="","",IFERROR(SUMIF(INDIRECT("'"&amp;'Template Setup'!$C$6&amp;"'!C:C"),$A848,INDIRECT("'"&amp;'Template Setup'!$C$6&amp;"'!A:A")),0))</f>
        <v/>
      </c>
      <c r="J848" s="12" t="str">
        <f ca="1">IF($A848="","",IFERROR(SUMIF(INDIRECT("'"&amp;'Template Setup'!$C$7&amp;"'!C:C"),$A848,INDIRECT("'"&amp;'Template Setup'!$C$7&amp;"'!A:A")),0))</f>
        <v/>
      </c>
      <c r="K848" s="12" t="str">
        <f ca="1">IF($A848="","",IFERROR(SUMIF(INDIRECT("'"&amp;'Template Setup'!$C$8&amp;"'!C:C"),$A848,INDIRECT("'"&amp;'Template Setup'!$C$8&amp;"'!A:A")),0))</f>
        <v/>
      </c>
      <c r="L848" s="11" t="str">
        <f>IF($A848="","",IFERROR(VALUE(MID(TRIM('Template Setup'!$C$4),FIND("-",TRIM('Template Setup'!$C$4))+1,10)),0))</f>
        <v/>
      </c>
      <c r="M848" s="11" t="str">
        <f>IF($A848="","",IFERROR(VALUE(MID(TRIM('Template Setup'!$C$5),FIND("-",TRIM('Template Setup'!$C$5))+1,10)),0))</f>
        <v/>
      </c>
      <c r="N848" s="11" t="str">
        <f>IF($A848="","",IFERROR(VALUE(MID(TRIM('Template Setup'!$C$6),FIND("-",TRIM('Template Setup'!$C$6))+1,10)),0))</f>
        <v/>
      </c>
      <c r="O848" s="11" t="str">
        <f>IF($A848="","",IFERROR(VALUE(MID(TRIM('Template Setup'!$C$7),FIND("-",TRIM('Template Setup'!$C$7))+1,10)),0))</f>
        <v/>
      </c>
      <c r="P848" s="11" t="str">
        <f>IF($A848="","",IFERROR(VALUE(MID(TRIM('Template Setup'!$C$8),FIND("-",TRIM('Template Setup'!$C$8))+1,10)),0))</f>
        <v/>
      </c>
      <c r="Q848" s="9" t="str">
        <f>IF($A848="","",$A848&amp;"-"&amp;'Template Setup'!$C$16)</f>
        <v/>
      </c>
      <c r="R848" s="24" t="str">
        <f t="shared" si="53"/>
        <v/>
      </c>
      <c r="S848" s="24"/>
      <c r="T848" s="24" t="str">
        <f t="shared" si="54"/>
        <v/>
      </c>
      <c r="U848" s="6" t="str">
        <f t="shared" si="52"/>
        <v/>
      </c>
    </row>
    <row r="849" spans="1:21">
      <c r="A849" s="11"/>
      <c r="B849" s="11"/>
      <c r="C849" s="11"/>
      <c r="D849" s="11" t="str">
        <f>IF($A849="","",_xlfn.TEXTJOIN(", ",TRUE,IF($G849&gt;0,'Template Setup'!$C$4,""),IF($H849&gt;0,'Template Setup'!$C$5,""),IF($I849&gt;0,'Template Setup'!$C$6,""),IF($J849&gt;0,'Template Setup'!$C$7,""),IF($K849&gt;0,'Template Setup'!$C$8,"")))</f>
        <v/>
      </c>
      <c r="E849" s="6" t="str" cm="1">
        <f t="array" ref="E849">IF($A849="","",_xlfn.LET(_xlpm.sheets,CHOOSE({1,2,3,4,5},'Template Setup'!$C$4,'Template Setup'!$C$5,'Template Setup'!$C$6,'Template Setup'!$C$7,'Template Setup'!$C$8),_xlpm.nums,CHOOSE({1,2,3,4,5},$L849,$M849,$N849,$O849,$P849),_xlpm.qtys,CHOOSE({1,2,3,4,5},$G849,$H849,$I849,$J849,$K849),_xlpm.validNums,_xlfn._xlws.FILTER(_xlpm.nums,_xlpm.qtys&gt;0),_xlpm.validSheets,_xlfn._xlws.FILTER(_xlpm.sheets,_xlpm.qtys&gt;0),_xlpm.mx,IFERROR(MAX(_xlpm.validNums),0),IF(_xlpm.mx=0,"",INDEX(_xlpm.validSheets,MATCH(_xlpm.mx,_xlpm.validNums,0))&amp;" (+"&amp;$R849&amp;")")))</f>
        <v/>
      </c>
      <c r="F849" s="11" t="str">
        <f t="shared" si="55"/>
        <v/>
      </c>
      <c r="G849" s="12" t="str">
        <f ca="1">IF($A849="","",IFERROR(SUMIF(INDIRECT("'"&amp;'Template Setup'!$C$4&amp;"'!C:C"),$A849,INDIRECT("'"&amp;'Template Setup'!$C$4&amp;"'!A:A")),0))</f>
        <v/>
      </c>
      <c r="H849" s="12" t="str">
        <f ca="1">IF($A849="","",IFERROR(SUMIF(INDIRECT("'"&amp;'Template Setup'!$C$5&amp;"'!C:C"),$A849,INDIRECT("'"&amp;'Template Setup'!$C$5&amp;"'!A:A")),0))</f>
        <v/>
      </c>
      <c r="I849" s="12" t="str">
        <f ca="1">IF($A849="","",IFERROR(SUMIF(INDIRECT("'"&amp;'Template Setup'!$C$6&amp;"'!C:C"),$A849,INDIRECT("'"&amp;'Template Setup'!$C$6&amp;"'!A:A")),0))</f>
        <v/>
      </c>
      <c r="J849" s="12" t="str">
        <f ca="1">IF($A849="","",IFERROR(SUMIF(INDIRECT("'"&amp;'Template Setup'!$C$7&amp;"'!C:C"),$A849,INDIRECT("'"&amp;'Template Setup'!$C$7&amp;"'!A:A")),0))</f>
        <v/>
      </c>
      <c r="K849" s="12" t="str">
        <f ca="1">IF($A849="","",IFERROR(SUMIF(INDIRECT("'"&amp;'Template Setup'!$C$8&amp;"'!C:C"),$A849,INDIRECT("'"&amp;'Template Setup'!$C$8&amp;"'!A:A")),0))</f>
        <v/>
      </c>
      <c r="L849" s="11" t="str">
        <f>IF($A849="","",IFERROR(VALUE(MID(TRIM('Template Setup'!$C$4),FIND("-",TRIM('Template Setup'!$C$4))+1,10)),0))</f>
        <v/>
      </c>
      <c r="M849" s="11" t="str">
        <f>IF($A849="","",IFERROR(VALUE(MID(TRIM('Template Setup'!$C$5),FIND("-",TRIM('Template Setup'!$C$5))+1,10)),0))</f>
        <v/>
      </c>
      <c r="N849" s="11" t="str">
        <f>IF($A849="","",IFERROR(VALUE(MID(TRIM('Template Setup'!$C$6),FIND("-",TRIM('Template Setup'!$C$6))+1,10)),0))</f>
        <v/>
      </c>
      <c r="O849" s="11" t="str">
        <f>IF($A849="","",IFERROR(VALUE(MID(TRIM('Template Setup'!$C$7),FIND("-",TRIM('Template Setup'!$C$7))+1,10)),0))</f>
        <v/>
      </c>
      <c r="P849" s="11" t="str">
        <f>IF($A849="","",IFERROR(VALUE(MID(TRIM('Template Setup'!$C$8),FIND("-",TRIM('Template Setup'!$C$8))+1,10)),0))</f>
        <v/>
      </c>
      <c r="Q849" s="9" t="str">
        <f>IF($A849="","",$A849&amp;"-"&amp;'Template Setup'!$C$16)</f>
        <v/>
      </c>
      <c r="R849" s="24" t="str">
        <f t="shared" si="53"/>
        <v/>
      </c>
      <c r="S849" s="24"/>
      <c r="T849" s="24" t="str">
        <f t="shared" si="54"/>
        <v/>
      </c>
      <c r="U849" s="6" t="str">
        <f t="shared" si="52"/>
        <v/>
      </c>
    </row>
    <row r="850" spans="1:21">
      <c r="A850" s="11"/>
      <c r="B850" s="11"/>
      <c r="C850" s="11"/>
      <c r="D850" s="11" t="str">
        <f>IF($A850="","",_xlfn.TEXTJOIN(", ",TRUE,IF($G850&gt;0,'Template Setup'!$C$4,""),IF($H850&gt;0,'Template Setup'!$C$5,""),IF($I850&gt;0,'Template Setup'!$C$6,""),IF($J850&gt;0,'Template Setup'!$C$7,""),IF($K850&gt;0,'Template Setup'!$C$8,"")))</f>
        <v/>
      </c>
      <c r="E850" s="6" t="str" cm="1">
        <f t="array" ref="E850">IF($A850="","",_xlfn.LET(_xlpm.sheets,CHOOSE({1,2,3,4,5},'Template Setup'!$C$4,'Template Setup'!$C$5,'Template Setup'!$C$6,'Template Setup'!$C$7,'Template Setup'!$C$8),_xlpm.nums,CHOOSE({1,2,3,4,5},$L850,$M850,$N850,$O850,$P850),_xlpm.qtys,CHOOSE({1,2,3,4,5},$G850,$H850,$I850,$J850,$K850),_xlpm.validNums,_xlfn._xlws.FILTER(_xlpm.nums,_xlpm.qtys&gt;0),_xlpm.validSheets,_xlfn._xlws.FILTER(_xlpm.sheets,_xlpm.qtys&gt;0),_xlpm.mx,IFERROR(MAX(_xlpm.validNums),0),IF(_xlpm.mx=0,"",INDEX(_xlpm.validSheets,MATCH(_xlpm.mx,_xlpm.validNums,0))&amp;" (+"&amp;$R850&amp;")")))</f>
        <v/>
      </c>
      <c r="F850" s="11" t="str">
        <f t="shared" si="55"/>
        <v/>
      </c>
      <c r="G850" s="12" t="str">
        <f ca="1">IF($A850="","",IFERROR(SUMIF(INDIRECT("'"&amp;'Template Setup'!$C$4&amp;"'!C:C"),$A850,INDIRECT("'"&amp;'Template Setup'!$C$4&amp;"'!A:A")),0))</f>
        <v/>
      </c>
      <c r="H850" s="12" t="str">
        <f ca="1">IF($A850="","",IFERROR(SUMIF(INDIRECT("'"&amp;'Template Setup'!$C$5&amp;"'!C:C"),$A850,INDIRECT("'"&amp;'Template Setup'!$C$5&amp;"'!A:A")),0))</f>
        <v/>
      </c>
      <c r="I850" s="12" t="str">
        <f ca="1">IF($A850="","",IFERROR(SUMIF(INDIRECT("'"&amp;'Template Setup'!$C$6&amp;"'!C:C"),$A850,INDIRECT("'"&amp;'Template Setup'!$C$6&amp;"'!A:A")),0))</f>
        <v/>
      </c>
      <c r="J850" s="12" t="str">
        <f ca="1">IF($A850="","",IFERROR(SUMIF(INDIRECT("'"&amp;'Template Setup'!$C$7&amp;"'!C:C"),$A850,INDIRECT("'"&amp;'Template Setup'!$C$7&amp;"'!A:A")),0))</f>
        <v/>
      </c>
      <c r="K850" s="12" t="str">
        <f ca="1">IF($A850="","",IFERROR(SUMIF(INDIRECT("'"&amp;'Template Setup'!$C$8&amp;"'!C:C"),$A850,INDIRECT("'"&amp;'Template Setup'!$C$8&amp;"'!A:A")),0))</f>
        <v/>
      </c>
      <c r="L850" s="11" t="str">
        <f>IF($A850="","",IFERROR(VALUE(MID(TRIM('Template Setup'!$C$4),FIND("-",TRIM('Template Setup'!$C$4))+1,10)),0))</f>
        <v/>
      </c>
      <c r="M850" s="11" t="str">
        <f>IF($A850="","",IFERROR(VALUE(MID(TRIM('Template Setup'!$C$5),FIND("-",TRIM('Template Setup'!$C$5))+1,10)),0))</f>
        <v/>
      </c>
      <c r="N850" s="11" t="str">
        <f>IF($A850="","",IFERROR(VALUE(MID(TRIM('Template Setup'!$C$6),FIND("-",TRIM('Template Setup'!$C$6))+1,10)),0))</f>
        <v/>
      </c>
      <c r="O850" s="11" t="str">
        <f>IF($A850="","",IFERROR(VALUE(MID(TRIM('Template Setup'!$C$7),FIND("-",TRIM('Template Setup'!$C$7))+1,10)),0))</f>
        <v/>
      </c>
      <c r="P850" s="11" t="str">
        <f>IF($A850="","",IFERROR(VALUE(MID(TRIM('Template Setup'!$C$8),FIND("-",TRIM('Template Setup'!$C$8))+1,10)),0))</f>
        <v/>
      </c>
      <c r="Q850" s="9" t="str">
        <f>IF($A850="","",$A850&amp;"-"&amp;'Template Setup'!$C$16)</f>
        <v/>
      </c>
      <c r="R850" s="24" t="str">
        <f t="shared" si="53"/>
        <v/>
      </c>
      <c r="S850" s="24"/>
      <c r="T850" s="24" t="str">
        <f t="shared" si="54"/>
        <v/>
      </c>
      <c r="U850" s="6" t="str">
        <f t="shared" ref="U850:U913" si="56">IF($A850="","","☐")</f>
        <v/>
      </c>
    </row>
    <row r="851" spans="1:21">
      <c r="A851" s="11"/>
      <c r="B851" s="11"/>
      <c r="C851" s="11"/>
      <c r="D851" s="11" t="str">
        <f>IF($A851="","",_xlfn.TEXTJOIN(", ",TRUE,IF($G851&gt;0,'Template Setup'!$C$4,""),IF($H851&gt;0,'Template Setup'!$C$5,""),IF($I851&gt;0,'Template Setup'!$C$6,""),IF($J851&gt;0,'Template Setup'!$C$7,""),IF($K851&gt;0,'Template Setup'!$C$8,"")))</f>
        <v/>
      </c>
      <c r="E851" s="6" t="str" cm="1">
        <f t="array" ref="E851">IF($A851="","",_xlfn.LET(_xlpm.sheets,CHOOSE({1,2,3,4,5},'Template Setup'!$C$4,'Template Setup'!$C$5,'Template Setup'!$C$6,'Template Setup'!$C$7,'Template Setup'!$C$8),_xlpm.nums,CHOOSE({1,2,3,4,5},$L851,$M851,$N851,$O851,$P851),_xlpm.qtys,CHOOSE({1,2,3,4,5},$G851,$H851,$I851,$J851,$K851),_xlpm.validNums,_xlfn._xlws.FILTER(_xlpm.nums,_xlpm.qtys&gt;0),_xlpm.validSheets,_xlfn._xlws.FILTER(_xlpm.sheets,_xlpm.qtys&gt;0),_xlpm.mx,IFERROR(MAX(_xlpm.validNums),0),IF(_xlpm.mx=0,"",INDEX(_xlpm.validSheets,MATCH(_xlpm.mx,_xlpm.validNums,0))&amp;" (+"&amp;$R851&amp;")")))</f>
        <v/>
      </c>
      <c r="F851" s="11" t="str">
        <f t="shared" si="55"/>
        <v/>
      </c>
      <c r="G851" s="12" t="str">
        <f ca="1">IF($A851="","",IFERROR(SUMIF(INDIRECT("'"&amp;'Template Setup'!$C$4&amp;"'!C:C"),$A851,INDIRECT("'"&amp;'Template Setup'!$C$4&amp;"'!A:A")),0))</f>
        <v/>
      </c>
      <c r="H851" s="12" t="str">
        <f ca="1">IF($A851="","",IFERROR(SUMIF(INDIRECT("'"&amp;'Template Setup'!$C$5&amp;"'!C:C"),$A851,INDIRECT("'"&amp;'Template Setup'!$C$5&amp;"'!A:A")),0))</f>
        <v/>
      </c>
      <c r="I851" s="12" t="str">
        <f ca="1">IF($A851="","",IFERROR(SUMIF(INDIRECT("'"&amp;'Template Setup'!$C$6&amp;"'!C:C"),$A851,INDIRECT("'"&amp;'Template Setup'!$C$6&amp;"'!A:A")),0))</f>
        <v/>
      </c>
      <c r="J851" s="12" t="str">
        <f ca="1">IF($A851="","",IFERROR(SUMIF(INDIRECT("'"&amp;'Template Setup'!$C$7&amp;"'!C:C"),$A851,INDIRECT("'"&amp;'Template Setup'!$C$7&amp;"'!A:A")),0))</f>
        <v/>
      </c>
      <c r="K851" s="12" t="str">
        <f ca="1">IF($A851="","",IFERROR(SUMIF(INDIRECT("'"&amp;'Template Setup'!$C$8&amp;"'!C:C"),$A851,INDIRECT("'"&amp;'Template Setup'!$C$8&amp;"'!A:A")),0))</f>
        <v/>
      </c>
      <c r="L851" s="11" t="str">
        <f>IF($A851="","",IFERROR(VALUE(MID(TRIM('Template Setup'!$C$4),FIND("-",TRIM('Template Setup'!$C$4))+1,10)),0))</f>
        <v/>
      </c>
      <c r="M851" s="11" t="str">
        <f>IF($A851="","",IFERROR(VALUE(MID(TRIM('Template Setup'!$C$5),FIND("-",TRIM('Template Setup'!$C$5))+1,10)),0))</f>
        <v/>
      </c>
      <c r="N851" s="11" t="str">
        <f>IF($A851="","",IFERROR(VALUE(MID(TRIM('Template Setup'!$C$6),FIND("-",TRIM('Template Setup'!$C$6))+1,10)),0))</f>
        <v/>
      </c>
      <c r="O851" s="11" t="str">
        <f>IF($A851="","",IFERROR(VALUE(MID(TRIM('Template Setup'!$C$7),FIND("-",TRIM('Template Setup'!$C$7))+1,10)),0))</f>
        <v/>
      </c>
      <c r="P851" s="11" t="str">
        <f>IF($A851="","",IFERROR(VALUE(MID(TRIM('Template Setup'!$C$8),FIND("-",TRIM('Template Setup'!$C$8))+1,10)),0))</f>
        <v/>
      </c>
      <c r="Q851" s="9" t="str">
        <f>IF($A851="","",$A851&amp;"-"&amp;'Template Setup'!$C$16)</f>
        <v/>
      </c>
      <c r="R851" s="24" t="str">
        <f t="shared" si="53"/>
        <v/>
      </c>
      <c r="S851" s="24"/>
      <c r="T851" s="24" t="str">
        <f t="shared" si="54"/>
        <v/>
      </c>
      <c r="U851" s="6" t="str">
        <f t="shared" si="56"/>
        <v/>
      </c>
    </row>
    <row r="852" spans="1:21">
      <c r="A852" s="11"/>
      <c r="B852" s="11"/>
      <c r="C852" s="11"/>
      <c r="D852" s="11" t="str">
        <f>IF($A852="","",_xlfn.TEXTJOIN(", ",TRUE,IF($G852&gt;0,'Template Setup'!$C$4,""),IF($H852&gt;0,'Template Setup'!$C$5,""),IF($I852&gt;0,'Template Setup'!$C$6,""),IF($J852&gt;0,'Template Setup'!$C$7,""),IF($K852&gt;0,'Template Setup'!$C$8,"")))</f>
        <v/>
      </c>
      <c r="E852" s="6" t="str" cm="1">
        <f t="array" ref="E852">IF($A852="","",_xlfn.LET(_xlpm.sheets,CHOOSE({1,2,3,4,5},'Template Setup'!$C$4,'Template Setup'!$C$5,'Template Setup'!$C$6,'Template Setup'!$C$7,'Template Setup'!$C$8),_xlpm.nums,CHOOSE({1,2,3,4,5},$L852,$M852,$N852,$O852,$P852),_xlpm.qtys,CHOOSE({1,2,3,4,5},$G852,$H852,$I852,$J852,$K852),_xlpm.validNums,_xlfn._xlws.FILTER(_xlpm.nums,_xlpm.qtys&gt;0),_xlpm.validSheets,_xlfn._xlws.FILTER(_xlpm.sheets,_xlpm.qtys&gt;0),_xlpm.mx,IFERROR(MAX(_xlpm.validNums),0),IF(_xlpm.mx=0,"",INDEX(_xlpm.validSheets,MATCH(_xlpm.mx,_xlpm.validNums,0))&amp;" (+"&amp;$R852&amp;")")))</f>
        <v/>
      </c>
      <c r="F852" s="11" t="str">
        <f t="shared" si="55"/>
        <v/>
      </c>
      <c r="G852" s="12" t="str">
        <f ca="1">IF($A852="","",IFERROR(SUMIF(INDIRECT("'"&amp;'Template Setup'!$C$4&amp;"'!C:C"),$A852,INDIRECT("'"&amp;'Template Setup'!$C$4&amp;"'!A:A")),0))</f>
        <v/>
      </c>
      <c r="H852" s="12" t="str">
        <f ca="1">IF($A852="","",IFERROR(SUMIF(INDIRECT("'"&amp;'Template Setup'!$C$5&amp;"'!C:C"),$A852,INDIRECT("'"&amp;'Template Setup'!$C$5&amp;"'!A:A")),0))</f>
        <v/>
      </c>
      <c r="I852" s="12" t="str">
        <f ca="1">IF($A852="","",IFERROR(SUMIF(INDIRECT("'"&amp;'Template Setup'!$C$6&amp;"'!C:C"),$A852,INDIRECT("'"&amp;'Template Setup'!$C$6&amp;"'!A:A")),0))</f>
        <v/>
      </c>
      <c r="J852" s="12" t="str">
        <f ca="1">IF($A852="","",IFERROR(SUMIF(INDIRECT("'"&amp;'Template Setup'!$C$7&amp;"'!C:C"),$A852,INDIRECT("'"&amp;'Template Setup'!$C$7&amp;"'!A:A")),0))</f>
        <v/>
      </c>
      <c r="K852" s="12" t="str">
        <f ca="1">IF($A852="","",IFERROR(SUMIF(INDIRECT("'"&amp;'Template Setup'!$C$8&amp;"'!C:C"),$A852,INDIRECT("'"&amp;'Template Setup'!$C$8&amp;"'!A:A")),0))</f>
        <v/>
      </c>
      <c r="L852" s="11" t="str">
        <f>IF($A852="","",IFERROR(VALUE(MID(TRIM('Template Setup'!$C$4),FIND("-",TRIM('Template Setup'!$C$4))+1,10)),0))</f>
        <v/>
      </c>
      <c r="M852" s="11" t="str">
        <f>IF($A852="","",IFERROR(VALUE(MID(TRIM('Template Setup'!$C$5),FIND("-",TRIM('Template Setup'!$C$5))+1,10)),0))</f>
        <v/>
      </c>
      <c r="N852" s="11" t="str">
        <f>IF($A852="","",IFERROR(VALUE(MID(TRIM('Template Setup'!$C$6),FIND("-",TRIM('Template Setup'!$C$6))+1,10)),0))</f>
        <v/>
      </c>
      <c r="O852" s="11" t="str">
        <f>IF($A852="","",IFERROR(VALUE(MID(TRIM('Template Setup'!$C$7),FIND("-",TRIM('Template Setup'!$C$7))+1,10)),0))</f>
        <v/>
      </c>
      <c r="P852" s="11" t="str">
        <f>IF($A852="","",IFERROR(VALUE(MID(TRIM('Template Setup'!$C$8),FIND("-",TRIM('Template Setup'!$C$8))+1,10)),0))</f>
        <v/>
      </c>
      <c r="Q852" s="9" t="str">
        <f>IF($A852="","",$A852&amp;"-"&amp;'Template Setup'!$C$16)</f>
        <v/>
      </c>
      <c r="R852" s="24" t="str">
        <f t="shared" si="53"/>
        <v/>
      </c>
      <c r="S852" s="24"/>
      <c r="T852" s="24" t="str">
        <f t="shared" si="54"/>
        <v/>
      </c>
      <c r="U852" s="6" t="str">
        <f t="shared" si="56"/>
        <v/>
      </c>
    </row>
    <row r="853" spans="1:21">
      <c r="A853" s="11"/>
      <c r="B853" s="11"/>
      <c r="C853" s="11"/>
      <c r="D853" s="11" t="str">
        <f>IF($A853="","",_xlfn.TEXTJOIN(", ",TRUE,IF($G853&gt;0,'Template Setup'!$C$4,""),IF($H853&gt;0,'Template Setup'!$C$5,""),IF($I853&gt;0,'Template Setup'!$C$6,""),IF($J853&gt;0,'Template Setup'!$C$7,""),IF($K853&gt;0,'Template Setup'!$C$8,"")))</f>
        <v/>
      </c>
      <c r="E853" s="6" t="str" cm="1">
        <f t="array" ref="E853">IF($A853="","",_xlfn.LET(_xlpm.sheets,CHOOSE({1,2,3,4,5},'Template Setup'!$C$4,'Template Setup'!$C$5,'Template Setup'!$C$6,'Template Setup'!$C$7,'Template Setup'!$C$8),_xlpm.nums,CHOOSE({1,2,3,4,5},$L853,$M853,$N853,$O853,$P853),_xlpm.qtys,CHOOSE({1,2,3,4,5},$G853,$H853,$I853,$J853,$K853),_xlpm.validNums,_xlfn._xlws.FILTER(_xlpm.nums,_xlpm.qtys&gt;0),_xlpm.validSheets,_xlfn._xlws.FILTER(_xlpm.sheets,_xlpm.qtys&gt;0),_xlpm.mx,IFERROR(MAX(_xlpm.validNums),0),IF(_xlpm.mx=0,"",INDEX(_xlpm.validSheets,MATCH(_xlpm.mx,_xlpm.validNums,0))&amp;" (+"&amp;$R853&amp;")")))</f>
        <v/>
      </c>
      <c r="F853" s="11" t="str">
        <f t="shared" si="55"/>
        <v/>
      </c>
      <c r="G853" s="12" t="str">
        <f ca="1">IF($A853="","",IFERROR(SUMIF(INDIRECT("'"&amp;'Template Setup'!$C$4&amp;"'!C:C"),$A853,INDIRECT("'"&amp;'Template Setup'!$C$4&amp;"'!A:A")),0))</f>
        <v/>
      </c>
      <c r="H853" s="12" t="str">
        <f ca="1">IF($A853="","",IFERROR(SUMIF(INDIRECT("'"&amp;'Template Setup'!$C$5&amp;"'!C:C"),$A853,INDIRECT("'"&amp;'Template Setup'!$C$5&amp;"'!A:A")),0))</f>
        <v/>
      </c>
      <c r="I853" s="12" t="str">
        <f ca="1">IF($A853="","",IFERROR(SUMIF(INDIRECT("'"&amp;'Template Setup'!$C$6&amp;"'!C:C"),$A853,INDIRECT("'"&amp;'Template Setup'!$C$6&amp;"'!A:A")),0))</f>
        <v/>
      </c>
      <c r="J853" s="12" t="str">
        <f ca="1">IF($A853="","",IFERROR(SUMIF(INDIRECT("'"&amp;'Template Setup'!$C$7&amp;"'!C:C"),$A853,INDIRECT("'"&amp;'Template Setup'!$C$7&amp;"'!A:A")),0))</f>
        <v/>
      </c>
      <c r="K853" s="12" t="str">
        <f ca="1">IF($A853="","",IFERROR(SUMIF(INDIRECT("'"&amp;'Template Setup'!$C$8&amp;"'!C:C"),$A853,INDIRECT("'"&amp;'Template Setup'!$C$8&amp;"'!A:A")),0))</f>
        <v/>
      </c>
      <c r="L853" s="11" t="str">
        <f>IF($A853="","",IFERROR(VALUE(MID(TRIM('Template Setup'!$C$4),FIND("-",TRIM('Template Setup'!$C$4))+1,10)),0))</f>
        <v/>
      </c>
      <c r="M853" s="11" t="str">
        <f>IF($A853="","",IFERROR(VALUE(MID(TRIM('Template Setup'!$C$5),FIND("-",TRIM('Template Setup'!$C$5))+1,10)),0))</f>
        <v/>
      </c>
      <c r="N853" s="11" t="str">
        <f>IF($A853="","",IFERROR(VALUE(MID(TRIM('Template Setup'!$C$6),FIND("-",TRIM('Template Setup'!$C$6))+1,10)),0))</f>
        <v/>
      </c>
      <c r="O853" s="11" t="str">
        <f>IF($A853="","",IFERROR(VALUE(MID(TRIM('Template Setup'!$C$7),FIND("-",TRIM('Template Setup'!$C$7))+1,10)),0))</f>
        <v/>
      </c>
      <c r="P853" s="11" t="str">
        <f>IF($A853="","",IFERROR(VALUE(MID(TRIM('Template Setup'!$C$8),FIND("-",TRIM('Template Setup'!$C$8))+1,10)),0))</f>
        <v/>
      </c>
      <c r="Q853" s="9" t="str">
        <f>IF($A853="","",$A853&amp;"-"&amp;'Template Setup'!$C$16)</f>
        <v/>
      </c>
      <c r="R853" s="24" t="str">
        <f t="shared" si="53"/>
        <v/>
      </c>
      <c r="S853" s="24"/>
      <c r="T853" s="24" t="str">
        <f t="shared" si="54"/>
        <v/>
      </c>
      <c r="U853" s="6" t="str">
        <f t="shared" si="56"/>
        <v/>
      </c>
    </row>
    <row r="854" spans="1:21">
      <c r="A854" s="11"/>
      <c r="B854" s="11"/>
      <c r="C854" s="11"/>
      <c r="D854" s="11" t="str">
        <f>IF($A854="","",_xlfn.TEXTJOIN(", ",TRUE,IF($G854&gt;0,'Template Setup'!$C$4,""),IF($H854&gt;0,'Template Setup'!$C$5,""),IF($I854&gt;0,'Template Setup'!$C$6,""),IF($J854&gt;0,'Template Setup'!$C$7,""),IF($K854&gt;0,'Template Setup'!$C$8,"")))</f>
        <v/>
      </c>
      <c r="E854" s="6" t="str" cm="1">
        <f t="array" ref="E854">IF($A854="","",_xlfn.LET(_xlpm.sheets,CHOOSE({1,2,3,4,5},'Template Setup'!$C$4,'Template Setup'!$C$5,'Template Setup'!$C$6,'Template Setup'!$C$7,'Template Setup'!$C$8),_xlpm.nums,CHOOSE({1,2,3,4,5},$L854,$M854,$N854,$O854,$P854),_xlpm.qtys,CHOOSE({1,2,3,4,5},$G854,$H854,$I854,$J854,$K854),_xlpm.validNums,_xlfn._xlws.FILTER(_xlpm.nums,_xlpm.qtys&gt;0),_xlpm.validSheets,_xlfn._xlws.FILTER(_xlpm.sheets,_xlpm.qtys&gt;0),_xlpm.mx,IFERROR(MAX(_xlpm.validNums),0),IF(_xlpm.mx=0,"",INDEX(_xlpm.validSheets,MATCH(_xlpm.mx,_xlpm.validNums,0))&amp;" (+"&amp;$R854&amp;")")))</f>
        <v/>
      </c>
      <c r="F854" s="11" t="str">
        <f t="shared" si="55"/>
        <v/>
      </c>
      <c r="G854" s="12" t="str">
        <f ca="1">IF($A854="","",IFERROR(SUMIF(INDIRECT("'"&amp;'Template Setup'!$C$4&amp;"'!C:C"),$A854,INDIRECT("'"&amp;'Template Setup'!$C$4&amp;"'!A:A")),0))</f>
        <v/>
      </c>
      <c r="H854" s="12" t="str">
        <f ca="1">IF($A854="","",IFERROR(SUMIF(INDIRECT("'"&amp;'Template Setup'!$C$5&amp;"'!C:C"),$A854,INDIRECT("'"&amp;'Template Setup'!$C$5&amp;"'!A:A")),0))</f>
        <v/>
      </c>
      <c r="I854" s="12" t="str">
        <f ca="1">IF($A854="","",IFERROR(SUMIF(INDIRECT("'"&amp;'Template Setup'!$C$6&amp;"'!C:C"),$A854,INDIRECT("'"&amp;'Template Setup'!$C$6&amp;"'!A:A")),0))</f>
        <v/>
      </c>
      <c r="J854" s="12" t="str">
        <f ca="1">IF($A854="","",IFERROR(SUMIF(INDIRECT("'"&amp;'Template Setup'!$C$7&amp;"'!C:C"),$A854,INDIRECT("'"&amp;'Template Setup'!$C$7&amp;"'!A:A")),0))</f>
        <v/>
      </c>
      <c r="K854" s="12" t="str">
        <f ca="1">IF($A854="","",IFERROR(SUMIF(INDIRECT("'"&amp;'Template Setup'!$C$8&amp;"'!C:C"),$A854,INDIRECT("'"&amp;'Template Setup'!$C$8&amp;"'!A:A")),0))</f>
        <v/>
      </c>
      <c r="L854" s="11" t="str">
        <f>IF($A854="","",IFERROR(VALUE(MID(TRIM('Template Setup'!$C$4),FIND("-",TRIM('Template Setup'!$C$4))+1,10)),0))</f>
        <v/>
      </c>
      <c r="M854" s="11" t="str">
        <f>IF($A854="","",IFERROR(VALUE(MID(TRIM('Template Setup'!$C$5),FIND("-",TRIM('Template Setup'!$C$5))+1,10)),0))</f>
        <v/>
      </c>
      <c r="N854" s="11" t="str">
        <f>IF($A854="","",IFERROR(VALUE(MID(TRIM('Template Setup'!$C$6),FIND("-",TRIM('Template Setup'!$C$6))+1,10)),0))</f>
        <v/>
      </c>
      <c r="O854" s="11" t="str">
        <f>IF($A854="","",IFERROR(VALUE(MID(TRIM('Template Setup'!$C$7),FIND("-",TRIM('Template Setup'!$C$7))+1,10)),0))</f>
        <v/>
      </c>
      <c r="P854" s="11" t="str">
        <f>IF($A854="","",IFERROR(VALUE(MID(TRIM('Template Setup'!$C$8),FIND("-",TRIM('Template Setup'!$C$8))+1,10)),0))</f>
        <v/>
      </c>
      <c r="Q854" s="9" t="str">
        <f>IF($A854="","",$A854&amp;"-"&amp;'Template Setup'!$C$16)</f>
        <v/>
      </c>
      <c r="R854" s="24" t="str">
        <f t="shared" si="53"/>
        <v/>
      </c>
      <c r="S854" s="24"/>
      <c r="T854" s="24" t="str">
        <f t="shared" si="54"/>
        <v/>
      </c>
      <c r="U854" s="6" t="str">
        <f t="shared" si="56"/>
        <v/>
      </c>
    </row>
    <row r="855" spans="1:21">
      <c r="A855" s="11"/>
      <c r="B855" s="11"/>
      <c r="C855" s="11"/>
      <c r="D855" s="11" t="str">
        <f>IF($A855="","",_xlfn.TEXTJOIN(", ",TRUE,IF($G855&gt;0,'Template Setup'!$C$4,""),IF($H855&gt;0,'Template Setup'!$C$5,""),IF($I855&gt;0,'Template Setup'!$C$6,""),IF($J855&gt;0,'Template Setup'!$C$7,""),IF($K855&gt;0,'Template Setup'!$C$8,"")))</f>
        <v/>
      </c>
      <c r="E855" s="6" t="str" cm="1">
        <f t="array" ref="E855">IF($A855="","",_xlfn.LET(_xlpm.sheets,CHOOSE({1,2,3,4,5},'Template Setup'!$C$4,'Template Setup'!$C$5,'Template Setup'!$C$6,'Template Setup'!$C$7,'Template Setup'!$C$8),_xlpm.nums,CHOOSE({1,2,3,4,5},$L855,$M855,$N855,$O855,$P855),_xlpm.qtys,CHOOSE({1,2,3,4,5},$G855,$H855,$I855,$J855,$K855),_xlpm.validNums,_xlfn._xlws.FILTER(_xlpm.nums,_xlpm.qtys&gt;0),_xlpm.validSheets,_xlfn._xlws.FILTER(_xlpm.sheets,_xlpm.qtys&gt;0),_xlpm.mx,IFERROR(MAX(_xlpm.validNums),0),IF(_xlpm.mx=0,"",INDEX(_xlpm.validSheets,MATCH(_xlpm.mx,_xlpm.validNums,0))&amp;" (+"&amp;$R855&amp;")")))</f>
        <v/>
      </c>
      <c r="F855" s="11" t="str">
        <f t="shared" si="55"/>
        <v/>
      </c>
      <c r="G855" s="12" t="str">
        <f ca="1">IF($A855="","",IFERROR(SUMIF(INDIRECT("'"&amp;'Template Setup'!$C$4&amp;"'!C:C"),$A855,INDIRECT("'"&amp;'Template Setup'!$C$4&amp;"'!A:A")),0))</f>
        <v/>
      </c>
      <c r="H855" s="12" t="str">
        <f ca="1">IF($A855="","",IFERROR(SUMIF(INDIRECT("'"&amp;'Template Setup'!$C$5&amp;"'!C:C"),$A855,INDIRECT("'"&amp;'Template Setup'!$C$5&amp;"'!A:A")),0))</f>
        <v/>
      </c>
      <c r="I855" s="12" t="str">
        <f ca="1">IF($A855="","",IFERROR(SUMIF(INDIRECT("'"&amp;'Template Setup'!$C$6&amp;"'!C:C"),$A855,INDIRECT("'"&amp;'Template Setup'!$C$6&amp;"'!A:A")),0))</f>
        <v/>
      </c>
      <c r="J855" s="12" t="str">
        <f ca="1">IF($A855="","",IFERROR(SUMIF(INDIRECT("'"&amp;'Template Setup'!$C$7&amp;"'!C:C"),$A855,INDIRECT("'"&amp;'Template Setup'!$C$7&amp;"'!A:A")),0))</f>
        <v/>
      </c>
      <c r="K855" s="12" t="str">
        <f ca="1">IF($A855="","",IFERROR(SUMIF(INDIRECT("'"&amp;'Template Setup'!$C$8&amp;"'!C:C"),$A855,INDIRECT("'"&amp;'Template Setup'!$C$8&amp;"'!A:A")),0))</f>
        <v/>
      </c>
      <c r="L855" s="11" t="str">
        <f>IF($A855="","",IFERROR(VALUE(MID(TRIM('Template Setup'!$C$4),FIND("-",TRIM('Template Setup'!$C$4))+1,10)),0))</f>
        <v/>
      </c>
      <c r="M855" s="11" t="str">
        <f>IF($A855="","",IFERROR(VALUE(MID(TRIM('Template Setup'!$C$5),FIND("-",TRIM('Template Setup'!$C$5))+1,10)),0))</f>
        <v/>
      </c>
      <c r="N855" s="11" t="str">
        <f>IF($A855="","",IFERROR(VALUE(MID(TRIM('Template Setup'!$C$6),FIND("-",TRIM('Template Setup'!$C$6))+1,10)),0))</f>
        <v/>
      </c>
      <c r="O855" s="11" t="str">
        <f>IF($A855="","",IFERROR(VALUE(MID(TRIM('Template Setup'!$C$7),FIND("-",TRIM('Template Setup'!$C$7))+1,10)),0))</f>
        <v/>
      </c>
      <c r="P855" s="11" t="str">
        <f>IF($A855="","",IFERROR(VALUE(MID(TRIM('Template Setup'!$C$8),FIND("-",TRIM('Template Setup'!$C$8))+1,10)),0))</f>
        <v/>
      </c>
      <c r="Q855" s="9" t="str">
        <f>IF($A855="","",$A855&amp;"-"&amp;'Template Setup'!$C$16)</f>
        <v/>
      </c>
      <c r="R855" s="24" t="str">
        <f t="shared" si="53"/>
        <v/>
      </c>
      <c r="S855" s="24"/>
      <c r="T855" s="24" t="str">
        <f t="shared" si="54"/>
        <v/>
      </c>
      <c r="U855" s="6" t="str">
        <f t="shared" si="56"/>
        <v/>
      </c>
    </row>
    <row r="856" spans="1:21">
      <c r="A856" s="11"/>
      <c r="B856" s="11"/>
      <c r="C856" s="11"/>
      <c r="D856" s="11" t="str">
        <f>IF($A856="","",_xlfn.TEXTJOIN(", ",TRUE,IF($G856&gt;0,'Template Setup'!$C$4,""),IF($H856&gt;0,'Template Setup'!$C$5,""),IF($I856&gt;0,'Template Setup'!$C$6,""),IF($J856&gt;0,'Template Setup'!$C$7,""),IF($K856&gt;0,'Template Setup'!$C$8,"")))</f>
        <v/>
      </c>
      <c r="E856" s="6" t="str" cm="1">
        <f t="array" ref="E856">IF($A856="","",_xlfn.LET(_xlpm.sheets,CHOOSE({1,2,3,4,5},'Template Setup'!$C$4,'Template Setup'!$C$5,'Template Setup'!$C$6,'Template Setup'!$C$7,'Template Setup'!$C$8),_xlpm.nums,CHOOSE({1,2,3,4,5},$L856,$M856,$N856,$O856,$P856),_xlpm.qtys,CHOOSE({1,2,3,4,5},$G856,$H856,$I856,$J856,$K856),_xlpm.validNums,_xlfn._xlws.FILTER(_xlpm.nums,_xlpm.qtys&gt;0),_xlpm.validSheets,_xlfn._xlws.FILTER(_xlpm.sheets,_xlpm.qtys&gt;0),_xlpm.mx,IFERROR(MAX(_xlpm.validNums),0),IF(_xlpm.mx=0,"",INDEX(_xlpm.validSheets,MATCH(_xlpm.mx,_xlpm.validNums,0))&amp;" (+"&amp;$R856&amp;")")))</f>
        <v/>
      </c>
      <c r="F856" s="11" t="str">
        <f t="shared" si="55"/>
        <v/>
      </c>
      <c r="G856" s="12" t="str">
        <f ca="1">IF($A856="","",IFERROR(SUMIF(INDIRECT("'"&amp;'Template Setup'!$C$4&amp;"'!C:C"),$A856,INDIRECT("'"&amp;'Template Setup'!$C$4&amp;"'!A:A")),0))</f>
        <v/>
      </c>
      <c r="H856" s="12" t="str">
        <f ca="1">IF($A856="","",IFERROR(SUMIF(INDIRECT("'"&amp;'Template Setup'!$C$5&amp;"'!C:C"),$A856,INDIRECT("'"&amp;'Template Setup'!$C$5&amp;"'!A:A")),0))</f>
        <v/>
      </c>
      <c r="I856" s="12" t="str">
        <f ca="1">IF($A856="","",IFERROR(SUMIF(INDIRECT("'"&amp;'Template Setup'!$C$6&amp;"'!C:C"),$A856,INDIRECT("'"&amp;'Template Setup'!$C$6&amp;"'!A:A")),0))</f>
        <v/>
      </c>
      <c r="J856" s="12" t="str">
        <f ca="1">IF($A856="","",IFERROR(SUMIF(INDIRECT("'"&amp;'Template Setup'!$C$7&amp;"'!C:C"),$A856,INDIRECT("'"&amp;'Template Setup'!$C$7&amp;"'!A:A")),0))</f>
        <v/>
      </c>
      <c r="K856" s="12" t="str">
        <f ca="1">IF($A856="","",IFERROR(SUMIF(INDIRECT("'"&amp;'Template Setup'!$C$8&amp;"'!C:C"),$A856,INDIRECT("'"&amp;'Template Setup'!$C$8&amp;"'!A:A")),0))</f>
        <v/>
      </c>
      <c r="L856" s="11" t="str">
        <f>IF($A856="","",IFERROR(VALUE(MID(TRIM('Template Setup'!$C$4),FIND("-",TRIM('Template Setup'!$C$4))+1,10)),0))</f>
        <v/>
      </c>
      <c r="M856" s="11" t="str">
        <f>IF($A856="","",IFERROR(VALUE(MID(TRIM('Template Setup'!$C$5),FIND("-",TRIM('Template Setup'!$C$5))+1,10)),0))</f>
        <v/>
      </c>
      <c r="N856" s="11" t="str">
        <f>IF($A856="","",IFERROR(VALUE(MID(TRIM('Template Setup'!$C$6),FIND("-",TRIM('Template Setup'!$C$6))+1,10)),0))</f>
        <v/>
      </c>
      <c r="O856" s="11" t="str">
        <f>IF($A856="","",IFERROR(VALUE(MID(TRIM('Template Setup'!$C$7),FIND("-",TRIM('Template Setup'!$C$7))+1,10)),0))</f>
        <v/>
      </c>
      <c r="P856" s="11" t="str">
        <f>IF($A856="","",IFERROR(VALUE(MID(TRIM('Template Setup'!$C$8),FIND("-",TRIM('Template Setup'!$C$8))+1,10)),0))</f>
        <v/>
      </c>
      <c r="Q856" s="9" t="str">
        <f>IF($A856="","",$A856&amp;"-"&amp;'Template Setup'!$C$16)</f>
        <v/>
      </c>
      <c r="R856" s="24" t="str">
        <f t="shared" si="53"/>
        <v/>
      </c>
      <c r="S856" s="24"/>
      <c r="T856" s="24" t="str">
        <f t="shared" si="54"/>
        <v/>
      </c>
      <c r="U856" s="6" t="str">
        <f t="shared" si="56"/>
        <v/>
      </c>
    </row>
    <row r="857" spans="1:21">
      <c r="A857" s="11"/>
      <c r="B857" s="11"/>
      <c r="C857" s="11"/>
      <c r="D857" s="11" t="str">
        <f>IF($A857="","",_xlfn.TEXTJOIN(", ",TRUE,IF($G857&gt;0,'Template Setup'!$C$4,""),IF($H857&gt;0,'Template Setup'!$C$5,""),IF($I857&gt;0,'Template Setup'!$C$6,""),IF($J857&gt;0,'Template Setup'!$C$7,""),IF($K857&gt;0,'Template Setup'!$C$8,"")))</f>
        <v/>
      </c>
      <c r="E857" s="6" t="str" cm="1">
        <f t="array" ref="E857">IF($A857="","",_xlfn.LET(_xlpm.sheets,CHOOSE({1,2,3,4,5},'Template Setup'!$C$4,'Template Setup'!$C$5,'Template Setup'!$C$6,'Template Setup'!$C$7,'Template Setup'!$C$8),_xlpm.nums,CHOOSE({1,2,3,4,5},$L857,$M857,$N857,$O857,$P857),_xlpm.qtys,CHOOSE({1,2,3,4,5},$G857,$H857,$I857,$J857,$K857),_xlpm.validNums,_xlfn._xlws.FILTER(_xlpm.nums,_xlpm.qtys&gt;0),_xlpm.validSheets,_xlfn._xlws.FILTER(_xlpm.sheets,_xlpm.qtys&gt;0),_xlpm.mx,IFERROR(MAX(_xlpm.validNums),0),IF(_xlpm.mx=0,"",INDEX(_xlpm.validSheets,MATCH(_xlpm.mx,_xlpm.validNums,0))&amp;" (+"&amp;$R857&amp;")")))</f>
        <v/>
      </c>
      <c r="F857" s="11" t="str">
        <f t="shared" si="55"/>
        <v/>
      </c>
      <c r="G857" s="12" t="str">
        <f ca="1">IF($A857="","",IFERROR(SUMIF(INDIRECT("'"&amp;'Template Setup'!$C$4&amp;"'!C:C"),$A857,INDIRECT("'"&amp;'Template Setup'!$C$4&amp;"'!A:A")),0))</f>
        <v/>
      </c>
      <c r="H857" s="12" t="str">
        <f ca="1">IF($A857="","",IFERROR(SUMIF(INDIRECT("'"&amp;'Template Setup'!$C$5&amp;"'!C:C"),$A857,INDIRECT("'"&amp;'Template Setup'!$C$5&amp;"'!A:A")),0))</f>
        <v/>
      </c>
      <c r="I857" s="12" t="str">
        <f ca="1">IF($A857="","",IFERROR(SUMIF(INDIRECT("'"&amp;'Template Setup'!$C$6&amp;"'!C:C"),$A857,INDIRECT("'"&amp;'Template Setup'!$C$6&amp;"'!A:A")),0))</f>
        <v/>
      </c>
      <c r="J857" s="12" t="str">
        <f ca="1">IF($A857="","",IFERROR(SUMIF(INDIRECT("'"&amp;'Template Setup'!$C$7&amp;"'!C:C"),$A857,INDIRECT("'"&amp;'Template Setup'!$C$7&amp;"'!A:A")),0))</f>
        <v/>
      </c>
      <c r="K857" s="12" t="str">
        <f ca="1">IF($A857="","",IFERROR(SUMIF(INDIRECT("'"&amp;'Template Setup'!$C$8&amp;"'!C:C"),$A857,INDIRECT("'"&amp;'Template Setup'!$C$8&amp;"'!A:A")),0))</f>
        <v/>
      </c>
      <c r="L857" s="11" t="str">
        <f>IF($A857="","",IFERROR(VALUE(MID(TRIM('Template Setup'!$C$4),FIND("-",TRIM('Template Setup'!$C$4))+1,10)),0))</f>
        <v/>
      </c>
      <c r="M857" s="11" t="str">
        <f>IF($A857="","",IFERROR(VALUE(MID(TRIM('Template Setup'!$C$5),FIND("-",TRIM('Template Setup'!$C$5))+1,10)),0))</f>
        <v/>
      </c>
      <c r="N857" s="11" t="str">
        <f>IF($A857="","",IFERROR(VALUE(MID(TRIM('Template Setup'!$C$6),FIND("-",TRIM('Template Setup'!$C$6))+1,10)),0))</f>
        <v/>
      </c>
      <c r="O857" s="11" t="str">
        <f>IF($A857="","",IFERROR(VALUE(MID(TRIM('Template Setup'!$C$7),FIND("-",TRIM('Template Setup'!$C$7))+1,10)),0))</f>
        <v/>
      </c>
      <c r="P857" s="11" t="str">
        <f>IF($A857="","",IFERROR(VALUE(MID(TRIM('Template Setup'!$C$8),FIND("-",TRIM('Template Setup'!$C$8))+1,10)),0))</f>
        <v/>
      </c>
      <c r="Q857" s="9" t="str">
        <f>IF($A857="","",$A857&amp;"-"&amp;'Template Setup'!$C$16)</f>
        <v/>
      </c>
      <c r="R857" s="24" t="str">
        <f t="shared" si="53"/>
        <v/>
      </c>
      <c r="S857" s="24"/>
      <c r="T857" s="24" t="str">
        <f t="shared" si="54"/>
        <v/>
      </c>
      <c r="U857" s="6" t="str">
        <f t="shared" si="56"/>
        <v/>
      </c>
    </row>
    <row r="858" spans="1:21">
      <c r="A858" s="11"/>
      <c r="B858" s="11"/>
      <c r="C858" s="11"/>
      <c r="D858" s="11" t="str">
        <f>IF($A858="","",_xlfn.TEXTJOIN(", ",TRUE,IF($G858&gt;0,'Template Setup'!$C$4,""),IF($H858&gt;0,'Template Setup'!$C$5,""),IF($I858&gt;0,'Template Setup'!$C$6,""),IF($J858&gt;0,'Template Setup'!$C$7,""),IF($K858&gt;0,'Template Setup'!$C$8,"")))</f>
        <v/>
      </c>
      <c r="E858" s="6" t="str" cm="1">
        <f t="array" ref="E858">IF($A858="","",_xlfn.LET(_xlpm.sheets,CHOOSE({1,2,3,4,5},'Template Setup'!$C$4,'Template Setup'!$C$5,'Template Setup'!$C$6,'Template Setup'!$C$7,'Template Setup'!$C$8),_xlpm.nums,CHOOSE({1,2,3,4,5},$L858,$M858,$N858,$O858,$P858),_xlpm.qtys,CHOOSE({1,2,3,4,5},$G858,$H858,$I858,$J858,$K858),_xlpm.validNums,_xlfn._xlws.FILTER(_xlpm.nums,_xlpm.qtys&gt;0),_xlpm.validSheets,_xlfn._xlws.FILTER(_xlpm.sheets,_xlpm.qtys&gt;0),_xlpm.mx,IFERROR(MAX(_xlpm.validNums),0),IF(_xlpm.mx=0,"",INDEX(_xlpm.validSheets,MATCH(_xlpm.mx,_xlpm.validNums,0))&amp;" (+"&amp;$R858&amp;")")))</f>
        <v/>
      </c>
      <c r="F858" s="11" t="str">
        <f t="shared" si="55"/>
        <v/>
      </c>
      <c r="G858" s="12" t="str">
        <f ca="1">IF($A858="","",IFERROR(SUMIF(INDIRECT("'"&amp;'Template Setup'!$C$4&amp;"'!C:C"),$A858,INDIRECT("'"&amp;'Template Setup'!$C$4&amp;"'!A:A")),0))</f>
        <v/>
      </c>
      <c r="H858" s="12" t="str">
        <f ca="1">IF($A858="","",IFERROR(SUMIF(INDIRECT("'"&amp;'Template Setup'!$C$5&amp;"'!C:C"),$A858,INDIRECT("'"&amp;'Template Setup'!$C$5&amp;"'!A:A")),0))</f>
        <v/>
      </c>
      <c r="I858" s="12" t="str">
        <f ca="1">IF($A858="","",IFERROR(SUMIF(INDIRECT("'"&amp;'Template Setup'!$C$6&amp;"'!C:C"),$A858,INDIRECT("'"&amp;'Template Setup'!$C$6&amp;"'!A:A")),0))</f>
        <v/>
      </c>
      <c r="J858" s="12" t="str">
        <f ca="1">IF($A858="","",IFERROR(SUMIF(INDIRECT("'"&amp;'Template Setup'!$C$7&amp;"'!C:C"),$A858,INDIRECT("'"&amp;'Template Setup'!$C$7&amp;"'!A:A")),0))</f>
        <v/>
      </c>
      <c r="K858" s="12" t="str">
        <f ca="1">IF($A858="","",IFERROR(SUMIF(INDIRECT("'"&amp;'Template Setup'!$C$8&amp;"'!C:C"),$A858,INDIRECT("'"&amp;'Template Setup'!$C$8&amp;"'!A:A")),0))</f>
        <v/>
      </c>
      <c r="L858" s="11" t="str">
        <f>IF($A858="","",IFERROR(VALUE(MID(TRIM('Template Setup'!$C$4),FIND("-",TRIM('Template Setup'!$C$4))+1,10)),0))</f>
        <v/>
      </c>
      <c r="M858" s="11" t="str">
        <f>IF($A858="","",IFERROR(VALUE(MID(TRIM('Template Setup'!$C$5),FIND("-",TRIM('Template Setup'!$C$5))+1,10)),0))</f>
        <v/>
      </c>
      <c r="N858" s="11" t="str">
        <f>IF($A858="","",IFERROR(VALUE(MID(TRIM('Template Setup'!$C$6),FIND("-",TRIM('Template Setup'!$C$6))+1,10)),0))</f>
        <v/>
      </c>
      <c r="O858" s="11" t="str">
        <f>IF($A858="","",IFERROR(VALUE(MID(TRIM('Template Setup'!$C$7),FIND("-",TRIM('Template Setup'!$C$7))+1,10)),0))</f>
        <v/>
      </c>
      <c r="P858" s="11" t="str">
        <f>IF($A858="","",IFERROR(VALUE(MID(TRIM('Template Setup'!$C$8),FIND("-",TRIM('Template Setup'!$C$8))+1,10)),0))</f>
        <v/>
      </c>
      <c r="Q858" s="9" t="str">
        <f>IF($A858="","",$A858&amp;"-"&amp;'Template Setup'!$C$16)</f>
        <v/>
      </c>
      <c r="R858" s="24" t="str">
        <f t="shared" si="53"/>
        <v/>
      </c>
      <c r="S858" s="24"/>
      <c r="T858" s="24" t="str">
        <f t="shared" si="54"/>
        <v/>
      </c>
      <c r="U858" s="6" t="str">
        <f t="shared" si="56"/>
        <v/>
      </c>
    </row>
    <row r="859" spans="1:21">
      <c r="A859" s="11"/>
      <c r="B859" s="11"/>
      <c r="C859" s="11"/>
      <c r="D859" s="11" t="str">
        <f>IF($A859="","",_xlfn.TEXTJOIN(", ",TRUE,IF($G859&gt;0,'Template Setup'!$C$4,""),IF($H859&gt;0,'Template Setup'!$C$5,""),IF($I859&gt;0,'Template Setup'!$C$6,""),IF($J859&gt;0,'Template Setup'!$C$7,""),IF($K859&gt;0,'Template Setup'!$C$8,"")))</f>
        <v/>
      </c>
      <c r="E859" s="6" t="str" cm="1">
        <f t="array" ref="E859">IF($A859="","",_xlfn.LET(_xlpm.sheets,CHOOSE({1,2,3,4,5},'Template Setup'!$C$4,'Template Setup'!$C$5,'Template Setup'!$C$6,'Template Setup'!$C$7,'Template Setup'!$C$8),_xlpm.nums,CHOOSE({1,2,3,4,5},$L859,$M859,$N859,$O859,$P859),_xlpm.qtys,CHOOSE({1,2,3,4,5},$G859,$H859,$I859,$J859,$K859),_xlpm.validNums,_xlfn._xlws.FILTER(_xlpm.nums,_xlpm.qtys&gt;0),_xlpm.validSheets,_xlfn._xlws.FILTER(_xlpm.sheets,_xlpm.qtys&gt;0),_xlpm.mx,IFERROR(MAX(_xlpm.validNums),0),IF(_xlpm.mx=0,"",INDEX(_xlpm.validSheets,MATCH(_xlpm.mx,_xlpm.validNums,0))&amp;" (+"&amp;$R859&amp;")")))</f>
        <v/>
      </c>
      <c r="F859" s="11" t="str">
        <f t="shared" si="55"/>
        <v/>
      </c>
      <c r="G859" s="12" t="str">
        <f ca="1">IF($A859="","",IFERROR(SUMIF(INDIRECT("'"&amp;'Template Setup'!$C$4&amp;"'!C:C"),$A859,INDIRECT("'"&amp;'Template Setup'!$C$4&amp;"'!A:A")),0))</f>
        <v/>
      </c>
      <c r="H859" s="12" t="str">
        <f ca="1">IF($A859="","",IFERROR(SUMIF(INDIRECT("'"&amp;'Template Setup'!$C$5&amp;"'!C:C"),$A859,INDIRECT("'"&amp;'Template Setup'!$C$5&amp;"'!A:A")),0))</f>
        <v/>
      </c>
      <c r="I859" s="12" t="str">
        <f ca="1">IF($A859="","",IFERROR(SUMIF(INDIRECT("'"&amp;'Template Setup'!$C$6&amp;"'!C:C"),$A859,INDIRECT("'"&amp;'Template Setup'!$C$6&amp;"'!A:A")),0))</f>
        <v/>
      </c>
      <c r="J859" s="12" t="str">
        <f ca="1">IF($A859="","",IFERROR(SUMIF(INDIRECT("'"&amp;'Template Setup'!$C$7&amp;"'!C:C"),$A859,INDIRECT("'"&amp;'Template Setup'!$C$7&amp;"'!A:A")),0))</f>
        <v/>
      </c>
      <c r="K859" s="12" t="str">
        <f ca="1">IF($A859="","",IFERROR(SUMIF(INDIRECT("'"&amp;'Template Setup'!$C$8&amp;"'!C:C"),$A859,INDIRECT("'"&amp;'Template Setup'!$C$8&amp;"'!A:A")),0))</f>
        <v/>
      </c>
      <c r="L859" s="11" t="str">
        <f>IF($A859="","",IFERROR(VALUE(MID(TRIM('Template Setup'!$C$4),FIND("-",TRIM('Template Setup'!$C$4))+1,10)),0))</f>
        <v/>
      </c>
      <c r="M859" s="11" t="str">
        <f>IF($A859="","",IFERROR(VALUE(MID(TRIM('Template Setup'!$C$5),FIND("-",TRIM('Template Setup'!$C$5))+1,10)),0))</f>
        <v/>
      </c>
      <c r="N859" s="11" t="str">
        <f>IF($A859="","",IFERROR(VALUE(MID(TRIM('Template Setup'!$C$6),FIND("-",TRIM('Template Setup'!$C$6))+1,10)),0))</f>
        <v/>
      </c>
      <c r="O859" s="11" t="str">
        <f>IF($A859="","",IFERROR(VALUE(MID(TRIM('Template Setup'!$C$7),FIND("-",TRIM('Template Setup'!$C$7))+1,10)),0))</f>
        <v/>
      </c>
      <c r="P859" s="11" t="str">
        <f>IF($A859="","",IFERROR(VALUE(MID(TRIM('Template Setup'!$C$8),FIND("-",TRIM('Template Setup'!$C$8))+1,10)),0))</f>
        <v/>
      </c>
      <c r="Q859" s="9" t="str">
        <f>IF($A859="","",$A859&amp;"-"&amp;'Template Setup'!$C$16)</f>
        <v/>
      </c>
      <c r="R859" s="24" t="str">
        <f t="shared" si="53"/>
        <v/>
      </c>
      <c r="S859" s="24"/>
      <c r="T859" s="24" t="str">
        <f t="shared" si="54"/>
        <v/>
      </c>
      <c r="U859" s="6" t="str">
        <f t="shared" si="56"/>
        <v/>
      </c>
    </row>
    <row r="860" spans="1:21">
      <c r="A860" s="11"/>
      <c r="B860" s="11"/>
      <c r="C860" s="11"/>
      <c r="D860" s="11" t="str">
        <f>IF($A860="","",_xlfn.TEXTJOIN(", ",TRUE,IF($G860&gt;0,'Template Setup'!$C$4,""),IF($H860&gt;0,'Template Setup'!$C$5,""),IF($I860&gt;0,'Template Setup'!$C$6,""),IF($J860&gt;0,'Template Setup'!$C$7,""),IF($K860&gt;0,'Template Setup'!$C$8,"")))</f>
        <v/>
      </c>
      <c r="E860" s="6" t="str" cm="1">
        <f t="array" ref="E860">IF($A860="","",_xlfn.LET(_xlpm.sheets,CHOOSE({1,2,3,4,5},'Template Setup'!$C$4,'Template Setup'!$C$5,'Template Setup'!$C$6,'Template Setup'!$C$7,'Template Setup'!$C$8),_xlpm.nums,CHOOSE({1,2,3,4,5},$L860,$M860,$N860,$O860,$P860),_xlpm.qtys,CHOOSE({1,2,3,4,5},$G860,$H860,$I860,$J860,$K860),_xlpm.validNums,_xlfn._xlws.FILTER(_xlpm.nums,_xlpm.qtys&gt;0),_xlpm.validSheets,_xlfn._xlws.FILTER(_xlpm.sheets,_xlpm.qtys&gt;0),_xlpm.mx,IFERROR(MAX(_xlpm.validNums),0),IF(_xlpm.mx=0,"",INDEX(_xlpm.validSheets,MATCH(_xlpm.mx,_xlpm.validNums,0))&amp;" (+"&amp;$R860&amp;")")))</f>
        <v/>
      </c>
      <c r="F860" s="11" t="str">
        <f t="shared" si="55"/>
        <v/>
      </c>
      <c r="G860" s="12" t="str">
        <f ca="1">IF($A860="","",IFERROR(SUMIF(INDIRECT("'"&amp;'Template Setup'!$C$4&amp;"'!C:C"),$A860,INDIRECT("'"&amp;'Template Setup'!$C$4&amp;"'!A:A")),0))</f>
        <v/>
      </c>
      <c r="H860" s="12" t="str">
        <f ca="1">IF($A860="","",IFERROR(SUMIF(INDIRECT("'"&amp;'Template Setup'!$C$5&amp;"'!C:C"),$A860,INDIRECT("'"&amp;'Template Setup'!$C$5&amp;"'!A:A")),0))</f>
        <v/>
      </c>
      <c r="I860" s="12" t="str">
        <f ca="1">IF($A860="","",IFERROR(SUMIF(INDIRECT("'"&amp;'Template Setup'!$C$6&amp;"'!C:C"),$A860,INDIRECT("'"&amp;'Template Setup'!$C$6&amp;"'!A:A")),0))</f>
        <v/>
      </c>
      <c r="J860" s="12" t="str">
        <f ca="1">IF($A860="","",IFERROR(SUMIF(INDIRECT("'"&amp;'Template Setup'!$C$7&amp;"'!C:C"),$A860,INDIRECT("'"&amp;'Template Setup'!$C$7&amp;"'!A:A")),0))</f>
        <v/>
      </c>
      <c r="K860" s="12" t="str">
        <f ca="1">IF($A860="","",IFERROR(SUMIF(INDIRECT("'"&amp;'Template Setup'!$C$8&amp;"'!C:C"),$A860,INDIRECT("'"&amp;'Template Setup'!$C$8&amp;"'!A:A")),0))</f>
        <v/>
      </c>
      <c r="L860" s="11" t="str">
        <f>IF($A860="","",IFERROR(VALUE(MID(TRIM('Template Setup'!$C$4),FIND("-",TRIM('Template Setup'!$C$4))+1,10)),0))</f>
        <v/>
      </c>
      <c r="M860" s="11" t="str">
        <f>IF($A860="","",IFERROR(VALUE(MID(TRIM('Template Setup'!$C$5),FIND("-",TRIM('Template Setup'!$C$5))+1,10)),0))</f>
        <v/>
      </c>
      <c r="N860" s="11" t="str">
        <f>IF($A860="","",IFERROR(VALUE(MID(TRIM('Template Setup'!$C$6),FIND("-",TRIM('Template Setup'!$C$6))+1,10)),0))</f>
        <v/>
      </c>
      <c r="O860" s="11" t="str">
        <f>IF($A860="","",IFERROR(VALUE(MID(TRIM('Template Setup'!$C$7),FIND("-",TRIM('Template Setup'!$C$7))+1,10)),0))</f>
        <v/>
      </c>
      <c r="P860" s="11" t="str">
        <f>IF($A860="","",IFERROR(VALUE(MID(TRIM('Template Setup'!$C$8),FIND("-",TRIM('Template Setup'!$C$8))+1,10)),0))</f>
        <v/>
      </c>
      <c r="Q860" s="9" t="str">
        <f>IF($A860="","",$A860&amp;"-"&amp;'Template Setup'!$C$16)</f>
        <v/>
      </c>
      <c r="R860" s="24" t="str">
        <f t="shared" si="53"/>
        <v/>
      </c>
      <c r="S860" s="24"/>
      <c r="T860" s="24" t="str">
        <f t="shared" si="54"/>
        <v/>
      </c>
      <c r="U860" s="6" t="str">
        <f t="shared" si="56"/>
        <v/>
      </c>
    </row>
    <row r="861" spans="1:21">
      <c r="A861" s="11"/>
      <c r="B861" s="11"/>
      <c r="C861" s="11"/>
      <c r="D861" s="11" t="str">
        <f>IF($A861="","",_xlfn.TEXTJOIN(", ",TRUE,IF($G861&gt;0,'Template Setup'!$C$4,""),IF($H861&gt;0,'Template Setup'!$C$5,""),IF($I861&gt;0,'Template Setup'!$C$6,""),IF($J861&gt;0,'Template Setup'!$C$7,""),IF($K861&gt;0,'Template Setup'!$C$8,"")))</f>
        <v/>
      </c>
      <c r="E861" s="6" t="str" cm="1">
        <f t="array" ref="E861">IF($A861="","",_xlfn.LET(_xlpm.sheets,CHOOSE({1,2,3,4,5},'Template Setup'!$C$4,'Template Setup'!$C$5,'Template Setup'!$C$6,'Template Setup'!$C$7,'Template Setup'!$C$8),_xlpm.nums,CHOOSE({1,2,3,4,5},$L861,$M861,$N861,$O861,$P861),_xlpm.qtys,CHOOSE({1,2,3,4,5},$G861,$H861,$I861,$J861,$K861),_xlpm.validNums,_xlfn._xlws.FILTER(_xlpm.nums,_xlpm.qtys&gt;0),_xlpm.validSheets,_xlfn._xlws.FILTER(_xlpm.sheets,_xlpm.qtys&gt;0),_xlpm.mx,IFERROR(MAX(_xlpm.validNums),0),IF(_xlpm.mx=0,"",INDEX(_xlpm.validSheets,MATCH(_xlpm.mx,_xlpm.validNums,0))&amp;" (+"&amp;$R861&amp;")")))</f>
        <v/>
      </c>
      <c r="F861" s="11" t="str">
        <f t="shared" si="55"/>
        <v/>
      </c>
      <c r="G861" s="12" t="str">
        <f ca="1">IF($A861="","",IFERROR(SUMIF(INDIRECT("'"&amp;'Template Setup'!$C$4&amp;"'!C:C"),$A861,INDIRECT("'"&amp;'Template Setup'!$C$4&amp;"'!A:A")),0))</f>
        <v/>
      </c>
      <c r="H861" s="12" t="str">
        <f ca="1">IF($A861="","",IFERROR(SUMIF(INDIRECT("'"&amp;'Template Setup'!$C$5&amp;"'!C:C"),$A861,INDIRECT("'"&amp;'Template Setup'!$C$5&amp;"'!A:A")),0))</f>
        <v/>
      </c>
      <c r="I861" s="12" t="str">
        <f ca="1">IF($A861="","",IFERROR(SUMIF(INDIRECT("'"&amp;'Template Setup'!$C$6&amp;"'!C:C"),$A861,INDIRECT("'"&amp;'Template Setup'!$C$6&amp;"'!A:A")),0))</f>
        <v/>
      </c>
      <c r="J861" s="12" t="str">
        <f ca="1">IF($A861="","",IFERROR(SUMIF(INDIRECT("'"&amp;'Template Setup'!$C$7&amp;"'!C:C"),$A861,INDIRECT("'"&amp;'Template Setup'!$C$7&amp;"'!A:A")),0))</f>
        <v/>
      </c>
      <c r="K861" s="12" t="str">
        <f ca="1">IF($A861="","",IFERROR(SUMIF(INDIRECT("'"&amp;'Template Setup'!$C$8&amp;"'!C:C"),$A861,INDIRECT("'"&amp;'Template Setup'!$C$8&amp;"'!A:A")),0))</f>
        <v/>
      </c>
      <c r="L861" s="11" t="str">
        <f>IF($A861="","",IFERROR(VALUE(MID(TRIM('Template Setup'!$C$4),FIND("-",TRIM('Template Setup'!$C$4))+1,10)),0))</f>
        <v/>
      </c>
      <c r="M861" s="11" t="str">
        <f>IF($A861="","",IFERROR(VALUE(MID(TRIM('Template Setup'!$C$5),FIND("-",TRIM('Template Setup'!$C$5))+1,10)),0))</f>
        <v/>
      </c>
      <c r="N861" s="11" t="str">
        <f>IF($A861="","",IFERROR(VALUE(MID(TRIM('Template Setup'!$C$6),FIND("-",TRIM('Template Setup'!$C$6))+1,10)),0))</f>
        <v/>
      </c>
      <c r="O861" s="11" t="str">
        <f>IF($A861="","",IFERROR(VALUE(MID(TRIM('Template Setup'!$C$7),FIND("-",TRIM('Template Setup'!$C$7))+1,10)),0))</f>
        <v/>
      </c>
      <c r="P861" s="11" t="str">
        <f>IF($A861="","",IFERROR(VALUE(MID(TRIM('Template Setup'!$C$8),FIND("-",TRIM('Template Setup'!$C$8))+1,10)),0))</f>
        <v/>
      </c>
      <c r="Q861" s="9" t="str">
        <f>IF($A861="","",$A861&amp;"-"&amp;'Template Setup'!$C$16)</f>
        <v/>
      </c>
      <c r="R861" s="24" t="str">
        <f t="shared" si="53"/>
        <v/>
      </c>
      <c r="S861" s="24"/>
      <c r="T861" s="24" t="str">
        <f t="shared" si="54"/>
        <v/>
      </c>
      <c r="U861" s="6" t="str">
        <f t="shared" si="56"/>
        <v/>
      </c>
    </row>
    <row r="862" spans="1:21">
      <c r="A862" s="11"/>
      <c r="B862" s="11"/>
      <c r="C862" s="11"/>
      <c r="D862" s="11" t="str">
        <f>IF($A862="","",_xlfn.TEXTJOIN(", ",TRUE,IF($G862&gt;0,'Template Setup'!$C$4,""),IF($H862&gt;0,'Template Setup'!$C$5,""),IF($I862&gt;0,'Template Setup'!$C$6,""),IF($J862&gt;0,'Template Setup'!$C$7,""),IF($K862&gt;0,'Template Setup'!$C$8,"")))</f>
        <v/>
      </c>
      <c r="E862" s="6" t="str" cm="1">
        <f t="array" ref="E862">IF($A862="","",_xlfn.LET(_xlpm.sheets,CHOOSE({1,2,3,4,5},'Template Setup'!$C$4,'Template Setup'!$C$5,'Template Setup'!$C$6,'Template Setup'!$C$7,'Template Setup'!$C$8),_xlpm.nums,CHOOSE({1,2,3,4,5},$L862,$M862,$N862,$O862,$P862),_xlpm.qtys,CHOOSE({1,2,3,4,5},$G862,$H862,$I862,$J862,$K862),_xlpm.validNums,_xlfn._xlws.FILTER(_xlpm.nums,_xlpm.qtys&gt;0),_xlpm.validSheets,_xlfn._xlws.FILTER(_xlpm.sheets,_xlpm.qtys&gt;0),_xlpm.mx,IFERROR(MAX(_xlpm.validNums),0),IF(_xlpm.mx=0,"",INDEX(_xlpm.validSheets,MATCH(_xlpm.mx,_xlpm.validNums,0))&amp;" (+"&amp;$R862&amp;")")))</f>
        <v/>
      </c>
      <c r="F862" s="11" t="str">
        <f t="shared" si="55"/>
        <v/>
      </c>
      <c r="G862" s="12" t="str">
        <f ca="1">IF($A862="","",IFERROR(SUMIF(INDIRECT("'"&amp;'Template Setup'!$C$4&amp;"'!C:C"),$A862,INDIRECT("'"&amp;'Template Setup'!$C$4&amp;"'!A:A")),0))</f>
        <v/>
      </c>
      <c r="H862" s="12" t="str">
        <f ca="1">IF($A862="","",IFERROR(SUMIF(INDIRECT("'"&amp;'Template Setup'!$C$5&amp;"'!C:C"),$A862,INDIRECT("'"&amp;'Template Setup'!$C$5&amp;"'!A:A")),0))</f>
        <v/>
      </c>
      <c r="I862" s="12" t="str">
        <f ca="1">IF($A862="","",IFERROR(SUMIF(INDIRECT("'"&amp;'Template Setup'!$C$6&amp;"'!C:C"),$A862,INDIRECT("'"&amp;'Template Setup'!$C$6&amp;"'!A:A")),0))</f>
        <v/>
      </c>
      <c r="J862" s="12" t="str">
        <f ca="1">IF($A862="","",IFERROR(SUMIF(INDIRECT("'"&amp;'Template Setup'!$C$7&amp;"'!C:C"),$A862,INDIRECT("'"&amp;'Template Setup'!$C$7&amp;"'!A:A")),0))</f>
        <v/>
      </c>
      <c r="K862" s="12" t="str">
        <f ca="1">IF($A862="","",IFERROR(SUMIF(INDIRECT("'"&amp;'Template Setup'!$C$8&amp;"'!C:C"),$A862,INDIRECT("'"&amp;'Template Setup'!$C$8&amp;"'!A:A")),0))</f>
        <v/>
      </c>
      <c r="L862" s="11" t="str">
        <f>IF($A862="","",IFERROR(VALUE(MID(TRIM('Template Setup'!$C$4),FIND("-",TRIM('Template Setup'!$C$4))+1,10)),0))</f>
        <v/>
      </c>
      <c r="M862" s="11" t="str">
        <f>IF($A862="","",IFERROR(VALUE(MID(TRIM('Template Setup'!$C$5),FIND("-",TRIM('Template Setup'!$C$5))+1,10)),0))</f>
        <v/>
      </c>
      <c r="N862" s="11" t="str">
        <f>IF($A862="","",IFERROR(VALUE(MID(TRIM('Template Setup'!$C$6),FIND("-",TRIM('Template Setup'!$C$6))+1,10)),0))</f>
        <v/>
      </c>
      <c r="O862" s="11" t="str">
        <f>IF($A862="","",IFERROR(VALUE(MID(TRIM('Template Setup'!$C$7),FIND("-",TRIM('Template Setup'!$C$7))+1,10)),0))</f>
        <v/>
      </c>
      <c r="P862" s="11" t="str">
        <f>IF($A862="","",IFERROR(VALUE(MID(TRIM('Template Setup'!$C$8),FIND("-",TRIM('Template Setup'!$C$8))+1,10)),0))</f>
        <v/>
      </c>
      <c r="Q862" s="9" t="str">
        <f>IF($A862="","",$A862&amp;"-"&amp;'Template Setup'!$C$16)</f>
        <v/>
      </c>
      <c r="R862" s="24" t="str">
        <f t="shared" si="53"/>
        <v/>
      </c>
      <c r="S862" s="24"/>
      <c r="T862" s="24" t="str">
        <f t="shared" si="54"/>
        <v/>
      </c>
      <c r="U862" s="6" t="str">
        <f t="shared" si="56"/>
        <v/>
      </c>
    </row>
    <row r="863" spans="1:21">
      <c r="A863" s="11"/>
      <c r="B863" s="11"/>
      <c r="C863" s="11"/>
      <c r="D863" s="11" t="str">
        <f>IF($A863="","",_xlfn.TEXTJOIN(", ",TRUE,IF($G863&gt;0,'Template Setup'!$C$4,""),IF($H863&gt;0,'Template Setup'!$C$5,""),IF($I863&gt;0,'Template Setup'!$C$6,""),IF($J863&gt;0,'Template Setup'!$C$7,""),IF($K863&gt;0,'Template Setup'!$C$8,"")))</f>
        <v/>
      </c>
      <c r="E863" s="6" t="str" cm="1">
        <f t="array" ref="E863">IF($A863="","",_xlfn.LET(_xlpm.sheets,CHOOSE({1,2,3,4,5},'Template Setup'!$C$4,'Template Setup'!$C$5,'Template Setup'!$C$6,'Template Setup'!$C$7,'Template Setup'!$C$8),_xlpm.nums,CHOOSE({1,2,3,4,5},$L863,$M863,$N863,$O863,$P863),_xlpm.qtys,CHOOSE({1,2,3,4,5},$G863,$H863,$I863,$J863,$K863),_xlpm.validNums,_xlfn._xlws.FILTER(_xlpm.nums,_xlpm.qtys&gt;0),_xlpm.validSheets,_xlfn._xlws.FILTER(_xlpm.sheets,_xlpm.qtys&gt;0),_xlpm.mx,IFERROR(MAX(_xlpm.validNums),0),IF(_xlpm.mx=0,"",INDEX(_xlpm.validSheets,MATCH(_xlpm.mx,_xlpm.validNums,0))&amp;" (+"&amp;$R863&amp;")")))</f>
        <v/>
      </c>
      <c r="F863" s="11" t="str">
        <f t="shared" si="55"/>
        <v/>
      </c>
      <c r="G863" s="12" t="str">
        <f ca="1">IF($A863="","",IFERROR(SUMIF(INDIRECT("'"&amp;'Template Setup'!$C$4&amp;"'!C:C"),$A863,INDIRECT("'"&amp;'Template Setup'!$C$4&amp;"'!A:A")),0))</f>
        <v/>
      </c>
      <c r="H863" s="12" t="str">
        <f ca="1">IF($A863="","",IFERROR(SUMIF(INDIRECT("'"&amp;'Template Setup'!$C$5&amp;"'!C:C"),$A863,INDIRECT("'"&amp;'Template Setup'!$C$5&amp;"'!A:A")),0))</f>
        <v/>
      </c>
      <c r="I863" s="12" t="str">
        <f ca="1">IF($A863="","",IFERROR(SUMIF(INDIRECT("'"&amp;'Template Setup'!$C$6&amp;"'!C:C"),$A863,INDIRECT("'"&amp;'Template Setup'!$C$6&amp;"'!A:A")),0))</f>
        <v/>
      </c>
      <c r="J863" s="12" t="str">
        <f ca="1">IF($A863="","",IFERROR(SUMIF(INDIRECT("'"&amp;'Template Setup'!$C$7&amp;"'!C:C"),$A863,INDIRECT("'"&amp;'Template Setup'!$C$7&amp;"'!A:A")),0))</f>
        <v/>
      </c>
      <c r="K863" s="12" t="str">
        <f ca="1">IF($A863="","",IFERROR(SUMIF(INDIRECT("'"&amp;'Template Setup'!$C$8&amp;"'!C:C"),$A863,INDIRECT("'"&amp;'Template Setup'!$C$8&amp;"'!A:A")),0))</f>
        <v/>
      </c>
      <c r="L863" s="11" t="str">
        <f>IF($A863="","",IFERROR(VALUE(MID(TRIM('Template Setup'!$C$4),FIND("-",TRIM('Template Setup'!$C$4))+1,10)),0))</f>
        <v/>
      </c>
      <c r="M863" s="11" t="str">
        <f>IF($A863="","",IFERROR(VALUE(MID(TRIM('Template Setup'!$C$5),FIND("-",TRIM('Template Setup'!$C$5))+1,10)),0))</f>
        <v/>
      </c>
      <c r="N863" s="11" t="str">
        <f>IF($A863="","",IFERROR(VALUE(MID(TRIM('Template Setup'!$C$6),FIND("-",TRIM('Template Setup'!$C$6))+1,10)),0))</f>
        <v/>
      </c>
      <c r="O863" s="11" t="str">
        <f>IF($A863="","",IFERROR(VALUE(MID(TRIM('Template Setup'!$C$7),FIND("-",TRIM('Template Setup'!$C$7))+1,10)),0))</f>
        <v/>
      </c>
      <c r="P863" s="11" t="str">
        <f>IF($A863="","",IFERROR(VALUE(MID(TRIM('Template Setup'!$C$8),FIND("-",TRIM('Template Setup'!$C$8))+1,10)),0))</f>
        <v/>
      </c>
      <c r="Q863" s="9" t="str">
        <f>IF($A863="","",$A863&amp;"-"&amp;'Template Setup'!$C$16)</f>
        <v/>
      </c>
      <c r="R863" s="24" t="str">
        <f t="shared" si="53"/>
        <v/>
      </c>
      <c r="S863" s="24"/>
      <c r="T863" s="24" t="str">
        <f t="shared" si="54"/>
        <v/>
      </c>
      <c r="U863" s="6" t="str">
        <f t="shared" si="56"/>
        <v/>
      </c>
    </row>
    <row r="864" spans="1:21">
      <c r="A864" s="11"/>
      <c r="B864" s="11"/>
      <c r="C864" s="11"/>
      <c r="D864" s="11" t="str">
        <f>IF($A864="","",_xlfn.TEXTJOIN(", ",TRUE,IF($G864&gt;0,'Template Setup'!$C$4,""),IF($H864&gt;0,'Template Setup'!$C$5,""),IF($I864&gt;0,'Template Setup'!$C$6,""),IF($J864&gt;0,'Template Setup'!$C$7,""),IF($K864&gt;0,'Template Setup'!$C$8,"")))</f>
        <v/>
      </c>
      <c r="E864" s="6" t="str" cm="1">
        <f t="array" ref="E864">IF($A864="","",_xlfn.LET(_xlpm.sheets,CHOOSE({1,2,3,4,5},'Template Setup'!$C$4,'Template Setup'!$C$5,'Template Setup'!$C$6,'Template Setup'!$C$7,'Template Setup'!$C$8),_xlpm.nums,CHOOSE({1,2,3,4,5},$L864,$M864,$N864,$O864,$P864),_xlpm.qtys,CHOOSE({1,2,3,4,5},$G864,$H864,$I864,$J864,$K864),_xlpm.validNums,_xlfn._xlws.FILTER(_xlpm.nums,_xlpm.qtys&gt;0),_xlpm.validSheets,_xlfn._xlws.FILTER(_xlpm.sheets,_xlpm.qtys&gt;0),_xlpm.mx,IFERROR(MAX(_xlpm.validNums),0),IF(_xlpm.mx=0,"",INDEX(_xlpm.validSheets,MATCH(_xlpm.mx,_xlpm.validNums,0))&amp;" (+"&amp;$R864&amp;")")))</f>
        <v/>
      </c>
      <c r="F864" s="11" t="str">
        <f t="shared" si="55"/>
        <v/>
      </c>
      <c r="G864" s="12" t="str">
        <f ca="1">IF($A864="","",IFERROR(SUMIF(INDIRECT("'"&amp;'Template Setup'!$C$4&amp;"'!C:C"),$A864,INDIRECT("'"&amp;'Template Setup'!$C$4&amp;"'!A:A")),0))</f>
        <v/>
      </c>
      <c r="H864" s="12" t="str">
        <f ca="1">IF($A864="","",IFERROR(SUMIF(INDIRECT("'"&amp;'Template Setup'!$C$5&amp;"'!C:C"),$A864,INDIRECT("'"&amp;'Template Setup'!$C$5&amp;"'!A:A")),0))</f>
        <v/>
      </c>
      <c r="I864" s="12" t="str">
        <f ca="1">IF($A864="","",IFERROR(SUMIF(INDIRECT("'"&amp;'Template Setup'!$C$6&amp;"'!C:C"),$A864,INDIRECT("'"&amp;'Template Setup'!$C$6&amp;"'!A:A")),0))</f>
        <v/>
      </c>
      <c r="J864" s="12" t="str">
        <f ca="1">IF($A864="","",IFERROR(SUMIF(INDIRECT("'"&amp;'Template Setup'!$C$7&amp;"'!C:C"),$A864,INDIRECT("'"&amp;'Template Setup'!$C$7&amp;"'!A:A")),0))</f>
        <v/>
      </c>
      <c r="K864" s="12" t="str">
        <f ca="1">IF($A864="","",IFERROR(SUMIF(INDIRECT("'"&amp;'Template Setup'!$C$8&amp;"'!C:C"),$A864,INDIRECT("'"&amp;'Template Setup'!$C$8&amp;"'!A:A")),0))</f>
        <v/>
      </c>
      <c r="L864" s="11" t="str">
        <f>IF($A864="","",IFERROR(VALUE(MID(TRIM('Template Setup'!$C$4),FIND("-",TRIM('Template Setup'!$C$4))+1,10)),0))</f>
        <v/>
      </c>
      <c r="M864" s="11" t="str">
        <f>IF($A864="","",IFERROR(VALUE(MID(TRIM('Template Setup'!$C$5),FIND("-",TRIM('Template Setup'!$C$5))+1,10)),0))</f>
        <v/>
      </c>
      <c r="N864" s="11" t="str">
        <f>IF($A864="","",IFERROR(VALUE(MID(TRIM('Template Setup'!$C$6),FIND("-",TRIM('Template Setup'!$C$6))+1,10)),0))</f>
        <v/>
      </c>
      <c r="O864" s="11" t="str">
        <f>IF($A864="","",IFERROR(VALUE(MID(TRIM('Template Setup'!$C$7),FIND("-",TRIM('Template Setup'!$C$7))+1,10)),0))</f>
        <v/>
      </c>
      <c r="P864" s="11" t="str">
        <f>IF($A864="","",IFERROR(VALUE(MID(TRIM('Template Setup'!$C$8),FIND("-",TRIM('Template Setup'!$C$8))+1,10)),0))</f>
        <v/>
      </c>
      <c r="Q864" s="9" t="str">
        <f>IF($A864="","",$A864&amp;"-"&amp;'Template Setup'!$C$16)</f>
        <v/>
      </c>
      <c r="R864" s="24" t="str">
        <f t="shared" si="53"/>
        <v/>
      </c>
      <c r="S864" s="24"/>
      <c r="T864" s="24" t="str">
        <f t="shared" si="54"/>
        <v/>
      </c>
      <c r="U864" s="6" t="str">
        <f t="shared" si="56"/>
        <v/>
      </c>
    </row>
    <row r="865" spans="1:21">
      <c r="A865" s="11"/>
      <c r="B865" s="11"/>
      <c r="C865" s="11"/>
      <c r="D865" s="11" t="str">
        <f>IF($A865="","",_xlfn.TEXTJOIN(", ",TRUE,IF($G865&gt;0,'Template Setup'!$C$4,""),IF($H865&gt;0,'Template Setup'!$C$5,""),IF($I865&gt;0,'Template Setup'!$C$6,""),IF($J865&gt;0,'Template Setup'!$C$7,""),IF($K865&gt;0,'Template Setup'!$C$8,"")))</f>
        <v/>
      </c>
      <c r="E865" s="6" t="str" cm="1">
        <f t="array" ref="E865">IF($A865="","",_xlfn.LET(_xlpm.sheets,CHOOSE({1,2,3,4,5},'Template Setup'!$C$4,'Template Setup'!$C$5,'Template Setup'!$C$6,'Template Setup'!$C$7,'Template Setup'!$C$8),_xlpm.nums,CHOOSE({1,2,3,4,5},$L865,$M865,$N865,$O865,$P865),_xlpm.qtys,CHOOSE({1,2,3,4,5},$G865,$H865,$I865,$J865,$K865),_xlpm.validNums,_xlfn._xlws.FILTER(_xlpm.nums,_xlpm.qtys&gt;0),_xlpm.validSheets,_xlfn._xlws.FILTER(_xlpm.sheets,_xlpm.qtys&gt;0),_xlpm.mx,IFERROR(MAX(_xlpm.validNums),0),IF(_xlpm.mx=0,"",INDEX(_xlpm.validSheets,MATCH(_xlpm.mx,_xlpm.validNums,0))&amp;" (+"&amp;$R865&amp;")")))</f>
        <v/>
      </c>
      <c r="F865" s="11" t="str">
        <f t="shared" si="55"/>
        <v/>
      </c>
      <c r="G865" s="12" t="str">
        <f ca="1">IF($A865="","",IFERROR(SUMIF(INDIRECT("'"&amp;'Template Setup'!$C$4&amp;"'!C:C"),$A865,INDIRECT("'"&amp;'Template Setup'!$C$4&amp;"'!A:A")),0))</f>
        <v/>
      </c>
      <c r="H865" s="12" t="str">
        <f ca="1">IF($A865="","",IFERROR(SUMIF(INDIRECT("'"&amp;'Template Setup'!$C$5&amp;"'!C:C"),$A865,INDIRECT("'"&amp;'Template Setup'!$C$5&amp;"'!A:A")),0))</f>
        <v/>
      </c>
      <c r="I865" s="12" t="str">
        <f ca="1">IF($A865="","",IFERROR(SUMIF(INDIRECT("'"&amp;'Template Setup'!$C$6&amp;"'!C:C"),$A865,INDIRECT("'"&amp;'Template Setup'!$C$6&amp;"'!A:A")),0))</f>
        <v/>
      </c>
      <c r="J865" s="12" t="str">
        <f ca="1">IF($A865="","",IFERROR(SUMIF(INDIRECT("'"&amp;'Template Setup'!$C$7&amp;"'!C:C"),$A865,INDIRECT("'"&amp;'Template Setup'!$C$7&amp;"'!A:A")),0))</f>
        <v/>
      </c>
      <c r="K865" s="12" t="str">
        <f ca="1">IF($A865="","",IFERROR(SUMIF(INDIRECT("'"&amp;'Template Setup'!$C$8&amp;"'!C:C"),$A865,INDIRECT("'"&amp;'Template Setup'!$C$8&amp;"'!A:A")),0))</f>
        <v/>
      </c>
      <c r="L865" s="11" t="str">
        <f>IF($A865="","",IFERROR(VALUE(MID(TRIM('Template Setup'!$C$4),FIND("-",TRIM('Template Setup'!$C$4))+1,10)),0))</f>
        <v/>
      </c>
      <c r="M865" s="11" t="str">
        <f>IF($A865="","",IFERROR(VALUE(MID(TRIM('Template Setup'!$C$5),FIND("-",TRIM('Template Setup'!$C$5))+1,10)),0))</f>
        <v/>
      </c>
      <c r="N865" s="11" t="str">
        <f>IF($A865="","",IFERROR(VALUE(MID(TRIM('Template Setup'!$C$6),FIND("-",TRIM('Template Setup'!$C$6))+1,10)),0))</f>
        <v/>
      </c>
      <c r="O865" s="11" t="str">
        <f>IF($A865="","",IFERROR(VALUE(MID(TRIM('Template Setup'!$C$7),FIND("-",TRIM('Template Setup'!$C$7))+1,10)),0))</f>
        <v/>
      </c>
      <c r="P865" s="11" t="str">
        <f>IF($A865="","",IFERROR(VALUE(MID(TRIM('Template Setup'!$C$8),FIND("-",TRIM('Template Setup'!$C$8))+1,10)),0))</f>
        <v/>
      </c>
      <c r="Q865" s="9" t="str">
        <f>IF($A865="","",$A865&amp;"-"&amp;'Template Setup'!$C$16)</f>
        <v/>
      </c>
      <c r="R865" s="24" t="str">
        <f t="shared" si="53"/>
        <v/>
      </c>
      <c r="S865" s="24"/>
      <c r="T865" s="24" t="str">
        <f t="shared" si="54"/>
        <v/>
      </c>
      <c r="U865" s="6" t="str">
        <f t="shared" si="56"/>
        <v/>
      </c>
    </row>
    <row r="866" spans="1:21">
      <c r="A866" s="11"/>
      <c r="B866" s="11"/>
      <c r="C866" s="11"/>
      <c r="D866" s="11" t="str">
        <f>IF($A866="","",_xlfn.TEXTJOIN(", ",TRUE,IF($G866&gt;0,'Template Setup'!$C$4,""),IF($H866&gt;0,'Template Setup'!$C$5,""),IF($I866&gt;0,'Template Setup'!$C$6,""),IF($J866&gt;0,'Template Setup'!$C$7,""),IF($K866&gt;0,'Template Setup'!$C$8,"")))</f>
        <v/>
      </c>
      <c r="E866" s="6" t="str" cm="1">
        <f t="array" ref="E866">IF($A866="","",_xlfn.LET(_xlpm.sheets,CHOOSE({1,2,3,4,5},'Template Setup'!$C$4,'Template Setup'!$C$5,'Template Setup'!$C$6,'Template Setup'!$C$7,'Template Setup'!$C$8),_xlpm.nums,CHOOSE({1,2,3,4,5},$L866,$M866,$N866,$O866,$P866),_xlpm.qtys,CHOOSE({1,2,3,4,5},$G866,$H866,$I866,$J866,$K866),_xlpm.validNums,_xlfn._xlws.FILTER(_xlpm.nums,_xlpm.qtys&gt;0),_xlpm.validSheets,_xlfn._xlws.FILTER(_xlpm.sheets,_xlpm.qtys&gt;0),_xlpm.mx,IFERROR(MAX(_xlpm.validNums),0),IF(_xlpm.mx=0,"",INDEX(_xlpm.validSheets,MATCH(_xlpm.mx,_xlpm.validNums,0))&amp;" (+"&amp;$R866&amp;")")))</f>
        <v/>
      </c>
      <c r="F866" s="11" t="str">
        <f t="shared" si="55"/>
        <v/>
      </c>
      <c r="G866" s="12" t="str">
        <f ca="1">IF($A866="","",IFERROR(SUMIF(INDIRECT("'"&amp;'Template Setup'!$C$4&amp;"'!C:C"),$A866,INDIRECT("'"&amp;'Template Setup'!$C$4&amp;"'!A:A")),0))</f>
        <v/>
      </c>
      <c r="H866" s="12" t="str">
        <f ca="1">IF($A866="","",IFERROR(SUMIF(INDIRECT("'"&amp;'Template Setup'!$C$5&amp;"'!C:C"),$A866,INDIRECT("'"&amp;'Template Setup'!$C$5&amp;"'!A:A")),0))</f>
        <v/>
      </c>
      <c r="I866" s="12" t="str">
        <f ca="1">IF($A866="","",IFERROR(SUMIF(INDIRECT("'"&amp;'Template Setup'!$C$6&amp;"'!C:C"),$A866,INDIRECT("'"&amp;'Template Setup'!$C$6&amp;"'!A:A")),0))</f>
        <v/>
      </c>
      <c r="J866" s="12" t="str">
        <f ca="1">IF($A866="","",IFERROR(SUMIF(INDIRECT("'"&amp;'Template Setup'!$C$7&amp;"'!C:C"),$A866,INDIRECT("'"&amp;'Template Setup'!$C$7&amp;"'!A:A")),0))</f>
        <v/>
      </c>
      <c r="K866" s="12" t="str">
        <f ca="1">IF($A866="","",IFERROR(SUMIF(INDIRECT("'"&amp;'Template Setup'!$C$8&amp;"'!C:C"),$A866,INDIRECT("'"&amp;'Template Setup'!$C$8&amp;"'!A:A")),0))</f>
        <v/>
      </c>
      <c r="L866" s="11" t="str">
        <f>IF($A866="","",IFERROR(VALUE(MID(TRIM('Template Setup'!$C$4),FIND("-",TRIM('Template Setup'!$C$4))+1,10)),0))</f>
        <v/>
      </c>
      <c r="M866" s="11" t="str">
        <f>IF($A866="","",IFERROR(VALUE(MID(TRIM('Template Setup'!$C$5),FIND("-",TRIM('Template Setup'!$C$5))+1,10)),0))</f>
        <v/>
      </c>
      <c r="N866" s="11" t="str">
        <f>IF($A866="","",IFERROR(VALUE(MID(TRIM('Template Setup'!$C$6),FIND("-",TRIM('Template Setup'!$C$6))+1,10)),0))</f>
        <v/>
      </c>
      <c r="O866" s="11" t="str">
        <f>IF($A866="","",IFERROR(VALUE(MID(TRIM('Template Setup'!$C$7),FIND("-",TRIM('Template Setup'!$C$7))+1,10)),0))</f>
        <v/>
      </c>
      <c r="P866" s="11" t="str">
        <f>IF($A866="","",IFERROR(VALUE(MID(TRIM('Template Setup'!$C$8),FIND("-",TRIM('Template Setup'!$C$8))+1,10)),0))</f>
        <v/>
      </c>
      <c r="Q866" s="9" t="str">
        <f>IF($A866="","",$A866&amp;"-"&amp;'Template Setup'!$C$16)</f>
        <v/>
      </c>
      <c r="R866" s="24" t="str">
        <f t="shared" si="53"/>
        <v/>
      </c>
      <c r="S866" s="24"/>
      <c r="T866" s="24" t="str">
        <f t="shared" si="54"/>
        <v/>
      </c>
      <c r="U866" s="6" t="str">
        <f t="shared" si="56"/>
        <v/>
      </c>
    </row>
    <row r="867" spans="1:21">
      <c r="A867" s="11"/>
      <c r="B867" s="11"/>
      <c r="C867" s="11"/>
      <c r="D867" s="11" t="str">
        <f>IF($A867="","",_xlfn.TEXTJOIN(", ",TRUE,IF($G867&gt;0,'Template Setup'!$C$4,""),IF($H867&gt;0,'Template Setup'!$C$5,""),IF($I867&gt;0,'Template Setup'!$C$6,""),IF($J867&gt;0,'Template Setup'!$C$7,""),IF($K867&gt;0,'Template Setup'!$C$8,"")))</f>
        <v/>
      </c>
      <c r="E867" s="6" t="str" cm="1">
        <f t="array" ref="E867">IF($A867="","",_xlfn.LET(_xlpm.sheets,CHOOSE({1,2,3,4,5},'Template Setup'!$C$4,'Template Setup'!$C$5,'Template Setup'!$C$6,'Template Setup'!$C$7,'Template Setup'!$C$8),_xlpm.nums,CHOOSE({1,2,3,4,5},$L867,$M867,$N867,$O867,$P867),_xlpm.qtys,CHOOSE({1,2,3,4,5},$G867,$H867,$I867,$J867,$K867),_xlpm.validNums,_xlfn._xlws.FILTER(_xlpm.nums,_xlpm.qtys&gt;0),_xlpm.validSheets,_xlfn._xlws.FILTER(_xlpm.sheets,_xlpm.qtys&gt;0),_xlpm.mx,IFERROR(MAX(_xlpm.validNums),0),IF(_xlpm.mx=0,"",INDEX(_xlpm.validSheets,MATCH(_xlpm.mx,_xlpm.validNums,0))&amp;" (+"&amp;$R867&amp;")")))</f>
        <v/>
      </c>
      <c r="F867" s="11" t="str">
        <f t="shared" si="55"/>
        <v/>
      </c>
      <c r="G867" s="12" t="str">
        <f ca="1">IF($A867="","",IFERROR(SUMIF(INDIRECT("'"&amp;'Template Setup'!$C$4&amp;"'!C:C"),$A867,INDIRECT("'"&amp;'Template Setup'!$C$4&amp;"'!A:A")),0))</f>
        <v/>
      </c>
      <c r="H867" s="12" t="str">
        <f ca="1">IF($A867="","",IFERROR(SUMIF(INDIRECT("'"&amp;'Template Setup'!$C$5&amp;"'!C:C"),$A867,INDIRECT("'"&amp;'Template Setup'!$C$5&amp;"'!A:A")),0))</f>
        <v/>
      </c>
      <c r="I867" s="12" t="str">
        <f ca="1">IF($A867="","",IFERROR(SUMIF(INDIRECT("'"&amp;'Template Setup'!$C$6&amp;"'!C:C"),$A867,INDIRECT("'"&amp;'Template Setup'!$C$6&amp;"'!A:A")),0))</f>
        <v/>
      </c>
      <c r="J867" s="12" t="str">
        <f ca="1">IF($A867="","",IFERROR(SUMIF(INDIRECT("'"&amp;'Template Setup'!$C$7&amp;"'!C:C"),$A867,INDIRECT("'"&amp;'Template Setup'!$C$7&amp;"'!A:A")),0))</f>
        <v/>
      </c>
      <c r="K867" s="12" t="str">
        <f ca="1">IF($A867="","",IFERROR(SUMIF(INDIRECT("'"&amp;'Template Setup'!$C$8&amp;"'!C:C"),$A867,INDIRECT("'"&amp;'Template Setup'!$C$8&amp;"'!A:A")),0))</f>
        <v/>
      </c>
      <c r="L867" s="11" t="str">
        <f>IF($A867="","",IFERROR(VALUE(MID(TRIM('Template Setup'!$C$4),FIND("-",TRIM('Template Setup'!$C$4))+1,10)),0))</f>
        <v/>
      </c>
      <c r="M867" s="11" t="str">
        <f>IF($A867="","",IFERROR(VALUE(MID(TRIM('Template Setup'!$C$5),FIND("-",TRIM('Template Setup'!$C$5))+1,10)),0))</f>
        <v/>
      </c>
      <c r="N867" s="11" t="str">
        <f>IF($A867="","",IFERROR(VALUE(MID(TRIM('Template Setup'!$C$6),FIND("-",TRIM('Template Setup'!$C$6))+1,10)),0))</f>
        <v/>
      </c>
      <c r="O867" s="11" t="str">
        <f>IF($A867="","",IFERROR(VALUE(MID(TRIM('Template Setup'!$C$7),FIND("-",TRIM('Template Setup'!$C$7))+1,10)),0))</f>
        <v/>
      </c>
      <c r="P867" s="11" t="str">
        <f>IF($A867="","",IFERROR(VALUE(MID(TRIM('Template Setup'!$C$8),FIND("-",TRIM('Template Setup'!$C$8))+1,10)),0))</f>
        <v/>
      </c>
      <c r="Q867" s="9" t="str">
        <f>IF($A867="","",$A867&amp;"-"&amp;'Template Setup'!$C$16)</f>
        <v/>
      </c>
      <c r="R867" s="24" t="str">
        <f t="shared" si="53"/>
        <v/>
      </c>
      <c r="S867" s="24"/>
      <c r="T867" s="24" t="str">
        <f t="shared" si="54"/>
        <v/>
      </c>
      <c r="U867" s="6" t="str">
        <f t="shared" si="56"/>
        <v/>
      </c>
    </row>
    <row r="868" spans="1:21">
      <c r="A868" s="11"/>
      <c r="B868" s="11"/>
      <c r="C868" s="11"/>
      <c r="D868" s="11" t="str">
        <f>IF($A868="","",_xlfn.TEXTJOIN(", ",TRUE,IF($G868&gt;0,'Template Setup'!$C$4,""),IF($H868&gt;0,'Template Setup'!$C$5,""),IF($I868&gt;0,'Template Setup'!$C$6,""),IF($J868&gt;0,'Template Setup'!$C$7,""),IF($K868&gt;0,'Template Setup'!$C$8,"")))</f>
        <v/>
      </c>
      <c r="E868" s="6" t="str" cm="1">
        <f t="array" ref="E868">IF($A868="","",_xlfn.LET(_xlpm.sheets,CHOOSE({1,2,3,4,5},'Template Setup'!$C$4,'Template Setup'!$C$5,'Template Setup'!$C$6,'Template Setup'!$C$7,'Template Setup'!$C$8),_xlpm.nums,CHOOSE({1,2,3,4,5},$L868,$M868,$N868,$O868,$P868),_xlpm.qtys,CHOOSE({1,2,3,4,5},$G868,$H868,$I868,$J868,$K868),_xlpm.validNums,_xlfn._xlws.FILTER(_xlpm.nums,_xlpm.qtys&gt;0),_xlpm.validSheets,_xlfn._xlws.FILTER(_xlpm.sheets,_xlpm.qtys&gt;0),_xlpm.mx,IFERROR(MAX(_xlpm.validNums),0),IF(_xlpm.mx=0,"",INDEX(_xlpm.validSheets,MATCH(_xlpm.mx,_xlpm.validNums,0))&amp;" (+"&amp;$R868&amp;")")))</f>
        <v/>
      </c>
      <c r="F868" s="11" t="str">
        <f t="shared" si="55"/>
        <v/>
      </c>
      <c r="G868" s="12" t="str">
        <f ca="1">IF($A868="","",IFERROR(SUMIF(INDIRECT("'"&amp;'Template Setup'!$C$4&amp;"'!C:C"),$A868,INDIRECT("'"&amp;'Template Setup'!$C$4&amp;"'!A:A")),0))</f>
        <v/>
      </c>
      <c r="H868" s="12" t="str">
        <f ca="1">IF($A868="","",IFERROR(SUMIF(INDIRECT("'"&amp;'Template Setup'!$C$5&amp;"'!C:C"),$A868,INDIRECT("'"&amp;'Template Setup'!$C$5&amp;"'!A:A")),0))</f>
        <v/>
      </c>
      <c r="I868" s="12" t="str">
        <f ca="1">IF($A868="","",IFERROR(SUMIF(INDIRECT("'"&amp;'Template Setup'!$C$6&amp;"'!C:C"),$A868,INDIRECT("'"&amp;'Template Setup'!$C$6&amp;"'!A:A")),0))</f>
        <v/>
      </c>
      <c r="J868" s="12" t="str">
        <f ca="1">IF($A868="","",IFERROR(SUMIF(INDIRECT("'"&amp;'Template Setup'!$C$7&amp;"'!C:C"),$A868,INDIRECT("'"&amp;'Template Setup'!$C$7&amp;"'!A:A")),0))</f>
        <v/>
      </c>
      <c r="K868" s="12" t="str">
        <f ca="1">IF($A868="","",IFERROR(SUMIF(INDIRECT("'"&amp;'Template Setup'!$C$8&amp;"'!C:C"),$A868,INDIRECT("'"&amp;'Template Setup'!$C$8&amp;"'!A:A")),0))</f>
        <v/>
      </c>
      <c r="L868" s="11" t="str">
        <f>IF($A868="","",IFERROR(VALUE(MID(TRIM('Template Setup'!$C$4),FIND("-",TRIM('Template Setup'!$C$4))+1,10)),0))</f>
        <v/>
      </c>
      <c r="M868" s="11" t="str">
        <f>IF($A868="","",IFERROR(VALUE(MID(TRIM('Template Setup'!$C$5),FIND("-",TRIM('Template Setup'!$C$5))+1,10)),0))</f>
        <v/>
      </c>
      <c r="N868" s="11" t="str">
        <f>IF($A868="","",IFERROR(VALUE(MID(TRIM('Template Setup'!$C$6),FIND("-",TRIM('Template Setup'!$C$6))+1,10)),0))</f>
        <v/>
      </c>
      <c r="O868" s="11" t="str">
        <f>IF($A868="","",IFERROR(VALUE(MID(TRIM('Template Setup'!$C$7),FIND("-",TRIM('Template Setup'!$C$7))+1,10)),0))</f>
        <v/>
      </c>
      <c r="P868" s="11" t="str">
        <f>IF($A868="","",IFERROR(VALUE(MID(TRIM('Template Setup'!$C$8),FIND("-",TRIM('Template Setup'!$C$8))+1,10)),0))</f>
        <v/>
      </c>
      <c r="Q868" s="9" t="str">
        <f>IF($A868="","",$A868&amp;"-"&amp;'Template Setup'!$C$16)</f>
        <v/>
      </c>
      <c r="R868" s="24" t="str">
        <f t="shared" si="53"/>
        <v/>
      </c>
      <c r="S868" s="24"/>
      <c r="T868" s="24" t="str">
        <f t="shared" si="54"/>
        <v/>
      </c>
      <c r="U868" s="6" t="str">
        <f t="shared" si="56"/>
        <v/>
      </c>
    </row>
    <row r="869" spans="1:21">
      <c r="A869" s="11"/>
      <c r="B869" s="11"/>
      <c r="C869" s="11"/>
      <c r="D869" s="11" t="str">
        <f>IF($A869="","",_xlfn.TEXTJOIN(", ",TRUE,IF($G869&gt;0,'Template Setup'!$C$4,""),IF($H869&gt;0,'Template Setup'!$C$5,""),IF($I869&gt;0,'Template Setup'!$C$6,""),IF($J869&gt;0,'Template Setup'!$C$7,""),IF($K869&gt;0,'Template Setup'!$C$8,"")))</f>
        <v/>
      </c>
      <c r="E869" s="6" t="str" cm="1">
        <f t="array" ref="E869">IF($A869="","",_xlfn.LET(_xlpm.sheets,CHOOSE({1,2,3,4,5},'Template Setup'!$C$4,'Template Setup'!$C$5,'Template Setup'!$C$6,'Template Setup'!$C$7,'Template Setup'!$C$8),_xlpm.nums,CHOOSE({1,2,3,4,5},$L869,$M869,$N869,$O869,$P869),_xlpm.qtys,CHOOSE({1,2,3,4,5},$G869,$H869,$I869,$J869,$K869),_xlpm.validNums,_xlfn._xlws.FILTER(_xlpm.nums,_xlpm.qtys&gt;0),_xlpm.validSheets,_xlfn._xlws.FILTER(_xlpm.sheets,_xlpm.qtys&gt;0),_xlpm.mx,IFERROR(MAX(_xlpm.validNums),0),IF(_xlpm.mx=0,"",INDEX(_xlpm.validSheets,MATCH(_xlpm.mx,_xlpm.validNums,0))&amp;" (+"&amp;$R869&amp;")")))</f>
        <v/>
      </c>
      <c r="F869" s="11" t="str">
        <f t="shared" si="55"/>
        <v/>
      </c>
      <c r="G869" s="12" t="str">
        <f ca="1">IF($A869="","",IFERROR(SUMIF(INDIRECT("'"&amp;'Template Setup'!$C$4&amp;"'!C:C"),$A869,INDIRECT("'"&amp;'Template Setup'!$C$4&amp;"'!A:A")),0))</f>
        <v/>
      </c>
      <c r="H869" s="12" t="str">
        <f ca="1">IF($A869="","",IFERROR(SUMIF(INDIRECT("'"&amp;'Template Setup'!$C$5&amp;"'!C:C"),$A869,INDIRECT("'"&amp;'Template Setup'!$C$5&amp;"'!A:A")),0))</f>
        <v/>
      </c>
      <c r="I869" s="12" t="str">
        <f ca="1">IF($A869="","",IFERROR(SUMIF(INDIRECT("'"&amp;'Template Setup'!$C$6&amp;"'!C:C"),$A869,INDIRECT("'"&amp;'Template Setup'!$C$6&amp;"'!A:A")),0))</f>
        <v/>
      </c>
      <c r="J869" s="12" t="str">
        <f ca="1">IF($A869="","",IFERROR(SUMIF(INDIRECT("'"&amp;'Template Setup'!$C$7&amp;"'!C:C"),$A869,INDIRECT("'"&amp;'Template Setup'!$C$7&amp;"'!A:A")),0))</f>
        <v/>
      </c>
      <c r="K869" s="12" t="str">
        <f ca="1">IF($A869="","",IFERROR(SUMIF(INDIRECT("'"&amp;'Template Setup'!$C$8&amp;"'!C:C"),$A869,INDIRECT("'"&amp;'Template Setup'!$C$8&amp;"'!A:A")),0))</f>
        <v/>
      </c>
      <c r="L869" s="11" t="str">
        <f>IF($A869="","",IFERROR(VALUE(MID(TRIM('Template Setup'!$C$4),FIND("-",TRIM('Template Setup'!$C$4))+1,10)),0))</f>
        <v/>
      </c>
      <c r="M869" s="11" t="str">
        <f>IF($A869="","",IFERROR(VALUE(MID(TRIM('Template Setup'!$C$5),FIND("-",TRIM('Template Setup'!$C$5))+1,10)),0))</f>
        <v/>
      </c>
      <c r="N869" s="11" t="str">
        <f>IF($A869="","",IFERROR(VALUE(MID(TRIM('Template Setup'!$C$6),FIND("-",TRIM('Template Setup'!$C$6))+1,10)),0))</f>
        <v/>
      </c>
      <c r="O869" s="11" t="str">
        <f>IF($A869="","",IFERROR(VALUE(MID(TRIM('Template Setup'!$C$7),FIND("-",TRIM('Template Setup'!$C$7))+1,10)),0))</f>
        <v/>
      </c>
      <c r="P869" s="11" t="str">
        <f>IF($A869="","",IFERROR(VALUE(MID(TRIM('Template Setup'!$C$8),FIND("-",TRIM('Template Setup'!$C$8))+1,10)),0))</f>
        <v/>
      </c>
      <c r="Q869" s="9" t="str">
        <f>IF($A869="","",$A869&amp;"-"&amp;'Template Setup'!$C$16)</f>
        <v/>
      </c>
      <c r="R869" s="24" t="str">
        <f t="shared" si="53"/>
        <v/>
      </c>
      <c r="S869" s="24"/>
      <c r="T869" s="24" t="str">
        <f t="shared" si="54"/>
        <v/>
      </c>
      <c r="U869" s="6" t="str">
        <f t="shared" si="56"/>
        <v/>
      </c>
    </row>
    <row r="870" spans="1:21">
      <c r="A870" s="11"/>
      <c r="B870" s="11"/>
      <c r="C870" s="11"/>
      <c r="D870" s="11" t="str">
        <f>IF($A870="","",_xlfn.TEXTJOIN(", ",TRUE,IF($G870&gt;0,'Template Setup'!$C$4,""),IF($H870&gt;0,'Template Setup'!$C$5,""),IF($I870&gt;0,'Template Setup'!$C$6,""),IF($J870&gt;0,'Template Setup'!$C$7,""),IF($K870&gt;0,'Template Setup'!$C$8,"")))</f>
        <v/>
      </c>
      <c r="E870" s="6" t="str" cm="1">
        <f t="array" ref="E870">IF($A870="","",_xlfn.LET(_xlpm.sheets,CHOOSE({1,2,3,4,5},'Template Setup'!$C$4,'Template Setup'!$C$5,'Template Setup'!$C$6,'Template Setup'!$C$7,'Template Setup'!$C$8),_xlpm.nums,CHOOSE({1,2,3,4,5},$L870,$M870,$N870,$O870,$P870),_xlpm.qtys,CHOOSE({1,2,3,4,5},$G870,$H870,$I870,$J870,$K870),_xlpm.validNums,_xlfn._xlws.FILTER(_xlpm.nums,_xlpm.qtys&gt;0),_xlpm.validSheets,_xlfn._xlws.FILTER(_xlpm.sheets,_xlpm.qtys&gt;0),_xlpm.mx,IFERROR(MAX(_xlpm.validNums),0),IF(_xlpm.mx=0,"",INDEX(_xlpm.validSheets,MATCH(_xlpm.mx,_xlpm.validNums,0))&amp;" (+"&amp;$R870&amp;")")))</f>
        <v/>
      </c>
      <c r="F870" s="11" t="str">
        <f t="shared" si="55"/>
        <v/>
      </c>
      <c r="G870" s="12" t="str">
        <f ca="1">IF($A870="","",IFERROR(SUMIF(INDIRECT("'"&amp;'Template Setup'!$C$4&amp;"'!C:C"),$A870,INDIRECT("'"&amp;'Template Setup'!$C$4&amp;"'!A:A")),0))</f>
        <v/>
      </c>
      <c r="H870" s="12" t="str">
        <f ca="1">IF($A870="","",IFERROR(SUMIF(INDIRECT("'"&amp;'Template Setup'!$C$5&amp;"'!C:C"),$A870,INDIRECT("'"&amp;'Template Setup'!$C$5&amp;"'!A:A")),0))</f>
        <v/>
      </c>
      <c r="I870" s="12" t="str">
        <f ca="1">IF($A870="","",IFERROR(SUMIF(INDIRECT("'"&amp;'Template Setup'!$C$6&amp;"'!C:C"),$A870,INDIRECT("'"&amp;'Template Setup'!$C$6&amp;"'!A:A")),0))</f>
        <v/>
      </c>
      <c r="J870" s="12" t="str">
        <f ca="1">IF($A870="","",IFERROR(SUMIF(INDIRECT("'"&amp;'Template Setup'!$C$7&amp;"'!C:C"),$A870,INDIRECT("'"&amp;'Template Setup'!$C$7&amp;"'!A:A")),0))</f>
        <v/>
      </c>
      <c r="K870" s="12" t="str">
        <f ca="1">IF($A870="","",IFERROR(SUMIF(INDIRECT("'"&amp;'Template Setup'!$C$8&amp;"'!C:C"),$A870,INDIRECT("'"&amp;'Template Setup'!$C$8&amp;"'!A:A")),0))</f>
        <v/>
      </c>
      <c r="L870" s="11" t="str">
        <f>IF($A870="","",IFERROR(VALUE(MID(TRIM('Template Setup'!$C$4),FIND("-",TRIM('Template Setup'!$C$4))+1,10)),0))</f>
        <v/>
      </c>
      <c r="M870" s="11" t="str">
        <f>IF($A870="","",IFERROR(VALUE(MID(TRIM('Template Setup'!$C$5),FIND("-",TRIM('Template Setup'!$C$5))+1,10)),0))</f>
        <v/>
      </c>
      <c r="N870" s="11" t="str">
        <f>IF($A870="","",IFERROR(VALUE(MID(TRIM('Template Setup'!$C$6),FIND("-",TRIM('Template Setup'!$C$6))+1,10)),0))</f>
        <v/>
      </c>
      <c r="O870" s="11" t="str">
        <f>IF($A870="","",IFERROR(VALUE(MID(TRIM('Template Setup'!$C$7),FIND("-",TRIM('Template Setup'!$C$7))+1,10)),0))</f>
        <v/>
      </c>
      <c r="P870" s="11" t="str">
        <f>IF($A870="","",IFERROR(VALUE(MID(TRIM('Template Setup'!$C$8),FIND("-",TRIM('Template Setup'!$C$8))+1,10)),0))</f>
        <v/>
      </c>
      <c r="Q870" s="9" t="str">
        <f>IF($A870="","",$A870&amp;"-"&amp;'Template Setup'!$C$16)</f>
        <v/>
      </c>
      <c r="R870" s="24" t="str">
        <f t="shared" si="53"/>
        <v/>
      </c>
      <c r="S870" s="24"/>
      <c r="T870" s="24" t="str">
        <f t="shared" si="54"/>
        <v/>
      </c>
      <c r="U870" s="6" t="str">
        <f t="shared" si="56"/>
        <v/>
      </c>
    </row>
    <row r="871" spans="1:21">
      <c r="A871" s="11"/>
      <c r="B871" s="11"/>
      <c r="C871" s="11"/>
      <c r="D871" s="11" t="str">
        <f>IF($A871="","",_xlfn.TEXTJOIN(", ",TRUE,IF($G871&gt;0,'Template Setup'!$C$4,""),IF($H871&gt;0,'Template Setup'!$C$5,""),IF($I871&gt;0,'Template Setup'!$C$6,""),IF($J871&gt;0,'Template Setup'!$C$7,""),IF($K871&gt;0,'Template Setup'!$C$8,"")))</f>
        <v/>
      </c>
      <c r="E871" s="6" t="str" cm="1">
        <f t="array" ref="E871">IF($A871="","",_xlfn.LET(_xlpm.sheets,CHOOSE({1,2,3,4,5},'Template Setup'!$C$4,'Template Setup'!$C$5,'Template Setup'!$C$6,'Template Setup'!$C$7,'Template Setup'!$C$8),_xlpm.nums,CHOOSE({1,2,3,4,5},$L871,$M871,$N871,$O871,$P871),_xlpm.qtys,CHOOSE({1,2,3,4,5},$G871,$H871,$I871,$J871,$K871),_xlpm.validNums,_xlfn._xlws.FILTER(_xlpm.nums,_xlpm.qtys&gt;0),_xlpm.validSheets,_xlfn._xlws.FILTER(_xlpm.sheets,_xlpm.qtys&gt;0),_xlpm.mx,IFERROR(MAX(_xlpm.validNums),0),IF(_xlpm.mx=0,"",INDEX(_xlpm.validSheets,MATCH(_xlpm.mx,_xlpm.validNums,0))&amp;" (+"&amp;$R871&amp;")")))</f>
        <v/>
      </c>
      <c r="F871" s="11" t="str">
        <f t="shared" si="55"/>
        <v/>
      </c>
      <c r="G871" s="12" t="str">
        <f ca="1">IF($A871="","",IFERROR(SUMIF(INDIRECT("'"&amp;'Template Setup'!$C$4&amp;"'!C:C"),$A871,INDIRECT("'"&amp;'Template Setup'!$C$4&amp;"'!A:A")),0))</f>
        <v/>
      </c>
      <c r="H871" s="12" t="str">
        <f ca="1">IF($A871="","",IFERROR(SUMIF(INDIRECT("'"&amp;'Template Setup'!$C$5&amp;"'!C:C"),$A871,INDIRECT("'"&amp;'Template Setup'!$C$5&amp;"'!A:A")),0))</f>
        <v/>
      </c>
      <c r="I871" s="12" t="str">
        <f ca="1">IF($A871="","",IFERROR(SUMIF(INDIRECT("'"&amp;'Template Setup'!$C$6&amp;"'!C:C"),$A871,INDIRECT("'"&amp;'Template Setup'!$C$6&amp;"'!A:A")),0))</f>
        <v/>
      </c>
      <c r="J871" s="12" t="str">
        <f ca="1">IF($A871="","",IFERROR(SUMIF(INDIRECT("'"&amp;'Template Setup'!$C$7&amp;"'!C:C"),$A871,INDIRECT("'"&amp;'Template Setup'!$C$7&amp;"'!A:A")),0))</f>
        <v/>
      </c>
      <c r="K871" s="12" t="str">
        <f ca="1">IF($A871="","",IFERROR(SUMIF(INDIRECT("'"&amp;'Template Setup'!$C$8&amp;"'!C:C"),$A871,INDIRECT("'"&amp;'Template Setup'!$C$8&amp;"'!A:A")),0))</f>
        <v/>
      </c>
      <c r="L871" s="11" t="str">
        <f>IF($A871="","",IFERROR(VALUE(MID(TRIM('Template Setup'!$C$4),FIND("-",TRIM('Template Setup'!$C$4))+1,10)),0))</f>
        <v/>
      </c>
      <c r="M871" s="11" t="str">
        <f>IF($A871="","",IFERROR(VALUE(MID(TRIM('Template Setup'!$C$5),FIND("-",TRIM('Template Setup'!$C$5))+1,10)),0))</f>
        <v/>
      </c>
      <c r="N871" s="11" t="str">
        <f>IF($A871="","",IFERROR(VALUE(MID(TRIM('Template Setup'!$C$6),FIND("-",TRIM('Template Setup'!$C$6))+1,10)),0))</f>
        <v/>
      </c>
      <c r="O871" s="11" t="str">
        <f>IF($A871="","",IFERROR(VALUE(MID(TRIM('Template Setup'!$C$7),FIND("-",TRIM('Template Setup'!$C$7))+1,10)),0))</f>
        <v/>
      </c>
      <c r="P871" s="11" t="str">
        <f>IF($A871="","",IFERROR(VALUE(MID(TRIM('Template Setup'!$C$8),FIND("-",TRIM('Template Setup'!$C$8))+1,10)),0))</f>
        <v/>
      </c>
      <c r="Q871" s="9" t="str">
        <f>IF($A871="","",$A871&amp;"-"&amp;'Template Setup'!$C$16)</f>
        <v/>
      </c>
      <c r="R871" s="24" t="str">
        <f t="shared" si="53"/>
        <v/>
      </c>
      <c r="S871" s="24"/>
      <c r="T871" s="24" t="str">
        <f t="shared" si="54"/>
        <v/>
      </c>
      <c r="U871" s="6" t="str">
        <f t="shared" si="56"/>
        <v/>
      </c>
    </row>
    <row r="872" spans="1:21">
      <c r="A872" s="11"/>
      <c r="B872" s="11"/>
      <c r="C872" s="11"/>
      <c r="D872" s="11" t="str">
        <f>IF($A872="","",_xlfn.TEXTJOIN(", ",TRUE,IF($G872&gt;0,'Template Setup'!$C$4,""),IF($H872&gt;0,'Template Setup'!$C$5,""),IF($I872&gt;0,'Template Setup'!$C$6,""),IF($J872&gt;0,'Template Setup'!$C$7,""),IF($K872&gt;0,'Template Setup'!$C$8,"")))</f>
        <v/>
      </c>
      <c r="E872" s="6" t="str" cm="1">
        <f t="array" ref="E872">IF($A872="","",_xlfn.LET(_xlpm.sheets,CHOOSE({1,2,3,4,5},'Template Setup'!$C$4,'Template Setup'!$C$5,'Template Setup'!$C$6,'Template Setup'!$C$7,'Template Setup'!$C$8),_xlpm.nums,CHOOSE({1,2,3,4,5},$L872,$M872,$N872,$O872,$P872),_xlpm.qtys,CHOOSE({1,2,3,4,5},$G872,$H872,$I872,$J872,$K872),_xlpm.validNums,_xlfn._xlws.FILTER(_xlpm.nums,_xlpm.qtys&gt;0),_xlpm.validSheets,_xlfn._xlws.FILTER(_xlpm.sheets,_xlpm.qtys&gt;0),_xlpm.mx,IFERROR(MAX(_xlpm.validNums),0),IF(_xlpm.mx=0,"",INDEX(_xlpm.validSheets,MATCH(_xlpm.mx,_xlpm.validNums,0))&amp;" (+"&amp;$R872&amp;")")))</f>
        <v/>
      </c>
      <c r="F872" s="11" t="str">
        <f t="shared" si="55"/>
        <v/>
      </c>
      <c r="G872" s="12" t="str">
        <f ca="1">IF($A872="","",IFERROR(SUMIF(INDIRECT("'"&amp;'Template Setup'!$C$4&amp;"'!C:C"),$A872,INDIRECT("'"&amp;'Template Setup'!$C$4&amp;"'!A:A")),0))</f>
        <v/>
      </c>
      <c r="H872" s="12" t="str">
        <f ca="1">IF($A872="","",IFERROR(SUMIF(INDIRECT("'"&amp;'Template Setup'!$C$5&amp;"'!C:C"),$A872,INDIRECT("'"&amp;'Template Setup'!$C$5&amp;"'!A:A")),0))</f>
        <v/>
      </c>
      <c r="I872" s="12" t="str">
        <f ca="1">IF($A872="","",IFERROR(SUMIF(INDIRECT("'"&amp;'Template Setup'!$C$6&amp;"'!C:C"),$A872,INDIRECT("'"&amp;'Template Setup'!$C$6&amp;"'!A:A")),0))</f>
        <v/>
      </c>
      <c r="J872" s="12" t="str">
        <f ca="1">IF($A872="","",IFERROR(SUMIF(INDIRECT("'"&amp;'Template Setup'!$C$7&amp;"'!C:C"),$A872,INDIRECT("'"&amp;'Template Setup'!$C$7&amp;"'!A:A")),0))</f>
        <v/>
      </c>
      <c r="K872" s="12" t="str">
        <f ca="1">IF($A872="","",IFERROR(SUMIF(INDIRECT("'"&amp;'Template Setup'!$C$8&amp;"'!C:C"),$A872,INDIRECT("'"&amp;'Template Setup'!$C$8&amp;"'!A:A")),0))</f>
        <v/>
      </c>
      <c r="L872" s="11" t="str">
        <f>IF($A872="","",IFERROR(VALUE(MID(TRIM('Template Setup'!$C$4),FIND("-",TRIM('Template Setup'!$C$4))+1,10)),0))</f>
        <v/>
      </c>
      <c r="M872" s="11" t="str">
        <f>IF($A872="","",IFERROR(VALUE(MID(TRIM('Template Setup'!$C$5),FIND("-",TRIM('Template Setup'!$C$5))+1,10)),0))</f>
        <v/>
      </c>
      <c r="N872" s="11" t="str">
        <f>IF($A872="","",IFERROR(VALUE(MID(TRIM('Template Setup'!$C$6),FIND("-",TRIM('Template Setup'!$C$6))+1,10)),0))</f>
        <v/>
      </c>
      <c r="O872" s="11" t="str">
        <f>IF($A872="","",IFERROR(VALUE(MID(TRIM('Template Setup'!$C$7),FIND("-",TRIM('Template Setup'!$C$7))+1,10)),0))</f>
        <v/>
      </c>
      <c r="P872" s="11" t="str">
        <f>IF($A872="","",IFERROR(VALUE(MID(TRIM('Template Setup'!$C$8),FIND("-",TRIM('Template Setup'!$C$8))+1,10)),0))</f>
        <v/>
      </c>
      <c r="Q872" s="9" t="str">
        <f>IF($A872="","",$A872&amp;"-"&amp;'Template Setup'!$C$16)</f>
        <v/>
      </c>
      <c r="R872" s="24" t="str">
        <f t="shared" si="53"/>
        <v/>
      </c>
      <c r="S872" s="24"/>
      <c r="T872" s="24" t="str">
        <f t="shared" si="54"/>
        <v/>
      </c>
      <c r="U872" s="6" t="str">
        <f t="shared" si="56"/>
        <v/>
      </c>
    </row>
    <row r="873" spans="1:21">
      <c r="A873" s="11"/>
      <c r="B873" s="11"/>
      <c r="C873" s="11"/>
      <c r="D873" s="11" t="str">
        <f>IF($A873="","",_xlfn.TEXTJOIN(", ",TRUE,IF($G873&gt;0,'Template Setup'!$C$4,""),IF($H873&gt;0,'Template Setup'!$C$5,""),IF($I873&gt;0,'Template Setup'!$C$6,""),IF($J873&gt;0,'Template Setup'!$C$7,""),IF($K873&gt;0,'Template Setup'!$C$8,"")))</f>
        <v/>
      </c>
      <c r="E873" s="6" t="str" cm="1">
        <f t="array" ref="E873">IF($A873="","",_xlfn.LET(_xlpm.sheets,CHOOSE({1,2,3,4,5},'Template Setup'!$C$4,'Template Setup'!$C$5,'Template Setup'!$C$6,'Template Setup'!$C$7,'Template Setup'!$C$8),_xlpm.nums,CHOOSE({1,2,3,4,5},$L873,$M873,$N873,$O873,$P873),_xlpm.qtys,CHOOSE({1,2,3,4,5},$G873,$H873,$I873,$J873,$K873),_xlpm.validNums,_xlfn._xlws.FILTER(_xlpm.nums,_xlpm.qtys&gt;0),_xlpm.validSheets,_xlfn._xlws.FILTER(_xlpm.sheets,_xlpm.qtys&gt;0),_xlpm.mx,IFERROR(MAX(_xlpm.validNums),0),IF(_xlpm.mx=0,"",INDEX(_xlpm.validSheets,MATCH(_xlpm.mx,_xlpm.validNums,0))&amp;" (+"&amp;$R873&amp;")")))</f>
        <v/>
      </c>
      <c r="F873" s="11" t="str">
        <f t="shared" si="55"/>
        <v/>
      </c>
      <c r="G873" s="12" t="str">
        <f ca="1">IF($A873="","",IFERROR(SUMIF(INDIRECT("'"&amp;'Template Setup'!$C$4&amp;"'!C:C"),$A873,INDIRECT("'"&amp;'Template Setup'!$C$4&amp;"'!A:A")),0))</f>
        <v/>
      </c>
      <c r="H873" s="12" t="str">
        <f ca="1">IF($A873="","",IFERROR(SUMIF(INDIRECT("'"&amp;'Template Setup'!$C$5&amp;"'!C:C"),$A873,INDIRECT("'"&amp;'Template Setup'!$C$5&amp;"'!A:A")),0))</f>
        <v/>
      </c>
      <c r="I873" s="12" t="str">
        <f ca="1">IF($A873="","",IFERROR(SUMIF(INDIRECT("'"&amp;'Template Setup'!$C$6&amp;"'!C:C"),$A873,INDIRECT("'"&amp;'Template Setup'!$C$6&amp;"'!A:A")),0))</f>
        <v/>
      </c>
      <c r="J873" s="12" t="str">
        <f ca="1">IF($A873="","",IFERROR(SUMIF(INDIRECT("'"&amp;'Template Setup'!$C$7&amp;"'!C:C"),$A873,INDIRECT("'"&amp;'Template Setup'!$C$7&amp;"'!A:A")),0))</f>
        <v/>
      </c>
      <c r="K873" s="12" t="str">
        <f ca="1">IF($A873="","",IFERROR(SUMIF(INDIRECT("'"&amp;'Template Setup'!$C$8&amp;"'!C:C"),$A873,INDIRECT("'"&amp;'Template Setup'!$C$8&amp;"'!A:A")),0))</f>
        <v/>
      </c>
      <c r="L873" s="11" t="str">
        <f>IF($A873="","",IFERROR(VALUE(MID(TRIM('Template Setup'!$C$4),FIND("-",TRIM('Template Setup'!$C$4))+1,10)),0))</f>
        <v/>
      </c>
      <c r="M873" s="11" t="str">
        <f>IF($A873="","",IFERROR(VALUE(MID(TRIM('Template Setup'!$C$5),FIND("-",TRIM('Template Setup'!$C$5))+1,10)),0))</f>
        <v/>
      </c>
      <c r="N873" s="11" t="str">
        <f>IF($A873="","",IFERROR(VALUE(MID(TRIM('Template Setup'!$C$6),FIND("-",TRIM('Template Setup'!$C$6))+1,10)),0))</f>
        <v/>
      </c>
      <c r="O873" s="11" t="str">
        <f>IF($A873="","",IFERROR(VALUE(MID(TRIM('Template Setup'!$C$7),FIND("-",TRIM('Template Setup'!$C$7))+1,10)),0))</f>
        <v/>
      </c>
      <c r="P873" s="11" t="str">
        <f>IF($A873="","",IFERROR(VALUE(MID(TRIM('Template Setup'!$C$8),FIND("-",TRIM('Template Setup'!$C$8))+1,10)),0))</f>
        <v/>
      </c>
      <c r="Q873" s="9" t="str">
        <f>IF($A873="","",$A873&amp;"-"&amp;'Template Setup'!$C$16)</f>
        <v/>
      </c>
      <c r="R873" s="24" t="str">
        <f t="shared" si="53"/>
        <v/>
      </c>
      <c r="S873" s="24"/>
      <c r="T873" s="24" t="str">
        <f t="shared" si="54"/>
        <v/>
      </c>
      <c r="U873" s="6" t="str">
        <f t="shared" si="56"/>
        <v/>
      </c>
    </row>
    <row r="874" spans="1:21">
      <c r="A874" s="11"/>
      <c r="B874" s="11"/>
      <c r="C874" s="11"/>
      <c r="D874" s="11" t="str">
        <f>IF($A874="","",_xlfn.TEXTJOIN(", ",TRUE,IF($G874&gt;0,'Template Setup'!$C$4,""),IF($H874&gt;0,'Template Setup'!$C$5,""),IF($I874&gt;0,'Template Setup'!$C$6,""),IF($J874&gt;0,'Template Setup'!$C$7,""),IF($K874&gt;0,'Template Setup'!$C$8,"")))</f>
        <v/>
      </c>
      <c r="E874" s="6" t="str" cm="1">
        <f t="array" ref="E874">IF($A874="","",_xlfn.LET(_xlpm.sheets,CHOOSE({1,2,3,4,5},'Template Setup'!$C$4,'Template Setup'!$C$5,'Template Setup'!$C$6,'Template Setup'!$C$7,'Template Setup'!$C$8),_xlpm.nums,CHOOSE({1,2,3,4,5},$L874,$M874,$N874,$O874,$P874),_xlpm.qtys,CHOOSE({1,2,3,4,5},$G874,$H874,$I874,$J874,$K874),_xlpm.validNums,_xlfn._xlws.FILTER(_xlpm.nums,_xlpm.qtys&gt;0),_xlpm.validSheets,_xlfn._xlws.FILTER(_xlpm.sheets,_xlpm.qtys&gt;0),_xlpm.mx,IFERROR(MAX(_xlpm.validNums),0),IF(_xlpm.mx=0,"",INDEX(_xlpm.validSheets,MATCH(_xlpm.mx,_xlpm.validNums,0))&amp;" (+"&amp;$R874&amp;")")))</f>
        <v/>
      </c>
      <c r="F874" s="11" t="str">
        <f t="shared" si="55"/>
        <v/>
      </c>
      <c r="G874" s="12" t="str">
        <f ca="1">IF($A874="","",IFERROR(SUMIF(INDIRECT("'"&amp;'Template Setup'!$C$4&amp;"'!C:C"),$A874,INDIRECT("'"&amp;'Template Setup'!$C$4&amp;"'!A:A")),0))</f>
        <v/>
      </c>
      <c r="H874" s="12" t="str">
        <f ca="1">IF($A874="","",IFERROR(SUMIF(INDIRECT("'"&amp;'Template Setup'!$C$5&amp;"'!C:C"),$A874,INDIRECT("'"&amp;'Template Setup'!$C$5&amp;"'!A:A")),0))</f>
        <v/>
      </c>
      <c r="I874" s="12" t="str">
        <f ca="1">IF($A874="","",IFERROR(SUMIF(INDIRECT("'"&amp;'Template Setup'!$C$6&amp;"'!C:C"),$A874,INDIRECT("'"&amp;'Template Setup'!$C$6&amp;"'!A:A")),0))</f>
        <v/>
      </c>
      <c r="J874" s="12" t="str">
        <f ca="1">IF($A874="","",IFERROR(SUMIF(INDIRECT("'"&amp;'Template Setup'!$C$7&amp;"'!C:C"),$A874,INDIRECT("'"&amp;'Template Setup'!$C$7&amp;"'!A:A")),0))</f>
        <v/>
      </c>
      <c r="K874" s="12" t="str">
        <f ca="1">IF($A874="","",IFERROR(SUMIF(INDIRECT("'"&amp;'Template Setup'!$C$8&amp;"'!C:C"),$A874,INDIRECT("'"&amp;'Template Setup'!$C$8&amp;"'!A:A")),0))</f>
        <v/>
      </c>
      <c r="L874" s="11" t="str">
        <f>IF($A874="","",IFERROR(VALUE(MID(TRIM('Template Setup'!$C$4),FIND("-",TRIM('Template Setup'!$C$4))+1,10)),0))</f>
        <v/>
      </c>
      <c r="M874" s="11" t="str">
        <f>IF($A874="","",IFERROR(VALUE(MID(TRIM('Template Setup'!$C$5),FIND("-",TRIM('Template Setup'!$C$5))+1,10)),0))</f>
        <v/>
      </c>
      <c r="N874" s="11" t="str">
        <f>IF($A874="","",IFERROR(VALUE(MID(TRIM('Template Setup'!$C$6),FIND("-",TRIM('Template Setup'!$C$6))+1,10)),0))</f>
        <v/>
      </c>
      <c r="O874" s="11" t="str">
        <f>IF($A874="","",IFERROR(VALUE(MID(TRIM('Template Setup'!$C$7),FIND("-",TRIM('Template Setup'!$C$7))+1,10)),0))</f>
        <v/>
      </c>
      <c r="P874" s="11" t="str">
        <f>IF($A874="","",IFERROR(VALUE(MID(TRIM('Template Setup'!$C$8),FIND("-",TRIM('Template Setup'!$C$8))+1,10)),0))</f>
        <v/>
      </c>
      <c r="Q874" s="9" t="str">
        <f>IF($A874="","",$A874&amp;"-"&amp;'Template Setup'!$C$16)</f>
        <v/>
      </c>
      <c r="R874" s="24" t="str">
        <f t="shared" si="53"/>
        <v/>
      </c>
      <c r="S874" s="24"/>
      <c r="T874" s="24" t="str">
        <f t="shared" si="54"/>
        <v/>
      </c>
      <c r="U874" s="6" t="str">
        <f t="shared" si="56"/>
        <v/>
      </c>
    </row>
    <row r="875" spans="1:21">
      <c r="A875" s="11"/>
      <c r="B875" s="11"/>
      <c r="C875" s="11"/>
      <c r="D875" s="11" t="str">
        <f>IF($A875="","",_xlfn.TEXTJOIN(", ",TRUE,IF($G875&gt;0,'Template Setup'!$C$4,""),IF($H875&gt;0,'Template Setup'!$C$5,""),IF($I875&gt;0,'Template Setup'!$C$6,""),IF($J875&gt;0,'Template Setup'!$C$7,""),IF($K875&gt;0,'Template Setup'!$C$8,"")))</f>
        <v/>
      </c>
      <c r="E875" s="6" t="str" cm="1">
        <f t="array" ref="E875">IF($A875="","",_xlfn.LET(_xlpm.sheets,CHOOSE({1,2,3,4,5},'Template Setup'!$C$4,'Template Setup'!$C$5,'Template Setup'!$C$6,'Template Setup'!$C$7,'Template Setup'!$C$8),_xlpm.nums,CHOOSE({1,2,3,4,5},$L875,$M875,$N875,$O875,$P875),_xlpm.qtys,CHOOSE({1,2,3,4,5},$G875,$H875,$I875,$J875,$K875),_xlpm.validNums,_xlfn._xlws.FILTER(_xlpm.nums,_xlpm.qtys&gt;0),_xlpm.validSheets,_xlfn._xlws.FILTER(_xlpm.sheets,_xlpm.qtys&gt;0),_xlpm.mx,IFERROR(MAX(_xlpm.validNums),0),IF(_xlpm.mx=0,"",INDEX(_xlpm.validSheets,MATCH(_xlpm.mx,_xlpm.validNums,0))&amp;" (+"&amp;$R875&amp;")")))</f>
        <v/>
      </c>
      <c r="F875" s="11" t="str">
        <f t="shared" si="55"/>
        <v/>
      </c>
      <c r="G875" s="12" t="str">
        <f ca="1">IF($A875="","",IFERROR(SUMIF(INDIRECT("'"&amp;'Template Setup'!$C$4&amp;"'!C:C"),$A875,INDIRECT("'"&amp;'Template Setup'!$C$4&amp;"'!A:A")),0))</f>
        <v/>
      </c>
      <c r="H875" s="12" t="str">
        <f ca="1">IF($A875="","",IFERROR(SUMIF(INDIRECT("'"&amp;'Template Setup'!$C$5&amp;"'!C:C"),$A875,INDIRECT("'"&amp;'Template Setup'!$C$5&amp;"'!A:A")),0))</f>
        <v/>
      </c>
      <c r="I875" s="12" t="str">
        <f ca="1">IF($A875="","",IFERROR(SUMIF(INDIRECT("'"&amp;'Template Setup'!$C$6&amp;"'!C:C"),$A875,INDIRECT("'"&amp;'Template Setup'!$C$6&amp;"'!A:A")),0))</f>
        <v/>
      </c>
      <c r="J875" s="12" t="str">
        <f ca="1">IF($A875="","",IFERROR(SUMIF(INDIRECT("'"&amp;'Template Setup'!$C$7&amp;"'!C:C"),$A875,INDIRECT("'"&amp;'Template Setup'!$C$7&amp;"'!A:A")),0))</f>
        <v/>
      </c>
      <c r="K875" s="12" t="str">
        <f ca="1">IF($A875="","",IFERROR(SUMIF(INDIRECT("'"&amp;'Template Setup'!$C$8&amp;"'!C:C"),$A875,INDIRECT("'"&amp;'Template Setup'!$C$8&amp;"'!A:A")),0))</f>
        <v/>
      </c>
      <c r="L875" s="11" t="str">
        <f>IF($A875="","",IFERROR(VALUE(MID(TRIM('Template Setup'!$C$4),FIND("-",TRIM('Template Setup'!$C$4))+1,10)),0))</f>
        <v/>
      </c>
      <c r="M875" s="11" t="str">
        <f>IF($A875="","",IFERROR(VALUE(MID(TRIM('Template Setup'!$C$5),FIND("-",TRIM('Template Setup'!$C$5))+1,10)),0))</f>
        <v/>
      </c>
      <c r="N875" s="11" t="str">
        <f>IF($A875="","",IFERROR(VALUE(MID(TRIM('Template Setup'!$C$6),FIND("-",TRIM('Template Setup'!$C$6))+1,10)),0))</f>
        <v/>
      </c>
      <c r="O875" s="11" t="str">
        <f>IF($A875="","",IFERROR(VALUE(MID(TRIM('Template Setup'!$C$7),FIND("-",TRIM('Template Setup'!$C$7))+1,10)),0))</f>
        <v/>
      </c>
      <c r="P875" s="11" t="str">
        <f>IF($A875="","",IFERROR(VALUE(MID(TRIM('Template Setup'!$C$8),FIND("-",TRIM('Template Setup'!$C$8))+1,10)),0))</f>
        <v/>
      </c>
      <c r="Q875" s="9" t="str">
        <f>IF($A875="","",$A875&amp;"-"&amp;'Template Setup'!$C$16)</f>
        <v/>
      </c>
      <c r="R875" s="24" t="str">
        <f t="shared" si="53"/>
        <v/>
      </c>
      <c r="S875" s="24"/>
      <c r="T875" s="24" t="str">
        <f t="shared" si="54"/>
        <v/>
      </c>
      <c r="U875" s="6" t="str">
        <f t="shared" si="56"/>
        <v/>
      </c>
    </row>
    <row r="876" spans="1:21">
      <c r="A876" s="11"/>
      <c r="B876" s="11"/>
      <c r="C876" s="11"/>
      <c r="D876" s="11" t="str">
        <f>IF($A876="","",_xlfn.TEXTJOIN(", ",TRUE,IF($G876&gt;0,'Template Setup'!$C$4,""),IF($H876&gt;0,'Template Setup'!$C$5,""),IF($I876&gt;0,'Template Setup'!$C$6,""),IF($J876&gt;0,'Template Setup'!$C$7,""),IF($K876&gt;0,'Template Setup'!$C$8,"")))</f>
        <v/>
      </c>
      <c r="E876" s="6" t="str" cm="1">
        <f t="array" ref="E876">IF($A876="","",_xlfn.LET(_xlpm.sheets,CHOOSE({1,2,3,4,5},'Template Setup'!$C$4,'Template Setup'!$C$5,'Template Setup'!$C$6,'Template Setup'!$C$7,'Template Setup'!$C$8),_xlpm.nums,CHOOSE({1,2,3,4,5},$L876,$M876,$N876,$O876,$P876),_xlpm.qtys,CHOOSE({1,2,3,4,5},$G876,$H876,$I876,$J876,$K876),_xlpm.validNums,_xlfn._xlws.FILTER(_xlpm.nums,_xlpm.qtys&gt;0),_xlpm.validSheets,_xlfn._xlws.FILTER(_xlpm.sheets,_xlpm.qtys&gt;0),_xlpm.mx,IFERROR(MAX(_xlpm.validNums),0),IF(_xlpm.mx=0,"",INDEX(_xlpm.validSheets,MATCH(_xlpm.mx,_xlpm.validNums,0))&amp;" (+"&amp;$R876&amp;")")))</f>
        <v/>
      </c>
      <c r="F876" s="11" t="str">
        <f t="shared" si="55"/>
        <v/>
      </c>
      <c r="G876" s="12" t="str">
        <f ca="1">IF($A876="","",IFERROR(SUMIF(INDIRECT("'"&amp;'Template Setup'!$C$4&amp;"'!C:C"),$A876,INDIRECT("'"&amp;'Template Setup'!$C$4&amp;"'!A:A")),0))</f>
        <v/>
      </c>
      <c r="H876" s="12" t="str">
        <f ca="1">IF($A876="","",IFERROR(SUMIF(INDIRECT("'"&amp;'Template Setup'!$C$5&amp;"'!C:C"),$A876,INDIRECT("'"&amp;'Template Setup'!$C$5&amp;"'!A:A")),0))</f>
        <v/>
      </c>
      <c r="I876" s="12" t="str">
        <f ca="1">IF($A876="","",IFERROR(SUMIF(INDIRECT("'"&amp;'Template Setup'!$C$6&amp;"'!C:C"),$A876,INDIRECT("'"&amp;'Template Setup'!$C$6&amp;"'!A:A")),0))</f>
        <v/>
      </c>
      <c r="J876" s="12" t="str">
        <f ca="1">IF($A876="","",IFERROR(SUMIF(INDIRECT("'"&amp;'Template Setup'!$C$7&amp;"'!C:C"),$A876,INDIRECT("'"&amp;'Template Setup'!$C$7&amp;"'!A:A")),0))</f>
        <v/>
      </c>
      <c r="K876" s="12" t="str">
        <f ca="1">IF($A876="","",IFERROR(SUMIF(INDIRECT("'"&amp;'Template Setup'!$C$8&amp;"'!C:C"),$A876,INDIRECT("'"&amp;'Template Setup'!$C$8&amp;"'!A:A")),0))</f>
        <v/>
      </c>
      <c r="L876" s="11" t="str">
        <f>IF($A876="","",IFERROR(VALUE(MID(TRIM('Template Setup'!$C$4),FIND("-",TRIM('Template Setup'!$C$4))+1,10)),0))</f>
        <v/>
      </c>
      <c r="M876" s="11" t="str">
        <f>IF($A876="","",IFERROR(VALUE(MID(TRIM('Template Setup'!$C$5),FIND("-",TRIM('Template Setup'!$C$5))+1,10)),0))</f>
        <v/>
      </c>
      <c r="N876" s="11" t="str">
        <f>IF($A876="","",IFERROR(VALUE(MID(TRIM('Template Setup'!$C$6),FIND("-",TRIM('Template Setup'!$C$6))+1,10)),0))</f>
        <v/>
      </c>
      <c r="O876" s="11" t="str">
        <f>IF($A876="","",IFERROR(VALUE(MID(TRIM('Template Setup'!$C$7),FIND("-",TRIM('Template Setup'!$C$7))+1,10)),0))</f>
        <v/>
      </c>
      <c r="P876" s="11" t="str">
        <f>IF($A876="","",IFERROR(VALUE(MID(TRIM('Template Setup'!$C$8),FIND("-",TRIM('Template Setup'!$C$8))+1,10)),0))</f>
        <v/>
      </c>
      <c r="Q876" s="9" t="str">
        <f>IF($A876="","",$A876&amp;"-"&amp;'Template Setup'!$C$16)</f>
        <v/>
      </c>
      <c r="R876" s="24" t="str">
        <f t="shared" si="53"/>
        <v/>
      </c>
      <c r="S876" s="24"/>
      <c r="T876" s="24" t="str">
        <f t="shared" si="54"/>
        <v/>
      </c>
      <c r="U876" s="6" t="str">
        <f t="shared" si="56"/>
        <v/>
      </c>
    </row>
    <row r="877" spans="1:21">
      <c r="A877" s="11"/>
      <c r="B877" s="11"/>
      <c r="C877" s="11"/>
      <c r="D877" s="11" t="str">
        <f>IF($A877="","",_xlfn.TEXTJOIN(", ",TRUE,IF($G877&gt;0,'Template Setup'!$C$4,""),IF($H877&gt;0,'Template Setup'!$C$5,""),IF($I877&gt;0,'Template Setup'!$C$6,""),IF($J877&gt;0,'Template Setup'!$C$7,""),IF($K877&gt;0,'Template Setup'!$C$8,"")))</f>
        <v/>
      </c>
      <c r="E877" s="6" t="str" cm="1">
        <f t="array" ref="E877">IF($A877="","",_xlfn.LET(_xlpm.sheets,CHOOSE({1,2,3,4,5},'Template Setup'!$C$4,'Template Setup'!$C$5,'Template Setup'!$C$6,'Template Setup'!$C$7,'Template Setup'!$C$8),_xlpm.nums,CHOOSE({1,2,3,4,5},$L877,$M877,$N877,$O877,$P877),_xlpm.qtys,CHOOSE({1,2,3,4,5},$G877,$H877,$I877,$J877,$K877),_xlpm.validNums,_xlfn._xlws.FILTER(_xlpm.nums,_xlpm.qtys&gt;0),_xlpm.validSheets,_xlfn._xlws.FILTER(_xlpm.sheets,_xlpm.qtys&gt;0),_xlpm.mx,IFERROR(MAX(_xlpm.validNums),0),IF(_xlpm.mx=0,"",INDEX(_xlpm.validSheets,MATCH(_xlpm.mx,_xlpm.validNums,0))&amp;" (+"&amp;$R877&amp;")")))</f>
        <v/>
      </c>
      <c r="F877" s="11" t="str">
        <f t="shared" si="55"/>
        <v/>
      </c>
      <c r="G877" s="12" t="str">
        <f ca="1">IF($A877="","",IFERROR(SUMIF(INDIRECT("'"&amp;'Template Setup'!$C$4&amp;"'!C:C"),$A877,INDIRECT("'"&amp;'Template Setup'!$C$4&amp;"'!A:A")),0))</f>
        <v/>
      </c>
      <c r="H877" s="12" t="str">
        <f ca="1">IF($A877="","",IFERROR(SUMIF(INDIRECT("'"&amp;'Template Setup'!$C$5&amp;"'!C:C"),$A877,INDIRECT("'"&amp;'Template Setup'!$C$5&amp;"'!A:A")),0))</f>
        <v/>
      </c>
      <c r="I877" s="12" t="str">
        <f ca="1">IF($A877="","",IFERROR(SUMIF(INDIRECT("'"&amp;'Template Setup'!$C$6&amp;"'!C:C"),$A877,INDIRECT("'"&amp;'Template Setup'!$C$6&amp;"'!A:A")),0))</f>
        <v/>
      </c>
      <c r="J877" s="12" t="str">
        <f ca="1">IF($A877="","",IFERROR(SUMIF(INDIRECT("'"&amp;'Template Setup'!$C$7&amp;"'!C:C"),$A877,INDIRECT("'"&amp;'Template Setup'!$C$7&amp;"'!A:A")),0))</f>
        <v/>
      </c>
      <c r="K877" s="12" t="str">
        <f ca="1">IF($A877="","",IFERROR(SUMIF(INDIRECT("'"&amp;'Template Setup'!$C$8&amp;"'!C:C"),$A877,INDIRECT("'"&amp;'Template Setup'!$C$8&amp;"'!A:A")),0))</f>
        <v/>
      </c>
      <c r="L877" s="11" t="str">
        <f>IF($A877="","",IFERROR(VALUE(MID(TRIM('Template Setup'!$C$4),FIND("-",TRIM('Template Setup'!$C$4))+1,10)),0))</f>
        <v/>
      </c>
      <c r="M877" s="11" t="str">
        <f>IF($A877="","",IFERROR(VALUE(MID(TRIM('Template Setup'!$C$5),FIND("-",TRIM('Template Setup'!$C$5))+1,10)),0))</f>
        <v/>
      </c>
      <c r="N877" s="11" t="str">
        <f>IF($A877="","",IFERROR(VALUE(MID(TRIM('Template Setup'!$C$6),FIND("-",TRIM('Template Setup'!$C$6))+1,10)),0))</f>
        <v/>
      </c>
      <c r="O877" s="11" t="str">
        <f>IF($A877="","",IFERROR(VALUE(MID(TRIM('Template Setup'!$C$7),FIND("-",TRIM('Template Setup'!$C$7))+1,10)),0))</f>
        <v/>
      </c>
      <c r="P877" s="11" t="str">
        <f>IF($A877="","",IFERROR(VALUE(MID(TRIM('Template Setup'!$C$8),FIND("-",TRIM('Template Setup'!$C$8))+1,10)),0))</f>
        <v/>
      </c>
      <c r="Q877" s="9" t="str">
        <f>IF($A877="","",$A877&amp;"-"&amp;'Template Setup'!$C$16)</f>
        <v/>
      </c>
      <c r="R877" s="24" t="str">
        <f t="shared" si="53"/>
        <v/>
      </c>
      <c r="S877" s="24"/>
      <c r="T877" s="24" t="str">
        <f t="shared" si="54"/>
        <v/>
      </c>
      <c r="U877" s="6" t="str">
        <f t="shared" si="56"/>
        <v/>
      </c>
    </row>
    <row r="878" spans="1:21">
      <c r="A878" s="11"/>
      <c r="B878" s="11"/>
      <c r="C878" s="11"/>
      <c r="D878" s="11" t="str">
        <f>IF($A878="","",_xlfn.TEXTJOIN(", ",TRUE,IF($G878&gt;0,'Template Setup'!$C$4,""),IF($H878&gt;0,'Template Setup'!$C$5,""),IF($I878&gt;0,'Template Setup'!$C$6,""),IF($J878&gt;0,'Template Setup'!$C$7,""),IF($K878&gt;0,'Template Setup'!$C$8,"")))</f>
        <v/>
      </c>
      <c r="E878" s="6" t="str" cm="1">
        <f t="array" ref="E878">IF($A878="","",_xlfn.LET(_xlpm.sheets,CHOOSE({1,2,3,4,5},'Template Setup'!$C$4,'Template Setup'!$C$5,'Template Setup'!$C$6,'Template Setup'!$C$7,'Template Setup'!$C$8),_xlpm.nums,CHOOSE({1,2,3,4,5},$L878,$M878,$N878,$O878,$P878),_xlpm.qtys,CHOOSE({1,2,3,4,5},$G878,$H878,$I878,$J878,$K878),_xlpm.validNums,_xlfn._xlws.FILTER(_xlpm.nums,_xlpm.qtys&gt;0),_xlpm.validSheets,_xlfn._xlws.FILTER(_xlpm.sheets,_xlpm.qtys&gt;0),_xlpm.mx,IFERROR(MAX(_xlpm.validNums),0),IF(_xlpm.mx=0,"",INDEX(_xlpm.validSheets,MATCH(_xlpm.mx,_xlpm.validNums,0))&amp;" (+"&amp;$R878&amp;")")))</f>
        <v/>
      </c>
      <c r="F878" s="11" t="str">
        <f t="shared" si="55"/>
        <v/>
      </c>
      <c r="G878" s="12" t="str">
        <f ca="1">IF($A878="","",IFERROR(SUMIF(INDIRECT("'"&amp;'Template Setup'!$C$4&amp;"'!C:C"),$A878,INDIRECT("'"&amp;'Template Setup'!$C$4&amp;"'!A:A")),0))</f>
        <v/>
      </c>
      <c r="H878" s="12" t="str">
        <f ca="1">IF($A878="","",IFERROR(SUMIF(INDIRECT("'"&amp;'Template Setup'!$C$5&amp;"'!C:C"),$A878,INDIRECT("'"&amp;'Template Setup'!$C$5&amp;"'!A:A")),0))</f>
        <v/>
      </c>
      <c r="I878" s="12" t="str">
        <f ca="1">IF($A878="","",IFERROR(SUMIF(INDIRECT("'"&amp;'Template Setup'!$C$6&amp;"'!C:C"),$A878,INDIRECT("'"&amp;'Template Setup'!$C$6&amp;"'!A:A")),0))</f>
        <v/>
      </c>
      <c r="J878" s="12" t="str">
        <f ca="1">IF($A878="","",IFERROR(SUMIF(INDIRECT("'"&amp;'Template Setup'!$C$7&amp;"'!C:C"),$A878,INDIRECT("'"&amp;'Template Setup'!$C$7&amp;"'!A:A")),0))</f>
        <v/>
      </c>
      <c r="K878" s="12" t="str">
        <f ca="1">IF($A878="","",IFERROR(SUMIF(INDIRECT("'"&amp;'Template Setup'!$C$8&amp;"'!C:C"),$A878,INDIRECT("'"&amp;'Template Setup'!$C$8&amp;"'!A:A")),0))</f>
        <v/>
      </c>
      <c r="L878" s="11" t="str">
        <f>IF($A878="","",IFERROR(VALUE(MID(TRIM('Template Setup'!$C$4),FIND("-",TRIM('Template Setup'!$C$4))+1,10)),0))</f>
        <v/>
      </c>
      <c r="M878" s="11" t="str">
        <f>IF($A878="","",IFERROR(VALUE(MID(TRIM('Template Setup'!$C$5),FIND("-",TRIM('Template Setup'!$C$5))+1,10)),0))</f>
        <v/>
      </c>
      <c r="N878" s="11" t="str">
        <f>IF($A878="","",IFERROR(VALUE(MID(TRIM('Template Setup'!$C$6),FIND("-",TRIM('Template Setup'!$C$6))+1,10)),0))</f>
        <v/>
      </c>
      <c r="O878" s="11" t="str">
        <f>IF($A878="","",IFERROR(VALUE(MID(TRIM('Template Setup'!$C$7),FIND("-",TRIM('Template Setup'!$C$7))+1,10)),0))</f>
        <v/>
      </c>
      <c r="P878" s="11" t="str">
        <f>IF($A878="","",IFERROR(VALUE(MID(TRIM('Template Setup'!$C$8),FIND("-",TRIM('Template Setup'!$C$8))+1,10)),0))</f>
        <v/>
      </c>
      <c r="Q878" s="9" t="str">
        <f>IF($A878="","",$A878&amp;"-"&amp;'Template Setup'!$C$16)</f>
        <v/>
      </c>
      <c r="R878" s="24" t="str">
        <f t="shared" si="53"/>
        <v/>
      </c>
      <c r="S878" s="24"/>
      <c r="T878" s="24" t="str">
        <f t="shared" si="54"/>
        <v/>
      </c>
      <c r="U878" s="6" t="str">
        <f t="shared" si="56"/>
        <v/>
      </c>
    </row>
    <row r="879" spans="1:21">
      <c r="A879" s="11"/>
      <c r="B879" s="11"/>
      <c r="C879" s="11"/>
      <c r="D879" s="11" t="str">
        <f>IF($A879="","",_xlfn.TEXTJOIN(", ",TRUE,IF($G879&gt;0,'Template Setup'!$C$4,""),IF($H879&gt;0,'Template Setup'!$C$5,""),IF($I879&gt;0,'Template Setup'!$C$6,""),IF($J879&gt;0,'Template Setup'!$C$7,""),IF($K879&gt;0,'Template Setup'!$C$8,"")))</f>
        <v/>
      </c>
      <c r="E879" s="6" t="str" cm="1">
        <f t="array" ref="E879">IF($A879="","",_xlfn.LET(_xlpm.sheets,CHOOSE({1,2,3,4,5},'Template Setup'!$C$4,'Template Setup'!$C$5,'Template Setup'!$C$6,'Template Setup'!$C$7,'Template Setup'!$C$8),_xlpm.nums,CHOOSE({1,2,3,4,5},$L879,$M879,$N879,$O879,$P879),_xlpm.qtys,CHOOSE({1,2,3,4,5},$G879,$H879,$I879,$J879,$K879),_xlpm.validNums,_xlfn._xlws.FILTER(_xlpm.nums,_xlpm.qtys&gt;0),_xlpm.validSheets,_xlfn._xlws.FILTER(_xlpm.sheets,_xlpm.qtys&gt;0),_xlpm.mx,IFERROR(MAX(_xlpm.validNums),0),IF(_xlpm.mx=0,"",INDEX(_xlpm.validSheets,MATCH(_xlpm.mx,_xlpm.validNums,0))&amp;" (+"&amp;$R879&amp;")")))</f>
        <v/>
      </c>
      <c r="F879" s="11" t="str">
        <f t="shared" si="55"/>
        <v/>
      </c>
      <c r="G879" s="12" t="str">
        <f ca="1">IF($A879="","",IFERROR(SUMIF(INDIRECT("'"&amp;'Template Setup'!$C$4&amp;"'!C:C"),$A879,INDIRECT("'"&amp;'Template Setup'!$C$4&amp;"'!A:A")),0))</f>
        <v/>
      </c>
      <c r="H879" s="12" t="str">
        <f ca="1">IF($A879="","",IFERROR(SUMIF(INDIRECT("'"&amp;'Template Setup'!$C$5&amp;"'!C:C"),$A879,INDIRECT("'"&amp;'Template Setup'!$C$5&amp;"'!A:A")),0))</f>
        <v/>
      </c>
      <c r="I879" s="12" t="str">
        <f ca="1">IF($A879="","",IFERROR(SUMIF(INDIRECT("'"&amp;'Template Setup'!$C$6&amp;"'!C:C"),$A879,INDIRECT("'"&amp;'Template Setup'!$C$6&amp;"'!A:A")),0))</f>
        <v/>
      </c>
      <c r="J879" s="12" t="str">
        <f ca="1">IF($A879="","",IFERROR(SUMIF(INDIRECT("'"&amp;'Template Setup'!$C$7&amp;"'!C:C"),$A879,INDIRECT("'"&amp;'Template Setup'!$C$7&amp;"'!A:A")),0))</f>
        <v/>
      </c>
      <c r="K879" s="12" t="str">
        <f ca="1">IF($A879="","",IFERROR(SUMIF(INDIRECT("'"&amp;'Template Setup'!$C$8&amp;"'!C:C"),$A879,INDIRECT("'"&amp;'Template Setup'!$C$8&amp;"'!A:A")),0))</f>
        <v/>
      </c>
      <c r="L879" s="11" t="str">
        <f>IF($A879="","",IFERROR(VALUE(MID(TRIM('Template Setup'!$C$4),FIND("-",TRIM('Template Setup'!$C$4))+1,10)),0))</f>
        <v/>
      </c>
      <c r="M879" s="11" t="str">
        <f>IF($A879="","",IFERROR(VALUE(MID(TRIM('Template Setup'!$C$5),FIND("-",TRIM('Template Setup'!$C$5))+1,10)),0))</f>
        <v/>
      </c>
      <c r="N879" s="11" t="str">
        <f>IF($A879="","",IFERROR(VALUE(MID(TRIM('Template Setup'!$C$6),FIND("-",TRIM('Template Setup'!$C$6))+1,10)),0))</f>
        <v/>
      </c>
      <c r="O879" s="11" t="str">
        <f>IF($A879="","",IFERROR(VALUE(MID(TRIM('Template Setup'!$C$7),FIND("-",TRIM('Template Setup'!$C$7))+1,10)),0))</f>
        <v/>
      </c>
      <c r="P879" s="11" t="str">
        <f>IF($A879="","",IFERROR(VALUE(MID(TRIM('Template Setup'!$C$8),FIND("-",TRIM('Template Setup'!$C$8))+1,10)),0))</f>
        <v/>
      </c>
      <c r="Q879" s="9" t="str">
        <f>IF($A879="","",$A879&amp;"-"&amp;'Template Setup'!$C$16)</f>
        <v/>
      </c>
      <c r="R879" s="24" t="str">
        <f t="shared" si="53"/>
        <v/>
      </c>
      <c r="S879" s="24"/>
      <c r="T879" s="24" t="str">
        <f t="shared" si="54"/>
        <v/>
      </c>
      <c r="U879" s="6" t="str">
        <f t="shared" si="56"/>
        <v/>
      </c>
    </row>
    <row r="880" spans="1:21">
      <c r="A880" s="11"/>
      <c r="B880" s="11"/>
      <c r="C880" s="11"/>
      <c r="D880" s="11" t="str">
        <f>IF($A880="","",_xlfn.TEXTJOIN(", ",TRUE,IF($G880&gt;0,'Template Setup'!$C$4,""),IF($H880&gt;0,'Template Setup'!$C$5,""),IF($I880&gt;0,'Template Setup'!$C$6,""),IF($J880&gt;0,'Template Setup'!$C$7,""),IF($K880&gt;0,'Template Setup'!$C$8,"")))</f>
        <v/>
      </c>
      <c r="E880" s="6" t="str" cm="1">
        <f t="array" ref="E880">IF($A880="","",_xlfn.LET(_xlpm.sheets,CHOOSE({1,2,3,4,5},'Template Setup'!$C$4,'Template Setup'!$C$5,'Template Setup'!$C$6,'Template Setup'!$C$7,'Template Setup'!$C$8),_xlpm.nums,CHOOSE({1,2,3,4,5},$L880,$M880,$N880,$O880,$P880),_xlpm.qtys,CHOOSE({1,2,3,4,5},$G880,$H880,$I880,$J880,$K880),_xlpm.validNums,_xlfn._xlws.FILTER(_xlpm.nums,_xlpm.qtys&gt;0),_xlpm.validSheets,_xlfn._xlws.FILTER(_xlpm.sheets,_xlpm.qtys&gt;0),_xlpm.mx,IFERROR(MAX(_xlpm.validNums),0),IF(_xlpm.mx=0,"",INDEX(_xlpm.validSheets,MATCH(_xlpm.mx,_xlpm.validNums,0))&amp;" (+"&amp;$R880&amp;")")))</f>
        <v/>
      </c>
      <c r="F880" s="11" t="str">
        <f t="shared" si="55"/>
        <v/>
      </c>
      <c r="G880" s="12" t="str">
        <f ca="1">IF($A880="","",IFERROR(SUMIF(INDIRECT("'"&amp;'Template Setup'!$C$4&amp;"'!C:C"),$A880,INDIRECT("'"&amp;'Template Setup'!$C$4&amp;"'!A:A")),0))</f>
        <v/>
      </c>
      <c r="H880" s="12" t="str">
        <f ca="1">IF($A880="","",IFERROR(SUMIF(INDIRECT("'"&amp;'Template Setup'!$C$5&amp;"'!C:C"),$A880,INDIRECT("'"&amp;'Template Setup'!$C$5&amp;"'!A:A")),0))</f>
        <v/>
      </c>
      <c r="I880" s="12" t="str">
        <f ca="1">IF($A880="","",IFERROR(SUMIF(INDIRECT("'"&amp;'Template Setup'!$C$6&amp;"'!C:C"),$A880,INDIRECT("'"&amp;'Template Setup'!$C$6&amp;"'!A:A")),0))</f>
        <v/>
      </c>
      <c r="J880" s="12" t="str">
        <f ca="1">IF($A880="","",IFERROR(SUMIF(INDIRECT("'"&amp;'Template Setup'!$C$7&amp;"'!C:C"),$A880,INDIRECT("'"&amp;'Template Setup'!$C$7&amp;"'!A:A")),0))</f>
        <v/>
      </c>
      <c r="K880" s="12" t="str">
        <f ca="1">IF($A880="","",IFERROR(SUMIF(INDIRECT("'"&amp;'Template Setup'!$C$8&amp;"'!C:C"),$A880,INDIRECT("'"&amp;'Template Setup'!$C$8&amp;"'!A:A")),0))</f>
        <v/>
      </c>
      <c r="L880" s="11" t="str">
        <f>IF($A880="","",IFERROR(VALUE(MID(TRIM('Template Setup'!$C$4),FIND("-",TRIM('Template Setup'!$C$4))+1,10)),0))</f>
        <v/>
      </c>
      <c r="M880" s="11" t="str">
        <f>IF($A880="","",IFERROR(VALUE(MID(TRIM('Template Setup'!$C$5),FIND("-",TRIM('Template Setup'!$C$5))+1,10)),0))</f>
        <v/>
      </c>
      <c r="N880" s="11" t="str">
        <f>IF($A880="","",IFERROR(VALUE(MID(TRIM('Template Setup'!$C$6),FIND("-",TRIM('Template Setup'!$C$6))+1,10)),0))</f>
        <v/>
      </c>
      <c r="O880" s="11" t="str">
        <f>IF($A880="","",IFERROR(VALUE(MID(TRIM('Template Setup'!$C$7),FIND("-",TRIM('Template Setup'!$C$7))+1,10)),0))</f>
        <v/>
      </c>
      <c r="P880" s="11" t="str">
        <f>IF($A880="","",IFERROR(VALUE(MID(TRIM('Template Setup'!$C$8),FIND("-",TRIM('Template Setup'!$C$8))+1,10)),0))</f>
        <v/>
      </c>
      <c r="Q880" s="9" t="str">
        <f>IF($A880="","",$A880&amp;"-"&amp;'Template Setup'!$C$16)</f>
        <v/>
      </c>
      <c r="R880" s="24" t="str">
        <f t="shared" si="53"/>
        <v/>
      </c>
      <c r="S880" s="24"/>
      <c r="T880" s="24" t="str">
        <f t="shared" si="54"/>
        <v/>
      </c>
      <c r="U880" s="6" t="str">
        <f t="shared" si="56"/>
        <v/>
      </c>
    </row>
    <row r="881" spans="1:21">
      <c r="A881" s="11"/>
      <c r="B881" s="11"/>
      <c r="C881" s="11"/>
      <c r="D881" s="11" t="str">
        <f>IF($A881="","",_xlfn.TEXTJOIN(", ",TRUE,IF($G881&gt;0,'Template Setup'!$C$4,""),IF($H881&gt;0,'Template Setup'!$C$5,""),IF($I881&gt;0,'Template Setup'!$C$6,""),IF($J881&gt;0,'Template Setup'!$C$7,""),IF($K881&gt;0,'Template Setup'!$C$8,"")))</f>
        <v/>
      </c>
      <c r="E881" s="6" t="str" cm="1">
        <f t="array" ref="E881">IF($A881="","",_xlfn.LET(_xlpm.sheets,CHOOSE({1,2,3,4,5},'Template Setup'!$C$4,'Template Setup'!$C$5,'Template Setup'!$C$6,'Template Setup'!$C$7,'Template Setup'!$C$8),_xlpm.nums,CHOOSE({1,2,3,4,5},$L881,$M881,$N881,$O881,$P881),_xlpm.qtys,CHOOSE({1,2,3,4,5},$G881,$H881,$I881,$J881,$K881),_xlpm.validNums,_xlfn._xlws.FILTER(_xlpm.nums,_xlpm.qtys&gt;0),_xlpm.validSheets,_xlfn._xlws.FILTER(_xlpm.sheets,_xlpm.qtys&gt;0),_xlpm.mx,IFERROR(MAX(_xlpm.validNums),0),IF(_xlpm.mx=0,"",INDEX(_xlpm.validSheets,MATCH(_xlpm.mx,_xlpm.validNums,0))&amp;" (+"&amp;$R881&amp;")")))</f>
        <v/>
      </c>
      <c r="F881" s="11" t="str">
        <f t="shared" si="55"/>
        <v/>
      </c>
      <c r="G881" s="12" t="str">
        <f ca="1">IF($A881="","",IFERROR(SUMIF(INDIRECT("'"&amp;'Template Setup'!$C$4&amp;"'!C:C"),$A881,INDIRECT("'"&amp;'Template Setup'!$C$4&amp;"'!A:A")),0))</f>
        <v/>
      </c>
      <c r="H881" s="12" t="str">
        <f ca="1">IF($A881="","",IFERROR(SUMIF(INDIRECT("'"&amp;'Template Setup'!$C$5&amp;"'!C:C"),$A881,INDIRECT("'"&amp;'Template Setup'!$C$5&amp;"'!A:A")),0))</f>
        <v/>
      </c>
      <c r="I881" s="12" t="str">
        <f ca="1">IF($A881="","",IFERROR(SUMIF(INDIRECT("'"&amp;'Template Setup'!$C$6&amp;"'!C:C"),$A881,INDIRECT("'"&amp;'Template Setup'!$C$6&amp;"'!A:A")),0))</f>
        <v/>
      </c>
      <c r="J881" s="12" t="str">
        <f ca="1">IF($A881="","",IFERROR(SUMIF(INDIRECT("'"&amp;'Template Setup'!$C$7&amp;"'!C:C"),$A881,INDIRECT("'"&amp;'Template Setup'!$C$7&amp;"'!A:A")),0))</f>
        <v/>
      </c>
      <c r="K881" s="12" t="str">
        <f ca="1">IF($A881="","",IFERROR(SUMIF(INDIRECT("'"&amp;'Template Setup'!$C$8&amp;"'!C:C"),$A881,INDIRECT("'"&amp;'Template Setup'!$C$8&amp;"'!A:A")),0))</f>
        <v/>
      </c>
      <c r="L881" s="11" t="str">
        <f>IF($A881="","",IFERROR(VALUE(MID(TRIM('Template Setup'!$C$4),FIND("-",TRIM('Template Setup'!$C$4))+1,10)),0))</f>
        <v/>
      </c>
      <c r="M881" s="11" t="str">
        <f>IF($A881="","",IFERROR(VALUE(MID(TRIM('Template Setup'!$C$5),FIND("-",TRIM('Template Setup'!$C$5))+1,10)),0))</f>
        <v/>
      </c>
      <c r="N881" s="11" t="str">
        <f>IF($A881="","",IFERROR(VALUE(MID(TRIM('Template Setup'!$C$6),FIND("-",TRIM('Template Setup'!$C$6))+1,10)),0))</f>
        <v/>
      </c>
      <c r="O881" s="11" t="str">
        <f>IF($A881="","",IFERROR(VALUE(MID(TRIM('Template Setup'!$C$7),FIND("-",TRIM('Template Setup'!$C$7))+1,10)),0))</f>
        <v/>
      </c>
      <c r="P881" s="11" t="str">
        <f>IF($A881="","",IFERROR(VALUE(MID(TRIM('Template Setup'!$C$8),FIND("-",TRIM('Template Setup'!$C$8))+1,10)),0))</f>
        <v/>
      </c>
      <c r="Q881" s="9" t="str">
        <f>IF($A881="","",$A881&amp;"-"&amp;'Template Setup'!$C$16)</f>
        <v/>
      </c>
      <c r="R881" s="24" t="str">
        <f t="shared" si="53"/>
        <v/>
      </c>
      <c r="S881" s="24"/>
      <c r="T881" s="24" t="str">
        <f t="shared" si="54"/>
        <v/>
      </c>
      <c r="U881" s="6" t="str">
        <f t="shared" si="56"/>
        <v/>
      </c>
    </row>
    <row r="882" spans="1:21">
      <c r="A882" s="11"/>
      <c r="B882" s="11"/>
      <c r="C882" s="11"/>
      <c r="D882" s="11" t="str">
        <f>IF($A882="","",_xlfn.TEXTJOIN(", ",TRUE,IF($G882&gt;0,'Template Setup'!$C$4,""),IF($H882&gt;0,'Template Setup'!$C$5,""),IF($I882&gt;0,'Template Setup'!$C$6,""),IF($J882&gt;0,'Template Setup'!$C$7,""),IF($K882&gt;0,'Template Setup'!$C$8,"")))</f>
        <v/>
      </c>
      <c r="E882" s="6" t="str" cm="1">
        <f t="array" ref="E882">IF($A882="","",_xlfn.LET(_xlpm.sheets,CHOOSE({1,2,3,4,5},'Template Setup'!$C$4,'Template Setup'!$C$5,'Template Setup'!$C$6,'Template Setup'!$C$7,'Template Setup'!$C$8),_xlpm.nums,CHOOSE({1,2,3,4,5},$L882,$M882,$N882,$O882,$P882),_xlpm.qtys,CHOOSE({1,2,3,4,5},$G882,$H882,$I882,$J882,$K882),_xlpm.validNums,_xlfn._xlws.FILTER(_xlpm.nums,_xlpm.qtys&gt;0),_xlpm.validSheets,_xlfn._xlws.FILTER(_xlpm.sheets,_xlpm.qtys&gt;0),_xlpm.mx,IFERROR(MAX(_xlpm.validNums),0),IF(_xlpm.mx=0,"",INDEX(_xlpm.validSheets,MATCH(_xlpm.mx,_xlpm.validNums,0))&amp;" (+"&amp;$R882&amp;")")))</f>
        <v/>
      </c>
      <c r="F882" s="11" t="str">
        <f t="shared" si="55"/>
        <v/>
      </c>
      <c r="G882" s="12" t="str">
        <f ca="1">IF($A882="","",IFERROR(SUMIF(INDIRECT("'"&amp;'Template Setup'!$C$4&amp;"'!C:C"),$A882,INDIRECT("'"&amp;'Template Setup'!$C$4&amp;"'!A:A")),0))</f>
        <v/>
      </c>
      <c r="H882" s="12" t="str">
        <f ca="1">IF($A882="","",IFERROR(SUMIF(INDIRECT("'"&amp;'Template Setup'!$C$5&amp;"'!C:C"),$A882,INDIRECT("'"&amp;'Template Setup'!$C$5&amp;"'!A:A")),0))</f>
        <v/>
      </c>
      <c r="I882" s="12" t="str">
        <f ca="1">IF($A882="","",IFERROR(SUMIF(INDIRECT("'"&amp;'Template Setup'!$C$6&amp;"'!C:C"),$A882,INDIRECT("'"&amp;'Template Setup'!$C$6&amp;"'!A:A")),0))</f>
        <v/>
      </c>
      <c r="J882" s="12" t="str">
        <f ca="1">IF($A882="","",IFERROR(SUMIF(INDIRECT("'"&amp;'Template Setup'!$C$7&amp;"'!C:C"),$A882,INDIRECT("'"&amp;'Template Setup'!$C$7&amp;"'!A:A")),0))</f>
        <v/>
      </c>
      <c r="K882" s="12" t="str">
        <f ca="1">IF($A882="","",IFERROR(SUMIF(INDIRECT("'"&amp;'Template Setup'!$C$8&amp;"'!C:C"),$A882,INDIRECT("'"&amp;'Template Setup'!$C$8&amp;"'!A:A")),0))</f>
        <v/>
      </c>
      <c r="L882" s="11" t="str">
        <f>IF($A882="","",IFERROR(VALUE(MID(TRIM('Template Setup'!$C$4),FIND("-",TRIM('Template Setup'!$C$4))+1,10)),0))</f>
        <v/>
      </c>
      <c r="M882" s="11" t="str">
        <f>IF($A882="","",IFERROR(VALUE(MID(TRIM('Template Setup'!$C$5),FIND("-",TRIM('Template Setup'!$C$5))+1,10)),0))</f>
        <v/>
      </c>
      <c r="N882" s="11" t="str">
        <f>IF($A882="","",IFERROR(VALUE(MID(TRIM('Template Setup'!$C$6),FIND("-",TRIM('Template Setup'!$C$6))+1,10)),0))</f>
        <v/>
      </c>
      <c r="O882" s="11" t="str">
        <f>IF($A882="","",IFERROR(VALUE(MID(TRIM('Template Setup'!$C$7),FIND("-",TRIM('Template Setup'!$C$7))+1,10)),0))</f>
        <v/>
      </c>
      <c r="P882" s="11" t="str">
        <f>IF($A882="","",IFERROR(VALUE(MID(TRIM('Template Setup'!$C$8),FIND("-",TRIM('Template Setup'!$C$8))+1,10)),0))</f>
        <v/>
      </c>
      <c r="Q882" s="9" t="str">
        <f>IF($A882="","",$A882&amp;"-"&amp;'Template Setup'!$C$16)</f>
        <v/>
      </c>
      <c r="R882" s="24" t="str">
        <f t="shared" si="53"/>
        <v/>
      </c>
      <c r="S882" s="24"/>
      <c r="T882" s="24" t="str">
        <f t="shared" si="54"/>
        <v/>
      </c>
      <c r="U882" s="6" t="str">
        <f t="shared" si="56"/>
        <v/>
      </c>
    </row>
    <row r="883" spans="1:21">
      <c r="A883" s="11"/>
      <c r="B883" s="11"/>
      <c r="C883" s="11"/>
      <c r="D883" s="11" t="str">
        <f>IF($A883="","",_xlfn.TEXTJOIN(", ",TRUE,IF($G883&gt;0,'Template Setup'!$C$4,""),IF($H883&gt;0,'Template Setup'!$C$5,""),IF($I883&gt;0,'Template Setup'!$C$6,""),IF($J883&gt;0,'Template Setup'!$C$7,""),IF($K883&gt;0,'Template Setup'!$C$8,"")))</f>
        <v/>
      </c>
      <c r="E883" s="6" t="str" cm="1">
        <f t="array" ref="E883">IF($A883="","",_xlfn.LET(_xlpm.sheets,CHOOSE({1,2,3,4,5},'Template Setup'!$C$4,'Template Setup'!$C$5,'Template Setup'!$C$6,'Template Setup'!$C$7,'Template Setup'!$C$8),_xlpm.nums,CHOOSE({1,2,3,4,5},$L883,$M883,$N883,$O883,$P883),_xlpm.qtys,CHOOSE({1,2,3,4,5},$G883,$H883,$I883,$J883,$K883),_xlpm.validNums,_xlfn._xlws.FILTER(_xlpm.nums,_xlpm.qtys&gt;0),_xlpm.validSheets,_xlfn._xlws.FILTER(_xlpm.sheets,_xlpm.qtys&gt;0),_xlpm.mx,IFERROR(MAX(_xlpm.validNums),0),IF(_xlpm.mx=0,"",INDEX(_xlpm.validSheets,MATCH(_xlpm.mx,_xlpm.validNums,0))&amp;" (+"&amp;$R883&amp;")")))</f>
        <v/>
      </c>
      <c r="F883" s="11" t="str">
        <f t="shared" si="55"/>
        <v/>
      </c>
      <c r="G883" s="12" t="str">
        <f ca="1">IF($A883="","",IFERROR(SUMIF(INDIRECT("'"&amp;'Template Setup'!$C$4&amp;"'!C:C"),$A883,INDIRECT("'"&amp;'Template Setup'!$C$4&amp;"'!A:A")),0))</f>
        <v/>
      </c>
      <c r="H883" s="12" t="str">
        <f ca="1">IF($A883="","",IFERROR(SUMIF(INDIRECT("'"&amp;'Template Setup'!$C$5&amp;"'!C:C"),$A883,INDIRECT("'"&amp;'Template Setup'!$C$5&amp;"'!A:A")),0))</f>
        <v/>
      </c>
      <c r="I883" s="12" t="str">
        <f ca="1">IF($A883="","",IFERROR(SUMIF(INDIRECT("'"&amp;'Template Setup'!$C$6&amp;"'!C:C"),$A883,INDIRECT("'"&amp;'Template Setup'!$C$6&amp;"'!A:A")),0))</f>
        <v/>
      </c>
      <c r="J883" s="12" t="str">
        <f ca="1">IF($A883="","",IFERROR(SUMIF(INDIRECT("'"&amp;'Template Setup'!$C$7&amp;"'!C:C"),$A883,INDIRECT("'"&amp;'Template Setup'!$C$7&amp;"'!A:A")),0))</f>
        <v/>
      </c>
      <c r="K883" s="12" t="str">
        <f ca="1">IF($A883="","",IFERROR(SUMIF(INDIRECT("'"&amp;'Template Setup'!$C$8&amp;"'!C:C"),$A883,INDIRECT("'"&amp;'Template Setup'!$C$8&amp;"'!A:A")),0))</f>
        <v/>
      </c>
      <c r="L883" s="11" t="str">
        <f>IF($A883="","",IFERROR(VALUE(MID(TRIM('Template Setup'!$C$4),FIND("-",TRIM('Template Setup'!$C$4))+1,10)),0))</f>
        <v/>
      </c>
      <c r="M883" s="11" t="str">
        <f>IF($A883="","",IFERROR(VALUE(MID(TRIM('Template Setup'!$C$5),FIND("-",TRIM('Template Setup'!$C$5))+1,10)),0))</f>
        <v/>
      </c>
      <c r="N883" s="11" t="str">
        <f>IF($A883="","",IFERROR(VALUE(MID(TRIM('Template Setup'!$C$6),FIND("-",TRIM('Template Setup'!$C$6))+1,10)),0))</f>
        <v/>
      </c>
      <c r="O883" s="11" t="str">
        <f>IF($A883="","",IFERROR(VALUE(MID(TRIM('Template Setup'!$C$7),FIND("-",TRIM('Template Setup'!$C$7))+1,10)),0))</f>
        <v/>
      </c>
      <c r="P883" s="11" t="str">
        <f>IF($A883="","",IFERROR(VALUE(MID(TRIM('Template Setup'!$C$8),FIND("-",TRIM('Template Setup'!$C$8))+1,10)),0))</f>
        <v/>
      </c>
      <c r="Q883" s="9" t="str">
        <f>IF($A883="","",$A883&amp;"-"&amp;'Template Setup'!$C$16)</f>
        <v/>
      </c>
      <c r="R883" s="24" t="str">
        <f t="shared" si="53"/>
        <v/>
      </c>
      <c r="S883" s="24"/>
      <c r="T883" s="24" t="str">
        <f t="shared" si="54"/>
        <v/>
      </c>
      <c r="U883" s="6" t="str">
        <f t="shared" si="56"/>
        <v/>
      </c>
    </row>
    <row r="884" spans="1:21">
      <c r="A884" s="11"/>
      <c r="B884" s="11"/>
      <c r="C884" s="11"/>
      <c r="D884" s="11" t="str">
        <f>IF($A884="","",_xlfn.TEXTJOIN(", ",TRUE,IF($G884&gt;0,'Template Setup'!$C$4,""),IF($H884&gt;0,'Template Setup'!$C$5,""),IF($I884&gt;0,'Template Setup'!$C$6,""),IF($J884&gt;0,'Template Setup'!$C$7,""),IF($K884&gt;0,'Template Setup'!$C$8,"")))</f>
        <v/>
      </c>
      <c r="E884" s="6" t="str" cm="1">
        <f t="array" ref="E884">IF($A884="","",_xlfn.LET(_xlpm.sheets,CHOOSE({1,2,3,4,5},'Template Setup'!$C$4,'Template Setup'!$C$5,'Template Setup'!$C$6,'Template Setup'!$C$7,'Template Setup'!$C$8),_xlpm.nums,CHOOSE({1,2,3,4,5},$L884,$M884,$N884,$O884,$P884),_xlpm.qtys,CHOOSE({1,2,3,4,5},$G884,$H884,$I884,$J884,$K884),_xlpm.validNums,_xlfn._xlws.FILTER(_xlpm.nums,_xlpm.qtys&gt;0),_xlpm.validSheets,_xlfn._xlws.FILTER(_xlpm.sheets,_xlpm.qtys&gt;0),_xlpm.mx,IFERROR(MAX(_xlpm.validNums),0),IF(_xlpm.mx=0,"",INDEX(_xlpm.validSheets,MATCH(_xlpm.mx,_xlpm.validNums,0))&amp;" (+"&amp;$R884&amp;")")))</f>
        <v/>
      </c>
      <c r="F884" s="11" t="str">
        <f t="shared" si="55"/>
        <v/>
      </c>
      <c r="G884" s="12" t="str">
        <f ca="1">IF($A884="","",IFERROR(SUMIF(INDIRECT("'"&amp;'Template Setup'!$C$4&amp;"'!C:C"),$A884,INDIRECT("'"&amp;'Template Setup'!$C$4&amp;"'!A:A")),0))</f>
        <v/>
      </c>
      <c r="H884" s="12" t="str">
        <f ca="1">IF($A884="","",IFERROR(SUMIF(INDIRECT("'"&amp;'Template Setup'!$C$5&amp;"'!C:C"),$A884,INDIRECT("'"&amp;'Template Setup'!$C$5&amp;"'!A:A")),0))</f>
        <v/>
      </c>
      <c r="I884" s="12" t="str">
        <f ca="1">IF($A884="","",IFERROR(SUMIF(INDIRECT("'"&amp;'Template Setup'!$C$6&amp;"'!C:C"),$A884,INDIRECT("'"&amp;'Template Setup'!$C$6&amp;"'!A:A")),0))</f>
        <v/>
      </c>
      <c r="J884" s="12" t="str">
        <f ca="1">IF($A884="","",IFERROR(SUMIF(INDIRECT("'"&amp;'Template Setup'!$C$7&amp;"'!C:C"),$A884,INDIRECT("'"&amp;'Template Setup'!$C$7&amp;"'!A:A")),0))</f>
        <v/>
      </c>
      <c r="K884" s="12" t="str">
        <f ca="1">IF($A884="","",IFERROR(SUMIF(INDIRECT("'"&amp;'Template Setup'!$C$8&amp;"'!C:C"),$A884,INDIRECT("'"&amp;'Template Setup'!$C$8&amp;"'!A:A")),0))</f>
        <v/>
      </c>
      <c r="L884" s="11" t="str">
        <f>IF($A884="","",IFERROR(VALUE(MID(TRIM('Template Setup'!$C$4),FIND("-",TRIM('Template Setup'!$C$4))+1,10)),0))</f>
        <v/>
      </c>
      <c r="M884" s="11" t="str">
        <f>IF($A884="","",IFERROR(VALUE(MID(TRIM('Template Setup'!$C$5),FIND("-",TRIM('Template Setup'!$C$5))+1,10)),0))</f>
        <v/>
      </c>
      <c r="N884" s="11" t="str">
        <f>IF($A884="","",IFERROR(VALUE(MID(TRIM('Template Setup'!$C$6),FIND("-",TRIM('Template Setup'!$C$6))+1,10)),0))</f>
        <v/>
      </c>
      <c r="O884" s="11" t="str">
        <f>IF($A884="","",IFERROR(VALUE(MID(TRIM('Template Setup'!$C$7),FIND("-",TRIM('Template Setup'!$C$7))+1,10)),0))</f>
        <v/>
      </c>
      <c r="P884" s="11" t="str">
        <f>IF($A884="","",IFERROR(VALUE(MID(TRIM('Template Setup'!$C$8),FIND("-",TRIM('Template Setup'!$C$8))+1,10)),0))</f>
        <v/>
      </c>
      <c r="Q884" s="9" t="str">
        <f>IF($A884="","",$A884&amp;"-"&amp;'Template Setup'!$C$16)</f>
        <v/>
      </c>
      <c r="R884" s="24" t="str">
        <f t="shared" si="53"/>
        <v/>
      </c>
      <c r="S884" s="24"/>
      <c r="T884" s="24" t="str">
        <f t="shared" si="54"/>
        <v/>
      </c>
      <c r="U884" s="6" t="str">
        <f t="shared" si="56"/>
        <v/>
      </c>
    </row>
    <row r="885" spans="1:21">
      <c r="A885" s="11"/>
      <c r="B885" s="11"/>
      <c r="C885" s="11"/>
      <c r="D885" s="11" t="str">
        <f>IF($A885="","",_xlfn.TEXTJOIN(", ",TRUE,IF($G885&gt;0,'Template Setup'!$C$4,""),IF($H885&gt;0,'Template Setup'!$C$5,""),IF($I885&gt;0,'Template Setup'!$C$6,""),IF($J885&gt;0,'Template Setup'!$C$7,""),IF($K885&gt;0,'Template Setup'!$C$8,"")))</f>
        <v/>
      </c>
      <c r="E885" s="6" t="str" cm="1">
        <f t="array" ref="E885">IF($A885="","",_xlfn.LET(_xlpm.sheets,CHOOSE({1,2,3,4,5},'Template Setup'!$C$4,'Template Setup'!$C$5,'Template Setup'!$C$6,'Template Setup'!$C$7,'Template Setup'!$C$8),_xlpm.nums,CHOOSE({1,2,3,4,5},$L885,$M885,$N885,$O885,$P885),_xlpm.qtys,CHOOSE({1,2,3,4,5},$G885,$H885,$I885,$J885,$K885),_xlpm.validNums,_xlfn._xlws.FILTER(_xlpm.nums,_xlpm.qtys&gt;0),_xlpm.validSheets,_xlfn._xlws.FILTER(_xlpm.sheets,_xlpm.qtys&gt;0),_xlpm.mx,IFERROR(MAX(_xlpm.validNums),0),IF(_xlpm.mx=0,"",INDEX(_xlpm.validSheets,MATCH(_xlpm.mx,_xlpm.validNums,0))&amp;" (+"&amp;$R885&amp;")")))</f>
        <v/>
      </c>
      <c r="F885" s="11" t="str">
        <f t="shared" si="55"/>
        <v/>
      </c>
      <c r="G885" s="12" t="str">
        <f ca="1">IF($A885="","",IFERROR(SUMIF(INDIRECT("'"&amp;'Template Setup'!$C$4&amp;"'!C:C"),$A885,INDIRECT("'"&amp;'Template Setup'!$C$4&amp;"'!A:A")),0))</f>
        <v/>
      </c>
      <c r="H885" s="12" t="str">
        <f ca="1">IF($A885="","",IFERROR(SUMIF(INDIRECT("'"&amp;'Template Setup'!$C$5&amp;"'!C:C"),$A885,INDIRECT("'"&amp;'Template Setup'!$C$5&amp;"'!A:A")),0))</f>
        <v/>
      </c>
      <c r="I885" s="12" t="str">
        <f ca="1">IF($A885="","",IFERROR(SUMIF(INDIRECT("'"&amp;'Template Setup'!$C$6&amp;"'!C:C"),$A885,INDIRECT("'"&amp;'Template Setup'!$C$6&amp;"'!A:A")),0))</f>
        <v/>
      </c>
      <c r="J885" s="12" t="str">
        <f ca="1">IF($A885="","",IFERROR(SUMIF(INDIRECT("'"&amp;'Template Setup'!$C$7&amp;"'!C:C"),$A885,INDIRECT("'"&amp;'Template Setup'!$C$7&amp;"'!A:A")),0))</f>
        <v/>
      </c>
      <c r="K885" s="12" t="str">
        <f ca="1">IF($A885="","",IFERROR(SUMIF(INDIRECT("'"&amp;'Template Setup'!$C$8&amp;"'!C:C"),$A885,INDIRECT("'"&amp;'Template Setup'!$C$8&amp;"'!A:A")),0))</f>
        <v/>
      </c>
      <c r="L885" s="11" t="str">
        <f>IF($A885="","",IFERROR(VALUE(MID(TRIM('Template Setup'!$C$4),FIND("-",TRIM('Template Setup'!$C$4))+1,10)),0))</f>
        <v/>
      </c>
      <c r="M885" s="11" t="str">
        <f>IF($A885="","",IFERROR(VALUE(MID(TRIM('Template Setup'!$C$5),FIND("-",TRIM('Template Setup'!$C$5))+1,10)),0))</f>
        <v/>
      </c>
      <c r="N885" s="11" t="str">
        <f>IF($A885="","",IFERROR(VALUE(MID(TRIM('Template Setup'!$C$6),FIND("-",TRIM('Template Setup'!$C$6))+1,10)),0))</f>
        <v/>
      </c>
      <c r="O885" s="11" t="str">
        <f>IF($A885="","",IFERROR(VALUE(MID(TRIM('Template Setup'!$C$7),FIND("-",TRIM('Template Setup'!$C$7))+1,10)),0))</f>
        <v/>
      </c>
      <c r="P885" s="11" t="str">
        <f>IF($A885="","",IFERROR(VALUE(MID(TRIM('Template Setup'!$C$8),FIND("-",TRIM('Template Setup'!$C$8))+1,10)),0))</f>
        <v/>
      </c>
      <c r="Q885" s="9" t="str">
        <f>IF($A885="","",$A885&amp;"-"&amp;'Template Setup'!$C$16)</f>
        <v/>
      </c>
      <c r="R885" s="24" t="str">
        <f t="shared" si="53"/>
        <v/>
      </c>
      <c r="S885" s="24"/>
      <c r="T885" s="24" t="str">
        <f t="shared" si="54"/>
        <v/>
      </c>
      <c r="U885" s="6" t="str">
        <f t="shared" si="56"/>
        <v/>
      </c>
    </row>
    <row r="886" spans="1:21">
      <c r="A886" s="11"/>
      <c r="B886" s="11"/>
      <c r="C886" s="11"/>
      <c r="D886" s="11" t="str">
        <f>IF($A886="","",_xlfn.TEXTJOIN(", ",TRUE,IF($G886&gt;0,'Template Setup'!$C$4,""),IF($H886&gt;0,'Template Setup'!$C$5,""),IF($I886&gt;0,'Template Setup'!$C$6,""),IF($J886&gt;0,'Template Setup'!$C$7,""),IF($K886&gt;0,'Template Setup'!$C$8,"")))</f>
        <v/>
      </c>
      <c r="E886" s="6" t="str" cm="1">
        <f t="array" ref="E886">IF($A886="","",_xlfn.LET(_xlpm.sheets,CHOOSE({1,2,3,4,5},'Template Setup'!$C$4,'Template Setup'!$C$5,'Template Setup'!$C$6,'Template Setup'!$C$7,'Template Setup'!$C$8),_xlpm.nums,CHOOSE({1,2,3,4,5},$L886,$M886,$N886,$O886,$P886),_xlpm.qtys,CHOOSE({1,2,3,4,5},$G886,$H886,$I886,$J886,$K886),_xlpm.validNums,_xlfn._xlws.FILTER(_xlpm.nums,_xlpm.qtys&gt;0),_xlpm.validSheets,_xlfn._xlws.FILTER(_xlpm.sheets,_xlpm.qtys&gt;0),_xlpm.mx,IFERROR(MAX(_xlpm.validNums),0),IF(_xlpm.mx=0,"",INDEX(_xlpm.validSheets,MATCH(_xlpm.mx,_xlpm.validNums,0))&amp;" (+"&amp;$R886&amp;")")))</f>
        <v/>
      </c>
      <c r="F886" s="11" t="str">
        <f t="shared" si="55"/>
        <v/>
      </c>
      <c r="G886" s="12" t="str">
        <f ca="1">IF($A886="","",IFERROR(SUMIF(INDIRECT("'"&amp;'Template Setup'!$C$4&amp;"'!C:C"),$A886,INDIRECT("'"&amp;'Template Setup'!$C$4&amp;"'!A:A")),0))</f>
        <v/>
      </c>
      <c r="H886" s="12" t="str">
        <f ca="1">IF($A886="","",IFERROR(SUMIF(INDIRECT("'"&amp;'Template Setup'!$C$5&amp;"'!C:C"),$A886,INDIRECT("'"&amp;'Template Setup'!$C$5&amp;"'!A:A")),0))</f>
        <v/>
      </c>
      <c r="I886" s="12" t="str">
        <f ca="1">IF($A886="","",IFERROR(SUMIF(INDIRECT("'"&amp;'Template Setup'!$C$6&amp;"'!C:C"),$A886,INDIRECT("'"&amp;'Template Setup'!$C$6&amp;"'!A:A")),0))</f>
        <v/>
      </c>
      <c r="J886" s="12" t="str">
        <f ca="1">IF($A886="","",IFERROR(SUMIF(INDIRECT("'"&amp;'Template Setup'!$C$7&amp;"'!C:C"),$A886,INDIRECT("'"&amp;'Template Setup'!$C$7&amp;"'!A:A")),0))</f>
        <v/>
      </c>
      <c r="K886" s="12" t="str">
        <f ca="1">IF($A886="","",IFERROR(SUMIF(INDIRECT("'"&amp;'Template Setup'!$C$8&amp;"'!C:C"),$A886,INDIRECT("'"&amp;'Template Setup'!$C$8&amp;"'!A:A")),0))</f>
        <v/>
      </c>
      <c r="L886" s="11" t="str">
        <f>IF($A886="","",IFERROR(VALUE(MID(TRIM('Template Setup'!$C$4),FIND("-",TRIM('Template Setup'!$C$4))+1,10)),0))</f>
        <v/>
      </c>
      <c r="M886" s="11" t="str">
        <f>IF($A886="","",IFERROR(VALUE(MID(TRIM('Template Setup'!$C$5),FIND("-",TRIM('Template Setup'!$C$5))+1,10)),0))</f>
        <v/>
      </c>
      <c r="N886" s="11" t="str">
        <f>IF($A886="","",IFERROR(VALUE(MID(TRIM('Template Setup'!$C$6),FIND("-",TRIM('Template Setup'!$C$6))+1,10)),0))</f>
        <v/>
      </c>
      <c r="O886" s="11" t="str">
        <f>IF($A886="","",IFERROR(VALUE(MID(TRIM('Template Setup'!$C$7),FIND("-",TRIM('Template Setup'!$C$7))+1,10)),0))</f>
        <v/>
      </c>
      <c r="P886" s="11" t="str">
        <f>IF($A886="","",IFERROR(VALUE(MID(TRIM('Template Setup'!$C$8),FIND("-",TRIM('Template Setup'!$C$8))+1,10)),0))</f>
        <v/>
      </c>
      <c r="Q886" s="9" t="str">
        <f>IF($A886="","",$A886&amp;"-"&amp;'Template Setup'!$C$16)</f>
        <v/>
      </c>
      <c r="R886" s="24" t="str">
        <f t="shared" si="53"/>
        <v/>
      </c>
      <c r="S886" s="24"/>
      <c r="T886" s="24" t="str">
        <f t="shared" si="54"/>
        <v/>
      </c>
      <c r="U886" s="6" t="str">
        <f t="shared" si="56"/>
        <v/>
      </c>
    </row>
    <row r="887" spans="1:21">
      <c r="A887" s="11"/>
      <c r="B887" s="11"/>
      <c r="C887" s="11"/>
      <c r="D887" s="11" t="str">
        <f>IF($A887="","",_xlfn.TEXTJOIN(", ",TRUE,IF($G887&gt;0,'Template Setup'!$C$4,""),IF($H887&gt;0,'Template Setup'!$C$5,""),IF($I887&gt;0,'Template Setup'!$C$6,""),IF($J887&gt;0,'Template Setup'!$C$7,""),IF($K887&gt;0,'Template Setup'!$C$8,"")))</f>
        <v/>
      </c>
      <c r="E887" s="6" t="str" cm="1">
        <f t="array" ref="E887">IF($A887="","",_xlfn.LET(_xlpm.sheets,CHOOSE({1,2,3,4,5},'Template Setup'!$C$4,'Template Setup'!$C$5,'Template Setup'!$C$6,'Template Setup'!$C$7,'Template Setup'!$C$8),_xlpm.nums,CHOOSE({1,2,3,4,5},$L887,$M887,$N887,$O887,$P887),_xlpm.qtys,CHOOSE({1,2,3,4,5},$G887,$H887,$I887,$J887,$K887),_xlpm.validNums,_xlfn._xlws.FILTER(_xlpm.nums,_xlpm.qtys&gt;0),_xlpm.validSheets,_xlfn._xlws.FILTER(_xlpm.sheets,_xlpm.qtys&gt;0),_xlpm.mx,IFERROR(MAX(_xlpm.validNums),0),IF(_xlpm.mx=0,"",INDEX(_xlpm.validSheets,MATCH(_xlpm.mx,_xlpm.validNums,0))&amp;" (+"&amp;$R887&amp;")")))</f>
        <v/>
      </c>
      <c r="F887" s="11" t="str">
        <f t="shared" si="55"/>
        <v/>
      </c>
      <c r="G887" s="12" t="str">
        <f ca="1">IF($A887="","",IFERROR(SUMIF(INDIRECT("'"&amp;'Template Setup'!$C$4&amp;"'!C:C"),$A887,INDIRECT("'"&amp;'Template Setup'!$C$4&amp;"'!A:A")),0))</f>
        <v/>
      </c>
      <c r="H887" s="12" t="str">
        <f ca="1">IF($A887="","",IFERROR(SUMIF(INDIRECT("'"&amp;'Template Setup'!$C$5&amp;"'!C:C"),$A887,INDIRECT("'"&amp;'Template Setup'!$C$5&amp;"'!A:A")),0))</f>
        <v/>
      </c>
      <c r="I887" s="12" t="str">
        <f ca="1">IF($A887="","",IFERROR(SUMIF(INDIRECT("'"&amp;'Template Setup'!$C$6&amp;"'!C:C"),$A887,INDIRECT("'"&amp;'Template Setup'!$C$6&amp;"'!A:A")),0))</f>
        <v/>
      </c>
      <c r="J887" s="12" t="str">
        <f ca="1">IF($A887="","",IFERROR(SUMIF(INDIRECT("'"&amp;'Template Setup'!$C$7&amp;"'!C:C"),$A887,INDIRECT("'"&amp;'Template Setup'!$C$7&amp;"'!A:A")),0))</f>
        <v/>
      </c>
      <c r="K887" s="12" t="str">
        <f ca="1">IF($A887="","",IFERROR(SUMIF(INDIRECT("'"&amp;'Template Setup'!$C$8&amp;"'!C:C"),$A887,INDIRECT("'"&amp;'Template Setup'!$C$8&amp;"'!A:A")),0))</f>
        <v/>
      </c>
      <c r="L887" s="11" t="str">
        <f>IF($A887="","",IFERROR(VALUE(MID(TRIM('Template Setup'!$C$4),FIND("-",TRIM('Template Setup'!$C$4))+1,10)),0))</f>
        <v/>
      </c>
      <c r="M887" s="11" t="str">
        <f>IF($A887="","",IFERROR(VALUE(MID(TRIM('Template Setup'!$C$5),FIND("-",TRIM('Template Setup'!$C$5))+1,10)),0))</f>
        <v/>
      </c>
      <c r="N887" s="11" t="str">
        <f>IF($A887="","",IFERROR(VALUE(MID(TRIM('Template Setup'!$C$6),FIND("-",TRIM('Template Setup'!$C$6))+1,10)),0))</f>
        <v/>
      </c>
      <c r="O887" s="11" t="str">
        <f>IF($A887="","",IFERROR(VALUE(MID(TRIM('Template Setup'!$C$7),FIND("-",TRIM('Template Setup'!$C$7))+1,10)),0))</f>
        <v/>
      </c>
      <c r="P887" s="11" t="str">
        <f>IF($A887="","",IFERROR(VALUE(MID(TRIM('Template Setup'!$C$8),FIND("-",TRIM('Template Setup'!$C$8))+1,10)),0))</f>
        <v/>
      </c>
      <c r="Q887" s="9" t="str">
        <f>IF($A887="","",$A887&amp;"-"&amp;'Template Setup'!$C$16)</f>
        <v/>
      </c>
      <c r="R887" s="24" t="str">
        <f t="shared" si="53"/>
        <v/>
      </c>
      <c r="S887" s="24"/>
      <c r="T887" s="24" t="str">
        <f t="shared" si="54"/>
        <v/>
      </c>
      <c r="U887" s="6" t="str">
        <f t="shared" si="56"/>
        <v/>
      </c>
    </row>
    <row r="888" spans="1:21">
      <c r="A888" s="11"/>
      <c r="B888" s="11"/>
      <c r="C888" s="11"/>
      <c r="D888" s="11" t="str">
        <f>IF($A888="","",_xlfn.TEXTJOIN(", ",TRUE,IF($G888&gt;0,'Template Setup'!$C$4,""),IF($H888&gt;0,'Template Setup'!$C$5,""),IF($I888&gt;0,'Template Setup'!$C$6,""),IF($J888&gt;0,'Template Setup'!$C$7,""),IF($K888&gt;0,'Template Setup'!$C$8,"")))</f>
        <v/>
      </c>
      <c r="E888" s="6" t="str" cm="1">
        <f t="array" ref="E888">IF($A888="","",_xlfn.LET(_xlpm.sheets,CHOOSE({1,2,3,4,5},'Template Setup'!$C$4,'Template Setup'!$C$5,'Template Setup'!$C$6,'Template Setup'!$C$7,'Template Setup'!$C$8),_xlpm.nums,CHOOSE({1,2,3,4,5},$L888,$M888,$N888,$O888,$P888),_xlpm.qtys,CHOOSE({1,2,3,4,5},$G888,$H888,$I888,$J888,$K888),_xlpm.validNums,_xlfn._xlws.FILTER(_xlpm.nums,_xlpm.qtys&gt;0),_xlpm.validSheets,_xlfn._xlws.FILTER(_xlpm.sheets,_xlpm.qtys&gt;0),_xlpm.mx,IFERROR(MAX(_xlpm.validNums),0),IF(_xlpm.mx=0,"",INDEX(_xlpm.validSheets,MATCH(_xlpm.mx,_xlpm.validNums,0))&amp;" (+"&amp;$R888&amp;")")))</f>
        <v/>
      </c>
      <c r="F888" s="11" t="str">
        <f t="shared" si="55"/>
        <v/>
      </c>
      <c r="G888" s="12" t="str">
        <f ca="1">IF($A888="","",IFERROR(SUMIF(INDIRECT("'"&amp;'Template Setup'!$C$4&amp;"'!C:C"),$A888,INDIRECT("'"&amp;'Template Setup'!$C$4&amp;"'!A:A")),0))</f>
        <v/>
      </c>
      <c r="H888" s="12" t="str">
        <f ca="1">IF($A888="","",IFERROR(SUMIF(INDIRECT("'"&amp;'Template Setup'!$C$5&amp;"'!C:C"),$A888,INDIRECT("'"&amp;'Template Setup'!$C$5&amp;"'!A:A")),0))</f>
        <v/>
      </c>
      <c r="I888" s="12" t="str">
        <f ca="1">IF($A888="","",IFERROR(SUMIF(INDIRECT("'"&amp;'Template Setup'!$C$6&amp;"'!C:C"),$A888,INDIRECT("'"&amp;'Template Setup'!$C$6&amp;"'!A:A")),0))</f>
        <v/>
      </c>
      <c r="J888" s="12" t="str">
        <f ca="1">IF($A888="","",IFERROR(SUMIF(INDIRECT("'"&amp;'Template Setup'!$C$7&amp;"'!C:C"),$A888,INDIRECT("'"&amp;'Template Setup'!$C$7&amp;"'!A:A")),0))</f>
        <v/>
      </c>
      <c r="K888" s="12" t="str">
        <f ca="1">IF($A888="","",IFERROR(SUMIF(INDIRECT("'"&amp;'Template Setup'!$C$8&amp;"'!C:C"),$A888,INDIRECT("'"&amp;'Template Setup'!$C$8&amp;"'!A:A")),0))</f>
        <v/>
      </c>
      <c r="L888" s="11" t="str">
        <f>IF($A888="","",IFERROR(VALUE(MID(TRIM('Template Setup'!$C$4),FIND("-",TRIM('Template Setup'!$C$4))+1,10)),0))</f>
        <v/>
      </c>
      <c r="M888" s="11" t="str">
        <f>IF($A888="","",IFERROR(VALUE(MID(TRIM('Template Setup'!$C$5),FIND("-",TRIM('Template Setup'!$C$5))+1,10)),0))</f>
        <v/>
      </c>
      <c r="N888" s="11" t="str">
        <f>IF($A888="","",IFERROR(VALUE(MID(TRIM('Template Setup'!$C$6),FIND("-",TRIM('Template Setup'!$C$6))+1,10)),0))</f>
        <v/>
      </c>
      <c r="O888" s="11" t="str">
        <f>IF($A888="","",IFERROR(VALUE(MID(TRIM('Template Setup'!$C$7),FIND("-",TRIM('Template Setup'!$C$7))+1,10)),0))</f>
        <v/>
      </c>
      <c r="P888" s="11" t="str">
        <f>IF($A888="","",IFERROR(VALUE(MID(TRIM('Template Setup'!$C$8),FIND("-",TRIM('Template Setup'!$C$8))+1,10)),0))</f>
        <v/>
      </c>
      <c r="Q888" s="9" t="str">
        <f>IF($A888="","",$A888&amp;"-"&amp;'Template Setup'!$C$16)</f>
        <v/>
      </c>
      <c r="R888" s="24" t="str">
        <f t="shared" si="53"/>
        <v/>
      </c>
      <c r="S888" s="24"/>
      <c r="T888" s="24" t="str">
        <f t="shared" si="54"/>
        <v/>
      </c>
      <c r="U888" s="6" t="str">
        <f t="shared" si="56"/>
        <v/>
      </c>
    </row>
    <row r="889" spans="1:21">
      <c r="A889" s="11"/>
      <c r="B889" s="11"/>
      <c r="C889" s="11"/>
      <c r="D889" s="11" t="str">
        <f>IF($A889="","",_xlfn.TEXTJOIN(", ",TRUE,IF($G889&gt;0,'Template Setup'!$C$4,""),IF($H889&gt;0,'Template Setup'!$C$5,""),IF($I889&gt;0,'Template Setup'!$C$6,""),IF($J889&gt;0,'Template Setup'!$C$7,""),IF($K889&gt;0,'Template Setup'!$C$8,"")))</f>
        <v/>
      </c>
      <c r="E889" s="6" t="str" cm="1">
        <f t="array" ref="E889">IF($A889="","",_xlfn.LET(_xlpm.sheets,CHOOSE({1,2,3,4,5},'Template Setup'!$C$4,'Template Setup'!$C$5,'Template Setup'!$C$6,'Template Setup'!$C$7,'Template Setup'!$C$8),_xlpm.nums,CHOOSE({1,2,3,4,5},$L889,$M889,$N889,$O889,$P889),_xlpm.qtys,CHOOSE({1,2,3,4,5},$G889,$H889,$I889,$J889,$K889),_xlpm.validNums,_xlfn._xlws.FILTER(_xlpm.nums,_xlpm.qtys&gt;0),_xlpm.validSheets,_xlfn._xlws.FILTER(_xlpm.sheets,_xlpm.qtys&gt;0),_xlpm.mx,IFERROR(MAX(_xlpm.validNums),0),IF(_xlpm.mx=0,"",INDEX(_xlpm.validSheets,MATCH(_xlpm.mx,_xlpm.validNums,0))&amp;" (+"&amp;$R889&amp;")")))</f>
        <v/>
      </c>
      <c r="F889" s="11" t="str">
        <f t="shared" si="55"/>
        <v/>
      </c>
      <c r="G889" s="12" t="str">
        <f ca="1">IF($A889="","",IFERROR(SUMIF(INDIRECT("'"&amp;'Template Setup'!$C$4&amp;"'!C:C"),$A889,INDIRECT("'"&amp;'Template Setup'!$C$4&amp;"'!A:A")),0))</f>
        <v/>
      </c>
      <c r="H889" s="12" t="str">
        <f ca="1">IF($A889="","",IFERROR(SUMIF(INDIRECT("'"&amp;'Template Setup'!$C$5&amp;"'!C:C"),$A889,INDIRECT("'"&amp;'Template Setup'!$C$5&amp;"'!A:A")),0))</f>
        <v/>
      </c>
      <c r="I889" s="12" t="str">
        <f ca="1">IF($A889="","",IFERROR(SUMIF(INDIRECT("'"&amp;'Template Setup'!$C$6&amp;"'!C:C"),$A889,INDIRECT("'"&amp;'Template Setup'!$C$6&amp;"'!A:A")),0))</f>
        <v/>
      </c>
      <c r="J889" s="12" t="str">
        <f ca="1">IF($A889="","",IFERROR(SUMIF(INDIRECT("'"&amp;'Template Setup'!$C$7&amp;"'!C:C"),$A889,INDIRECT("'"&amp;'Template Setup'!$C$7&amp;"'!A:A")),0))</f>
        <v/>
      </c>
      <c r="K889" s="12" t="str">
        <f ca="1">IF($A889="","",IFERROR(SUMIF(INDIRECT("'"&amp;'Template Setup'!$C$8&amp;"'!C:C"),$A889,INDIRECT("'"&amp;'Template Setup'!$C$8&amp;"'!A:A")),0))</f>
        <v/>
      </c>
      <c r="L889" s="11" t="str">
        <f>IF($A889="","",IFERROR(VALUE(MID(TRIM('Template Setup'!$C$4),FIND("-",TRIM('Template Setup'!$C$4))+1,10)),0))</f>
        <v/>
      </c>
      <c r="M889" s="11" t="str">
        <f>IF($A889="","",IFERROR(VALUE(MID(TRIM('Template Setup'!$C$5),FIND("-",TRIM('Template Setup'!$C$5))+1,10)),0))</f>
        <v/>
      </c>
      <c r="N889" s="11" t="str">
        <f>IF($A889="","",IFERROR(VALUE(MID(TRIM('Template Setup'!$C$6),FIND("-",TRIM('Template Setup'!$C$6))+1,10)),0))</f>
        <v/>
      </c>
      <c r="O889" s="11" t="str">
        <f>IF($A889="","",IFERROR(VALUE(MID(TRIM('Template Setup'!$C$7),FIND("-",TRIM('Template Setup'!$C$7))+1,10)),0))</f>
        <v/>
      </c>
      <c r="P889" s="11" t="str">
        <f>IF($A889="","",IFERROR(VALUE(MID(TRIM('Template Setup'!$C$8),FIND("-",TRIM('Template Setup'!$C$8))+1,10)),0))</f>
        <v/>
      </c>
      <c r="Q889" s="9" t="str">
        <f>IF($A889="","",$A889&amp;"-"&amp;'Template Setup'!$C$16)</f>
        <v/>
      </c>
      <c r="R889" s="24" t="str">
        <f t="shared" si="53"/>
        <v/>
      </c>
      <c r="S889" s="24"/>
      <c r="T889" s="24" t="str">
        <f t="shared" si="54"/>
        <v/>
      </c>
      <c r="U889" s="6" t="str">
        <f t="shared" si="56"/>
        <v/>
      </c>
    </row>
    <row r="890" spans="1:21">
      <c r="A890" s="11"/>
      <c r="B890" s="11"/>
      <c r="C890" s="11"/>
      <c r="D890" s="11" t="str">
        <f>IF($A890="","",_xlfn.TEXTJOIN(", ",TRUE,IF($G890&gt;0,'Template Setup'!$C$4,""),IF($H890&gt;0,'Template Setup'!$C$5,""),IF($I890&gt;0,'Template Setup'!$C$6,""),IF($J890&gt;0,'Template Setup'!$C$7,""),IF($K890&gt;0,'Template Setup'!$C$8,"")))</f>
        <v/>
      </c>
      <c r="E890" s="6" t="str" cm="1">
        <f t="array" ref="E890">IF($A890="","",_xlfn.LET(_xlpm.sheets,CHOOSE({1,2,3,4,5},'Template Setup'!$C$4,'Template Setup'!$C$5,'Template Setup'!$C$6,'Template Setup'!$C$7,'Template Setup'!$C$8),_xlpm.nums,CHOOSE({1,2,3,4,5},$L890,$M890,$N890,$O890,$P890),_xlpm.qtys,CHOOSE({1,2,3,4,5},$G890,$H890,$I890,$J890,$K890),_xlpm.validNums,_xlfn._xlws.FILTER(_xlpm.nums,_xlpm.qtys&gt;0),_xlpm.validSheets,_xlfn._xlws.FILTER(_xlpm.sheets,_xlpm.qtys&gt;0),_xlpm.mx,IFERROR(MAX(_xlpm.validNums),0),IF(_xlpm.mx=0,"",INDEX(_xlpm.validSheets,MATCH(_xlpm.mx,_xlpm.validNums,0))&amp;" (+"&amp;$R890&amp;")")))</f>
        <v/>
      </c>
      <c r="F890" s="11" t="str">
        <f t="shared" si="55"/>
        <v/>
      </c>
      <c r="G890" s="12" t="str">
        <f ca="1">IF($A890="","",IFERROR(SUMIF(INDIRECT("'"&amp;'Template Setup'!$C$4&amp;"'!C:C"),$A890,INDIRECT("'"&amp;'Template Setup'!$C$4&amp;"'!A:A")),0))</f>
        <v/>
      </c>
      <c r="H890" s="12" t="str">
        <f ca="1">IF($A890="","",IFERROR(SUMIF(INDIRECT("'"&amp;'Template Setup'!$C$5&amp;"'!C:C"),$A890,INDIRECT("'"&amp;'Template Setup'!$C$5&amp;"'!A:A")),0))</f>
        <v/>
      </c>
      <c r="I890" s="12" t="str">
        <f ca="1">IF($A890="","",IFERROR(SUMIF(INDIRECT("'"&amp;'Template Setup'!$C$6&amp;"'!C:C"),$A890,INDIRECT("'"&amp;'Template Setup'!$C$6&amp;"'!A:A")),0))</f>
        <v/>
      </c>
      <c r="J890" s="12" t="str">
        <f ca="1">IF($A890="","",IFERROR(SUMIF(INDIRECT("'"&amp;'Template Setup'!$C$7&amp;"'!C:C"),$A890,INDIRECT("'"&amp;'Template Setup'!$C$7&amp;"'!A:A")),0))</f>
        <v/>
      </c>
      <c r="K890" s="12" t="str">
        <f ca="1">IF($A890="","",IFERROR(SUMIF(INDIRECT("'"&amp;'Template Setup'!$C$8&amp;"'!C:C"),$A890,INDIRECT("'"&amp;'Template Setup'!$C$8&amp;"'!A:A")),0))</f>
        <v/>
      </c>
      <c r="L890" s="11" t="str">
        <f>IF($A890="","",IFERROR(VALUE(MID(TRIM('Template Setup'!$C$4),FIND("-",TRIM('Template Setup'!$C$4))+1,10)),0))</f>
        <v/>
      </c>
      <c r="M890" s="11" t="str">
        <f>IF($A890="","",IFERROR(VALUE(MID(TRIM('Template Setup'!$C$5),FIND("-",TRIM('Template Setup'!$C$5))+1,10)),0))</f>
        <v/>
      </c>
      <c r="N890" s="11" t="str">
        <f>IF($A890="","",IFERROR(VALUE(MID(TRIM('Template Setup'!$C$6),FIND("-",TRIM('Template Setup'!$C$6))+1,10)),0))</f>
        <v/>
      </c>
      <c r="O890" s="11" t="str">
        <f>IF($A890="","",IFERROR(VALUE(MID(TRIM('Template Setup'!$C$7),FIND("-",TRIM('Template Setup'!$C$7))+1,10)),0))</f>
        <v/>
      </c>
      <c r="P890" s="11" t="str">
        <f>IF($A890="","",IFERROR(VALUE(MID(TRIM('Template Setup'!$C$8),FIND("-",TRIM('Template Setup'!$C$8))+1,10)),0))</f>
        <v/>
      </c>
      <c r="Q890" s="9" t="str">
        <f>IF($A890="","",$A890&amp;"-"&amp;'Template Setup'!$C$16)</f>
        <v/>
      </c>
      <c r="R890" s="24" t="str">
        <f t="shared" si="53"/>
        <v/>
      </c>
      <c r="S890" s="24"/>
      <c r="T890" s="24" t="str">
        <f t="shared" si="54"/>
        <v/>
      </c>
      <c r="U890" s="6" t="str">
        <f t="shared" si="56"/>
        <v/>
      </c>
    </row>
    <row r="891" spans="1:21">
      <c r="A891" s="11"/>
      <c r="B891" s="11"/>
      <c r="C891" s="11"/>
      <c r="D891" s="11" t="str">
        <f>IF($A891="","",_xlfn.TEXTJOIN(", ",TRUE,IF($G891&gt;0,'Template Setup'!$C$4,""),IF($H891&gt;0,'Template Setup'!$C$5,""),IF($I891&gt;0,'Template Setup'!$C$6,""),IF($J891&gt;0,'Template Setup'!$C$7,""),IF($K891&gt;0,'Template Setup'!$C$8,"")))</f>
        <v/>
      </c>
      <c r="E891" s="6" t="str" cm="1">
        <f t="array" ref="E891">IF($A891="","",_xlfn.LET(_xlpm.sheets,CHOOSE({1,2,3,4,5},'Template Setup'!$C$4,'Template Setup'!$C$5,'Template Setup'!$C$6,'Template Setup'!$C$7,'Template Setup'!$C$8),_xlpm.nums,CHOOSE({1,2,3,4,5},$L891,$M891,$N891,$O891,$P891),_xlpm.qtys,CHOOSE({1,2,3,4,5},$G891,$H891,$I891,$J891,$K891),_xlpm.validNums,_xlfn._xlws.FILTER(_xlpm.nums,_xlpm.qtys&gt;0),_xlpm.validSheets,_xlfn._xlws.FILTER(_xlpm.sheets,_xlpm.qtys&gt;0),_xlpm.mx,IFERROR(MAX(_xlpm.validNums),0),IF(_xlpm.mx=0,"",INDEX(_xlpm.validSheets,MATCH(_xlpm.mx,_xlpm.validNums,0))&amp;" (+"&amp;$R891&amp;")")))</f>
        <v/>
      </c>
      <c r="F891" s="11" t="str">
        <f t="shared" si="55"/>
        <v/>
      </c>
      <c r="G891" s="12" t="str">
        <f ca="1">IF($A891="","",IFERROR(SUMIF(INDIRECT("'"&amp;'Template Setup'!$C$4&amp;"'!C:C"),$A891,INDIRECT("'"&amp;'Template Setup'!$C$4&amp;"'!A:A")),0))</f>
        <v/>
      </c>
      <c r="H891" s="12" t="str">
        <f ca="1">IF($A891="","",IFERROR(SUMIF(INDIRECT("'"&amp;'Template Setup'!$C$5&amp;"'!C:C"),$A891,INDIRECT("'"&amp;'Template Setup'!$C$5&amp;"'!A:A")),0))</f>
        <v/>
      </c>
      <c r="I891" s="12" t="str">
        <f ca="1">IF($A891="","",IFERROR(SUMIF(INDIRECT("'"&amp;'Template Setup'!$C$6&amp;"'!C:C"),$A891,INDIRECT("'"&amp;'Template Setup'!$C$6&amp;"'!A:A")),0))</f>
        <v/>
      </c>
      <c r="J891" s="12" t="str">
        <f ca="1">IF($A891="","",IFERROR(SUMIF(INDIRECT("'"&amp;'Template Setup'!$C$7&amp;"'!C:C"),$A891,INDIRECT("'"&amp;'Template Setup'!$C$7&amp;"'!A:A")),0))</f>
        <v/>
      </c>
      <c r="K891" s="12" t="str">
        <f ca="1">IF($A891="","",IFERROR(SUMIF(INDIRECT("'"&amp;'Template Setup'!$C$8&amp;"'!C:C"),$A891,INDIRECT("'"&amp;'Template Setup'!$C$8&amp;"'!A:A")),0))</f>
        <v/>
      </c>
      <c r="L891" s="11" t="str">
        <f>IF($A891="","",IFERROR(VALUE(MID(TRIM('Template Setup'!$C$4),FIND("-",TRIM('Template Setup'!$C$4))+1,10)),0))</f>
        <v/>
      </c>
      <c r="M891" s="11" t="str">
        <f>IF($A891="","",IFERROR(VALUE(MID(TRIM('Template Setup'!$C$5),FIND("-",TRIM('Template Setup'!$C$5))+1,10)),0))</f>
        <v/>
      </c>
      <c r="N891" s="11" t="str">
        <f>IF($A891="","",IFERROR(VALUE(MID(TRIM('Template Setup'!$C$6),FIND("-",TRIM('Template Setup'!$C$6))+1,10)),0))</f>
        <v/>
      </c>
      <c r="O891" s="11" t="str">
        <f>IF($A891="","",IFERROR(VALUE(MID(TRIM('Template Setup'!$C$7),FIND("-",TRIM('Template Setup'!$C$7))+1,10)),0))</f>
        <v/>
      </c>
      <c r="P891" s="11" t="str">
        <f>IF($A891="","",IFERROR(VALUE(MID(TRIM('Template Setup'!$C$8),FIND("-",TRIM('Template Setup'!$C$8))+1,10)),0))</f>
        <v/>
      </c>
      <c r="Q891" s="9" t="str">
        <f>IF($A891="","",$A891&amp;"-"&amp;'Template Setup'!$C$16)</f>
        <v/>
      </c>
      <c r="R891" s="24" t="str">
        <f t="shared" si="53"/>
        <v/>
      </c>
      <c r="S891" s="24"/>
      <c r="T891" s="24" t="str">
        <f t="shared" si="54"/>
        <v/>
      </c>
      <c r="U891" s="6" t="str">
        <f t="shared" si="56"/>
        <v/>
      </c>
    </row>
    <row r="892" spans="1:21">
      <c r="A892" s="11"/>
      <c r="B892" s="11"/>
      <c r="C892" s="11"/>
      <c r="D892" s="11" t="str">
        <f>IF($A892="","",_xlfn.TEXTJOIN(", ",TRUE,IF($G892&gt;0,'Template Setup'!$C$4,""),IF($H892&gt;0,'Template Setup'!$C$5,""),IF($I892&gt;0,'Template Setup'!$C$6,""),IF($J892&gt;0,'Template Setup'!$C$7,""),IF($K892&gt;0,'Template Setup'!$C$8,"")))</f>
        <v/>
      </c>
      <c r="E892" s="6" t="str" cm="1">
        <f t="array" ref="E892">IF($A892="","",_xlfn.LET(_xlpm.sheets,CHOOSE({1,2,3,4,5},'Template Setup'!$C$4,'Template Setup'!$C$5,'Template Setup'!$C$6,'Template Setup'!$C$7,'Template Setup'!$C$8),_xlpm.nums,CHOOSE({1,2,3,4,5},$L892,$M892,$N892,$O892,$P892),_xlpm.qtys,CHOOSE({1,2,3,4,5},$G892,$H892,$I892,$J892,$K892),_xlpm.validNums,_xlfn._xlws.FILTER(_xlpm.nums,_xlpm.qtys&gt;0),_xlpm.validSheets,_xlfn._xlws.FILTER(_xlpm.sheets,_xlpm.qtys&gt;0),_xlpm.mx,IFERROR(MAX(_xlpm.validNums),0),IF(_xlpm.mx=0,"",INDEX(_xlpm.validSheets,MATCH(_xlpm.mx,_xlpm.validNums,0))&amp;" (+"&amp;$R892&amp;")")))</f>
        <v/>
      </c>
      <c r="F892" s="11" t="str">
        <f t="shared" si="55"/>
        <v/>
      </c>
      <c r="G892" s="12" t="str">
        <f ca="1">IF($A892="","",IFERROR(SUMIF(INDIRECT("'"&amp;'Template Setup'!$C$4&amp;"'!C:C"),$A892,INDIRECT("'"&amp;'Template Setup'!$C$4&amp;"'!A:A")),0))</f>
        <v/>
      </c>
      <c r="H892" s="12" t="str">
        <f ca="1">IF($A892="","",IFERROR(SUMIF(INDIRECT("'"&amp;'Template Setup'!$C$5&amp;"'!C:C"),$A892,INDIRECT("'"&amp;'Template Setup'!$C$5&amp;"'!A:A")),0))</f>
        <v/>
      </c>
      <c r="I892" s="12" t="str">
        <f ca="1">IF($A892="","",IFERROR(SUMIF(INDIRECT("'"&amp;'Template Setup'!$C$6&amp;"'!C:C"),$A892,INDIRECT("'"&amp;'Template Setup'!$C$6&amp;"'!A:A")),0))</f>
        <v/>
      </c>
      <c r="J892" s="12" t="str">
        <f ca="1">IF($A892="","",IFERROR(SUMIF(INDIRECT("'"&amp;'Template Setup'!$C$7&amp;"'!C:C"),$A892,INDIRECT("'"&amp;'Template Setup'!$C$7&amp;"'!A:A")),0))</f>
        <v/>
      </c>
      <c r="K892" s="12" t="str">
        <f ca="1">IF($A892="","",IFERROR(SUMIF(INDIRECT("'"&amp;'Template Setup'!$C$8&amp;"'!C:C"),$A892,INDIRECT("'"&amp;'Template Setup'!$C$8&amp;"'!A:A")),0))</f>
        <v/>
      </c>
      <c r="L892" s="11" t="str">
        <f>IF($A892="","",IFERROR(VALUE(MID(TRIM('Template Setup'!$C$4),FIND("-",TRIM('Template Setup'!$C$4))+1,10)),0))</f>
        <v/>
      </c>
      <c r="M892" s="11" t="str">
        <f>IF($A892="","",IFERROR(VALUE(MID(TRIM('Template Setup'!$C$5),FIND("-",TRIM('Template Setup'!$C$5))+1,10)),0))</f>
        <v/>
      </c>
      <c r="N892" s="11" t="str">
        <f>IF($A892="","",IFERROR(VALUE(MID(TRIM('Template Setup'!$C$6),FIND("-",TRIM('Template Setup'!$C$6))+1,10)),0))</f>
        <v/>
      </c>
      <c r="O892" s="11" t="str">
        <f>IF($A892="","",IFERROR(VALUE(MID(TRIM('Template Setup'!$C$7),FIND("-",TRIM('Template Setup'!$C$7))+1,10)),0))</f>
        <v/>
      </c>
      <c r="P892" s="11" t="str">
        <f>IF($A892="","",IFERROR(VALUE(MID(TRIM('Template Setup'!$C$8),FIND("-",TRIM('Template Setup'!$C$8))+1,10)),0))</f>
        <v/>
      </c>
      <c r="Q892" s="9" t="str">
        <f>IF($A892="","",$A892&amp;"-"&amp;'Template Setup'!$C$16)</f>
        <v/>
      </c>
      <c r="R892" s="24" t="str">
        <f t="shared" si="53"/>
        <v/>
      </c>
      <c r="S892" s="24"/>
      <c r="T892" s="24" t="str">
        <f t="shared" si="54"/>
        <v/>
      </c>
      <c r="U892" s="6" t="str">
        <f t="shared" si="56"/>
        <v/>
      </c>
    </row>
    <row r="893" spans="1:21">
      <c r="A893" s="11"/>
      <c r="B893" s="11"/>
      <c r="C893" s="11"/>
      <c r="D893" s="11" t="str">
        <f>IF($A893="","",_xlfn.TEXTJOIN(", ",TRUE,IF($G893&gt;0,'Template Setup'!$C$4,""),IF($H893&gt;0,'Template Setup'!$C$5,""),IF($I893&gt;0,'Template Setup'!$C$6,""),IF($J893&gt;0,'Template Setup'!$C$7,""),IF($K893&gt;0,'Template Setup'!$C$8,"")))</f>
        <v/>
      </c>
      <c r="E893" s="6" t="str" cm="1">
        <f t="array" ref="E893">IF($A893="","",_xlfn.LET(_xlpm.sheets,CHOOSE({1,2,3,4,5},'Template Setup'!$C$4,'Template Setup'!$C$5,'Template Setup'!$C$6,'Template Setup'!$C$7,'Template Setup'!$C$8),_xlpm.nums,CHOOSE({1,2,3,4,5},$L893,$M893,$N893,$O893,$P893),_xlpm.qtys,CHOOSE({1,2,3,4,5},$G893,$H893,$I893,$J893,$K893),_xlpm.validNums,_xlfn._xlws.FILTER(_xlpm.nums,_xlpm.qtys&gt;0),_xlpm.validSheets,_xlfn._xlws.FILTER(_xlpm.sheets,_xlpm.qtys&gt;0),_xlpm.mx,IFERROR(MAX(_xlpm.validNums),0),IF(_xlpm.mx=0,"",INDEX(_xlpm.validSheets,MATCH(_xlpm.mx,_xlpm.validNums,0))&amp;" (+"&amp;$R893&amp;")")))</f>
        <v/>
      </c>
      <c r="F893" s="11" t="str">
        <f t="shared" si="55"/>
        <v/>
      </c>
      <c r="G893" s="12" t="str">
        <f ca="1">IF($A893="","",IFERROR(SUMIF(INDIRECT("'"&amp;'Template Setup'!$C$4&amp;"'!C:C"),$A893,INDIRECT("'"&amp;'Template Setup'!$C$4&amp;"'!A:A")),0))</f>
        <v/>
      </c>
      <c r="H893" s="12" t="str">
        <f ca="1">IF($A893="","",IFERROR(SUMIF(INDIRECT("'"&amp;'Template Setup'!$C$5&amp;"'!C:C"),$A893,INDIRECT("'"&amp;'Template Setup'!$C$5&amp;"'!A:A")),0))</f>
        <v/>
      </c>
      <c r="I893" s="12" t="str">
        <f ca="1">IF($A893="","",IFERROR(SUMIF(INDIRECT("'"&amp;'Template Setup'!$C$6&amp;"'!C:C"),$A893,INDIRECT("'"&amp;'Template Setup'!$C$6&amp;"'!A:A")),0))</f>
        <v/>
      </c>
      <c r="J893" s="12" t="str">
        <f ca="1">IF($A893="","",IFERROR(SUMIF(INDIRECT("'"&amp;'Template Setup'!$C$7&amp;"'!C:C"),$A893,INDIRECT("'"&amp;'Template Setup'!$C$7&amp;"'!A:A")),0))</f>
        <v/>
      </c>
      <c r="K893" s="12" t="str">
        <f ca="1">IF($A893="","",IFERROR(SUMIF(INDIRECT("'"&amp;'Template Setup'!$C$8&amp;"'!C:C"),$A893,INDIRECT("'"&amp;'Template Setup'!$C$8&amp;"'!A:A")),0))</f>
        <v/>
      </c>
      <c r="L893" s="11" t="str">
        <f>IF($A893="","",IFERROR(VALUE(MID(TRIM('Template Setup'!$C$4),FIND("-",TRIM('Template Setup'!$C$4))+1,10)),0))</f>
        <v/>
      </c>
      <c r="M893" s="11" t="str">
        <f>IF($A893="","",IFERROR(VALUE(MID(TRIM('Template Setup'!$C$5),FIND("-",TRIM('Template Setup'!$C$5))+1,10)),0))</f>
        <v/>
      </c>
      <c r="N893" s="11" t="str">
        <f>IF($A893="","",IFERROR(VALUE(MID(TRIM('Template Setup'!$C$6),FIND("-",TRIM('Template Setup'!$C$6))+1,10)),0))</f>
        <v/>
      </c>
      <c r="O893" s="11" t="str">
        <f>IF($A893="","",IFERROR(VALUE(MID(TRIM('Template Setup'!$C$7),FIND("-",TRIM('Template Setup'!$C$7))+1,10)),0))</f>
        <v/>
      </c>
      <c r="P893" s="11" t="str">
        <f>IF($A893="","",IFERROR(VALUE(MID(TRIM('Template Setup'!$C$8),FIND("-",TRIM('Template Setup'!$C$8))+1,10)),0))</f>
        <v/>
      </c>
      <c r="Q893" s="9" t="str">
        <f>IF($A893="","",$A893&amp;"-"&amp;'Template Setup'!$C$16)</f>
        <v/>
      </c>
      <c r="R893" s="24" t="str">
        <f t="shared" si="53"/>
        <v/>
      </c>
      <c r="S893" s="24"/>
      <c r="T893" s="24" t="str">
        <f t="shared" si="54"/>
        <v/>
      </c>
      <c r="U893" s="6" t="str">
        <f t="shared" si="56"/>
        <v/>
      </c>
    </row>
    <row r="894" spans="1:21">
      <c r="A894" s="11"/>
      <c r="B894" s="11"/>
      <c r="C894" s="11"/>
      <c r="D894" s="11" t="str">
        <f>IF($A894="","",_xlfn.TEXTJOIN(", ",TRUE,IF($G894&gt;0,'Template Setup'!$C$4,""),IF($H894&gt;0,'Template Setup'!$C$5,""),IF($I894&gt;0,'Template Setup'!$C$6,""),IF($J894&gt;0,'Template Setup'!$C$7,""),IF($K894&gt;0,'Template Setup'!$C$8,"")))</f>
        <v/>
      </c>
      <c r="E894" s="6" t="str" cm="1">
        <f t="array" ref="E894">IF($A894="","",_xlfn.LET(_xlpm.sheets,CHOOSE({1,2,3,4,5},'Template Setup'!$C$4,'Template Setup'!$C$5,'Template Setup'!$C$6,'Template Setup'!$C$7,'Template Setup'!$C$8),_xlpm.nums,CHOOSE({1,2,3,4,5},$L894,$M894,$N894,$O894,$P894),_xlpm.qtys,CHOOSE({1,2,3,4,5},$G894,$H894,$I894,$J894,$K894),_xlpm.validNums,_xlfn._xlws.FILTER(_xlpm.nums,_xlpm.qtys&gt;0),_xlpm.validSheets,_xlfn._xlws.FILTER(_xlpm.sheets,_xlpm.qtys&gt;0),_xlpm.mx,IFERROR(MAX(_xlpm.validNums),0),IF(_xlpm.mx=0,"",INDEX(_xlpm.validSheets,MATCH(_xlpm.mx,_xlpm.validNums,0))&amp;" (+"&amp;$R894&amp;")")))</f>
        <v/>
      </c>
      <c r="F894" s="11" t="str">
        <f t="shared" si="55"/>
        <v/>
      </c>
      <c r="G894" s="12" t="str">
        <f ca="1">IF($A894="","",IFERROR(SUMIF(INDIRECT("'"&amp;'Template Setup'!$C$4&amp;"'!C:C"),$A894,INDIRECT("'"&amp;'Template Setup'!$C$4&amp;"'!A:A")),0))</f>
        <v/>
      </c>
      <c r="H894" s="12" t="str">
        <f ca="1">IF($A894="","",IFERROR(SUMIF(INDIRECT("'"&amp;'Template Setup'!$C$5&amp;"'!C:C"),$A894,INDIRECT("'"&amp;'Template Setup'!$C$5&amp;"'!A:A")),0))</f>
        <v/>
      </c>
      <c r="I894" s="12" t="str">
        <f ca="1">IF($A894="","",IFERROR(SUMIF(INDIRECT("'"&amp;'Template Setup'!$C$6&amp;"'!C:C"),$A894,INDIRECT("'"&amp;'Template Setup'!$C$6&amp;"'!A:A")),0))</f>
        <v/>
      </c>
      <c r="J894" s="12" t="str">
        <f ca="1">IF($A894="","",IFERROR(SUMIF(INDIRECT("'"&amp;'Template Setup'!$C$7&amp;"'!C:C"),$A894,INDIRECT("'"&amp;'Template Setup'!$C$7&amp;"'!A:A")),0))</f>
        <v/>
      </c>
      <c r="K894" s="12" t="str">
        <f ca="1">IF($A894="","",IFERROR(SUMIF(INDIRECT("'"&amp;'Template Setup'!$C$8&amp;"'!C:C"),$A894,INDIRECT("'"&amp;'Template Setup'!$C$8&amp;"'!A:A")),0))</f>
        <v/>
      </c>
      <c r="L894" s="11" t="str">
        <f>IF($A894="","",IFERROR(VALUE(MID(TRIM('Template Setup'!$C$4),FIND("-",TRIM('Template Setup'!$C$4))+1,10)),0))</f>
        <v/>
      </c>
      <c r="M894" s="11" t="str">
        <f>IF($A894="","",IFERROR(VALUE(MID(TRIM('Template Setup'!$C$5),FIND("-",TRIM('Template Setup'!$C$5))+1,10)),0))</f>
        <v/>
      </c>
      <c r="N894" s="11" t="str">
        <f>IF($A894="","",IFERROR(VALUE(MID(TRIM('Template Setup'!$C$6),FIND("-",TRIM('Template Setup'!$C$6))+1,10)),0))</f>
        <v/>
      </c>
      <c r="O894" s="11" t="str">
        <f>IF($A894="","",IFERROR(VALUE(MID(TRIM('Template Setup'!$C$7),FIND("-",TRIM('Template Setup'!$C$7))+1,10)),0))</f>
        <v/>
      </c>
      <c r="P894" s="11" t="str">
        <f>IF($A894="","",IFERROR(VALUE(MID(TRIM('Template Setup'!$C$8),FIND("-",TRIM('Template Setup'!$C$8))+1,10)),0))</f>
        <v/>
      </c>
      <c r="Q894" s="9" t="str">
        <f>IF($A894="","",$A894&amp;"-"&amp;'Template Setup'!$C$16)</f>
        <v/>
      </c>
      <c r="R894" s="24" t="str">
        <f t="shared" si="53"/>
        <v/>
      </c>
      <c r="S894" s="24"/>
      <c r="T894" s="24" t="str">
        <f t="shared" si="54"/>
        <v/>
      </c>
      <c r="U894" s="6" t="str">
        <f t="shared" si="56"/>
        <v/>
      </c>
    </row>
    <row r="895" spans="1:21">
      <c r="A895" s="11"/>
      <c r="B895" s="11"/>
      <c r="C895" s="11"/>
      <c r="D895" s="11" t="str">
        <f>IF($A895="","",_xlfn.TEXTJOIN(", ",TRUE,IF($G895&gt;0,'Template Setup'!$C$4,""),IF($H895&gt;0,'Template Setup'!$C$5,""),IF($I895&gt;0,'Template Setup'!$C$6,""),IF($J895&gt;0,'Template Setup'!$C$7,""),IF($K895&gt;0,'Template Setup'!$C$8,"")))</f>
        <v/>
      </c>
      <c r="E895" s="6" t="str" cm="1">
        <f t="array" ref="E895">IF($A895="","",_xlfn.LET(_xlpm.sheets,CHOOSE({1,2,3,4,5},'Template Setup'!$C$4,'Template Setup'!$C$5,'Template Setup'!$C$6,'Template Setup'!$C$7,'Template Setup'!$C$8),_xlpm.nums,CHOOSE({1,2,3,4,5},$L895,$M895,$N895,$O895,$P895),_xlpm.qtys,CHOOSE({1,2,3,4,5},$G895,$H895,$I895,$J895,$K895),_xlpm.validNums,_xlfn._xlws.FILTER(_xlpm.nums,_xlpm.qtys&gt;0),_xlpm.validSheets,_xlfn._xlws.FILTER(_xlpm.sheets,_xlpm.qtys&gt;0),_xlpm.mx,IFERROR(MAX(_xlpm.validNums),0),IF(_xlpm.mx=0,"",INDEX(_xlpm.validSheets,MATCH(_xlpm.mx,_xlpm.validNums,0))&amp;" (+"&amp;$R895&amp;")")))</f>
        <v/>
      </c>
      <c r="F895" s="11" t="str">
        <f t="shared" si="55"/>
        <v/>
      </c>
      <c r="G895" s="12" t="str">
        <f ca="1">IF($A895="","",IFERROR(SUMIF(INDIRECT("'"&amp;'Template Setup'!$C$4&amp;"'!C:C"),$A895,INDIRECT("'"&amp;'Template Setup'!$C$4&amp;"'!A:A")),0))</f>
        <v/>
      </c>
      <c r="H895" s="12" t="str">
        <f ca="1">IF($A895="","",IFERROR(SUMIF(INDIRECT("'"&amp;'Template Setup'!$C$5&amp;"'!C:C"),$A895,INDIRECT("'"&amp;'Template Setup'!$C$5&amp;"'!A:A")),0))</f>
        <v/>
      </c>
      <c r="I895" s="12" t="str">
        <f ca="1">IF($A895="","",IFERROR(SUMIF(INDIRECT("'"&amp;'Template Setup'!$C$6&amp;"'!C:C"),$A895,INDIRECT("'"&amp;'Template Setup'!$C$6&amp;"'!A:A")),0))</f>
        <v/>
      </c>
      <c r="J895" s="12" t="str">
        <f ca="1">IF($A895="","",IFERROR(SUMIF(INDIRECT("'"&amp;'Template Setup'!$C$7&amp;"'!C:C"),$A895,INDIRECT("'"&amp;'Template Setup'!$C$7&amp;"'!A:A")),0))</f>
        <v/>
      </c>
      <c r="K895" s="12" t="str">
        <f ca="1">IF($A895="","",IFERROR(SUMIF(INDIRECT("'"&amp;'Template Setup'!$C$8&amp;"'!C:C"),$A895,INDIRECT("'"&amp;'Template Setup'!$C$8&amp;"'!A:A")),0))</f>
        <v/>
      </c>
      <c r="L895" s="11" t="str">
        <f>IF($A895="","",IFERROR(VALUE(MID(TRIM('Template Setup'!$C$4),FIND("-",TRIM('Template Setup'!$C$4))+1,10)),0))</f>
        <v/>
      </c>
      <c r="M895" s="11" t="str">
        <f>IF($A895="","",IFERROR(VALUE(MID(TRIM('Template Setup'!$C$5),FIND("-",TRIM('Template Setup'!$C$5))+1,10)),0))</f>
        <v/>
      </c>
      <c r="N895" s="11" t="str">
        <f>IF($A895="","",IFERROR(VALUE(MID(TRIM('Template Setup'!$C$6),FIND("-",TRIM('Template Setup'!$C$6))+1,10)),0))</f>
        <v/>
      </c>
      <c r="O895" s="11" t="str">
        <f>IF($A895="","",IFERROR(VALUE(MID(TRIM('Template Setup'!$C$7),FIND("-",TRIM('Template Setup'!$C$7))+1,10)),0))</f>
        <v/>
      </c>
      <c r="P895" s="11" t="str">
        <f>IF($A895="","",IFERROR(VALUE(MID(TRIM('Template Setup'!$C$8),FIND("-",TRIM('Template Setup'!$C$8))+1,10)),0))</f>
        <v/>
      </c>
      <c r="Q895" s="9" t="str">
        <f>IF($A895="","",$A895&amp;"-"&amp;'Template Setup'!$C$16)</f>
        <v/>
      </c>
      <c r="R895" s="24" t="str">
        <f t="shared" si="53"/>
        <v/>
      </c>
      <c r="S895" s="24"/>
      <c r="T895" s="24" t="str">
        <f t="shared" si="54"/>
        <v/>
      </c>
      <c r="U895" s="6" t="str">
        <f t="shared" si="56"/>
        <v/>
      </c>
    </row>
    <row r="896" spans="1:21">
      <c r="A896" s="11"/>
      <c r="B896" s="11"/>
      <c r="C896" s="11"/>
      <c r="D896" s="11" t="str">
        <f>IF($A896="","",_xlfn.TEXTJOIN(", ",TRUE,IF($G896&gt;0,'Template Setup'!$C$4,""),IF($H896&gt;0,'Template Setup'!$C$5,""),IF($I896&gt;0,'Template Setup'!$C$6,""),IF($J896&gt;0,'Template Setup'!$C$7,""),IF($K896&gt;0,'Template Setup'!$C$8,"")))</f>
        <v/>
      </c>
      <c r="E896" s="6" t="str" cm="1">
        <f t="array" ref="E896">IF($A896="","",_xlfn.LET(_xlpm.sheets,CHOOSE({1,2,3,4,5},'Template Setup'!$C$4,'Template Setup'!$C$5,'Template Setup'!$C$6,'Template Setup'!$C$7,'Template Setup'!$C$8),_xlpm.nums,CHOOSE({1,2,3,4,5},$L896,$M896,$N896,$O896,$P896),_xlpm.qtys,CHOOSE({1,2,3,4,5},$G896,$H896,$I896,$J896,$K896),_xlpm.validNums,_xlfn._xlws.FILTER(_xlpm.nums,_xlpm.qtys&gt;0),_xlpm.validSheets,_xlfn._xlws.FILTER(_xlpm.sheets,_xlpm.qtys&gt;0),_xlpm.mx,IFERROR(MAX(_xlpm.validNums),0),IF(_xlpm.mx=0,"",INDEX(_xlpm.validSheets,MATCH(_xlpm.mx,_xlpm.validNums,0))&amp;" (+"&amp;$R896&amp;")")))</f>
        <v/>
      </c>
      <c r="F896" s="11" t="str">
        <f t="shared" si="55"/>
        <v/>
      </c>
      <c r="G896" s="12" t="str">
        <f ca="1">IF($A896="","",IFERROR(SUMIF(INDIRECT("'"&amp;'Template Setup'!$C$4&amp;"'!C:C"),$A896,INDIRECT("'"&amp;'Template Setup'!$C$4&amp;"'!A:A")),0))</f>
        <v/>
      </c>
      <c r="H896" s="12" t="str">
        <f ca="1">IF($A896="","",IFERROR(SUMIF(INDIRECT("'"&amp;'Template Setup'!$C$5&amp;"'!C:C"),$A896,INDIRECT("'"&amp;'Template Setup'!$C$5&amp;"'!A:A")),0))</f>
        <v/>
      </c>
      <c r="I896" s="12" t="str">
        <f ca="1">IF($A896="","",IFERROR(SUMIF(INDIRECT("'"&amp;'Template Setup'!$C$6&amp;"'!C:C"),$A896,INDIRECT("'"&amp;'Template Setup'!$C$6&amp;"'!A:A")),0))</f>
        <v/>
      </c>
      <c r="J896" s="12" t="str">
        <f ca="1">IF($A896="","",IFERROR(SUMIF(INDIRECT("'"&amp;'Template Setup'!$C$7&amp;"'!C:C"),$A896,INDIRECT("'"&amp;'Template Setup'!$C$7&amp;"'!A:A")),0))</f>
        <v/>
      </c>
      <c r="K896" s="12" t="str">
        <f ca="1">IF($A896="","",IFERROR(SUMIF(INDIRECT("'"&amp;'Template Setup'!$C$8&amp;"'!C:C"),$A896,INDIRECT("'"&amp;'Template Setup'!$C$8&amp;"'!A:A")),0))</f>
        <v/>
      </c>
      <c r="L896" s="11" t="str">
        <f>IF($A896="","",IFERROR(VALUE(MID(TRIM('Template Setup'!$C$4),FIND("-",TRIM('Template Setup'!$C$4))+1,10)),0))</f>
        <v/>
      </c>
      <c r="M896" s="11" t="str">
        <f>IF($A896="","",IFERROR(VALUE(MID(TRIM('Template Setup'!$C$5),FIND("-",TRIM('Template Setup'!$C$5))+1,10)),0))</f>
        <v/>
      </c>
      <c r="N896" s="11" t="str">
        <f>IF($A896="","",IFERROR(VALUE(MID(TRIM('Template Setup'!$C$6),FIND("-",TRIM('Template Setup'!$C$6))+1,10)),0))</f>
        <v/>
      </c>
      <c r="O896" s="11" t="str">
        <f>IF($A896="","",IFERROR(VALUE(MID(TRIM('Template Setup'!$C$7),FIND("-",TRIM('Template Setup'!$C$7))+1,10)),0))</f>
        <v/>
      </c>
      <c r="P896" s="11" t="str">
        <f>IF($A896="","",IFERROR(VALUE(MID(TRIM('Template Setup'!$C$8),FIND("-",TRIM('Template Setup'!$C$8))+1,10)),0))</f>
        <v/>
      </c>
      <c r="Q896" s="9" t="str">
        <f>IF($A896="","",$A896&amp;"-"&amp;'Template Setup'!$C$16)</f>
        <v/>
      </c>
      <c r="R896" s="24" t="str">
        <f t="shared" si="53"/>
        <v/>
      </c>
      <c r="S896" s="24"/>
      <c r="T896" s="24" t="str">
        <f t="shared" si="54"/>
        <v/>
      </c>
      <c r="U896" s="6" t="str">
        <f t="shared" si="56"/>
        <v/>
      </c>
    </row>
    <row r="897" spans="1:21">
      <c r="A897" s="11"/>
      <c r="B897" s="11"/>
      <c r="C897" s="11"/>
      <c r="D897" s="11" t="str">
        <f>IF($A897="","",_xlfn.TEXTJOIN(", ",TRUE,IF($G897&gt;0,'Template Setup'!$C$4,""),IF($H897&gt;0,'Template Setup'!$C$5,""),IF($I897&gt;0,'Template Setup'!$C$6,""),IF($J897&gt;0,'Template Setup'!$C$7,""),IF($K897&gt;0,'Template Setup'!$C$8,"")))</f>
        <v/>
      </c>
      <c r="E897" s="6" t="str" cm="1">
        <f t="array" ref="E897">IF($A897="","",_xlfn.LET(_xlpm.sheets,CHOOSE({1,2,3,4,5},'Template Setup'!$C$4,'Template Setup'!$C$5,'Template Setup'!$C$6,'Template Setup'!$C$7,'Template Setup'!$C$8),_xlpm.nums,CHOOSE({1,2,3,4,5},$L897,$M897,$N897,$O897,$P897),_xlpm.qtys,CHOOSE({1,2,3,4,5},$G897,$H897,$I897,$J897,$K897),_xlpm.validNums,_xlfn._xlws.FILTER(_xlpm.nums,_xlpm.qtys&gt;0),_xlpm.validSheets,_xlfn._xlws.FILTER(_xlpm.sheets,_xlpm.qtys&gt;0),_xlpm.mx,IFERROR(MAX(_xlpm.validNums),0),IF(_xlpm.mx=0,"",INDEX(_xlpm.validSheets,MATCH(_xlpm.mx,_xlpm.validNums,0))&amp;" (+"&amp;$R897&amp;")")))</f>
        <v/>
      </c>
      <c r="F897" s="11" t="str">
        <f t="shared" si="55"/>
        <v/>
      </c>
      <c r="G897" s="12" t="str">
        <f ca="1">IF($A897="","",IFERROR(SUMIF(INDIRECT("'"&amp;'Template Setup'!$C$4&amp;"'!C:C"),$A897,INDIRECT("'"&amp;'Template Setup'!$C$4&amp;"'!A:A")),0))</f>
        <v/>
      </c>
      <c r="H897" s="12" t="str">
        <f ca="1">IF($A897="","",IFERROR(SUMIF(INDIRECT("'"&amp;'Template Setup'!$C$5&amp;"'!C:C"),$A897,INDIRECT("'"&amp;'Template Setup'!$C$5&amp;"'!A:A")),0))</f>
        <v/>
      </c>
      <c r="I897" s="12" t="str">
        <f ca="1">IF($A897="","",IFERROR(SUMIF(INDIRECT("'"&amp;'Template Setup'!$C$6&amp;"'!C:C"),$A897,INDIRECT("'"&amp;'Template Setup'!$C$6&amp;"'!A:A")),0))</f>
        <v/>
      </c>
      <c r="J897" s="12" t="str">
        <f ca="1">IF($A897="","",IFERROR(SUMIF(INDIRECT("'"&amp;'Template Setup'!$C$7&amp;"'!C:C"),$A897,INDIRECT("'"&amp;'Template Setup'!$C$7&amp;"'!A:A")),0))</f>
        <v/>
      </c>
      <c r="K897" s="12" t="str">
        <f ca="1">IF($A897="","",IFERROR(SUMIF(INDIRECT("'"&amp;'Template Setup'!$C$8&amp;"'!C:C"),$A897,INDIRECT("'"&amp;'Template Setup'!$C$8&amp;"'!A:A")),0))</f>
        <v/>
      </c>
      <c r="L897" s="11" t="str">
        <f>IF($A897="","",IFERROR(VALUE(MID(TRIM('Template Setup'!$C$4),FIND("-",TRIM('Template Setup'!$C$4))+1,10)),0))</f>
        <v/>
      </c>
      <c r="M897" s="11" t="str">
        <f>IF($A897="","",IFERROR(VALUE(MID(TRIM('Template Setup'!$C$5),FIND("-",TRIM('Template Setup'!$C$5))+1,10)),0))</f>
        <v/>
      </c>
      <c r="N897" s="11" t="str">
        <f>IF($A897="","",IFERROR(VALUE(MID(TRIM('Template Setup'!$C$6),FIND("-",TRIM('Template Setup'!$C$6))+1,10)),0))</f>
        <v/>
      </c>
      <c r="O897" s="11" t="str">
        <f>IF($A897="","",IFERROR(VALUE(MID(TRIM('Template Setup'!$C$7),FIND("-",TRIM('Template Setup'!$C$7))+1,10)),0))</f>
        <v/>
      </c>
      <c r="P897" s="11" t="str">
        <f>IF($A897="","",IFERROR(VALUE(MID(TRIM('Template Setup'!$C$8),FIND("-",TRIM('Template Setup'!$C$8))+1,10)),0))</f>
        <v/>
      </c>
      <c r="Q897" s="9" t="str">
        <f>IF($A897="","",$A897&amp;"-"&amp;'Template Setup'!$C$16)</f>
        <v/>
      </c>
      <c r="R897" s="24" t="str">
        <f t="shared" si="53"/>
        <v/>
      </c>
      <c r="S897" s="24"/>
      <c r="T897" s="24" t="str">
        <f t="shared" si="54"/>
        <v/>
      </c>
      <c r="U897" s="6" t="str">
        <f t="shared" si="56"/>
        <v/>
      </c>
    </row>
    <row r="898" spans="1:21">
      <c r="A898" s="11"/>
      <c r="B898" s="11"/>
      <c r="C898" s="11"/>
      <c r="D898" s="11" t="str">
        <f>IF($A898="","",_xlfn.TEXTJOIN(", ",TRUE,IF($G898&gt;0,'Template Setup'!$C$4,""),IF($H898&gt;0,'Template Setup'!$C$5,""),IF($I898&gt;0,'Template Setup'!$C$6,""),IF($J898&gt;0,'Template Setup'!$C$7,""),IF($K898&gt;0,'Template Setup'!$C$8,"")))</f>
        <v/>
      </c>
      <c r="E898" s="6" t="str" cm="1">
        <f t="array" ref="E898">IF($A898="","",_xlfn.LET(_xlpm.sheets,CHOOSE({1,2,3,4,5},'Template Setup'!$C$4,'Template Setup'!$C$5,'Template Setup'!$C$6,'Template Setup'!$C$7,'Template Setup'!$C$8),_xlpm.nums,CHOOSE({1,2,3,4,5},$L898,$M898,$N898,$O898,$P898),_xlpm.qtys,CHOOSE({1,2,3,4,5},$G898,$H898,$I898,$J898,$K898),_xlpm.validNums,_xlfn._xlws.FILTER(_xlpm.nums,_xlpm.qtys&gt;0),_xlpm.validSheets,_xlfn._xlws.FILTER(_xlpm.sheets,_xlpm.qtys&gt;0),_xlpm.mx,IFERROR(MAX(_xlpm.validNums),0),IF(_xlpm.mx=0,"",INDEX(_xlpm.validSheets,MATCH(_xlpm.mx,_xlpm.validNums,0))&amp;" (+"&amp;$R898&amp;")")))</f>
        <v/>
      </c>
      <c r="F898" s="11" t="str">
        <f t="shared" si="55"/>
        <v/>
      </c>
      <c r="G898" s="12" t="str">
        <f ca="1">IF($A898="","",IFERROR(SUMIF(INDIRECT("'"&amp;'Template Setup'!$C$4&amp;"'!C:C"),$A898,INDIRECT("'"&amp;'Template Setup'!$C$4&amp;"'!A:A")),0))</f>
        <v/>
      </c>
      <c r="H898" s="12" t="str">
        <f ca="1">IF($A898="","",IFERROR(SUMIF(INDIRECT("'"&amp;'Template Setup'!$C$5&amp;"'!C:C"),$A898,INDIRECT("'"&amp;'Template Setup'!$C$5&amp;"'!A:A")),0))</f>
        <v/>
      </c>
      <c r="I898" s="12" t="str">
        <f ca="1">IF($A898="","",IFERROR(SUMIF(INDIRECT("'"&amp;'Template Setup'!$C$6&amp;"'!C:C"),$A898,INDIRECT("'"&amp;'Template Setup'!$C$6&amp;"'!A:A")),0))</f>
        <v/>
      </c>
      <c r="J898" s="12" t="str">
        <f ca="1">IF($A898="","",IFERROR(SUMIF(INDIRECT("'"&amp;'Template Setup'!$C$7&amp;"'!C:C"),$A898,INDIRECT("'"&amp;'Template Setup'!$C$7&amp;"'!A:A")),0))</f>
        <v/>
      </c>
      <c r="K898" s="12" t="str">
        <f ca="1">IF($A898="","",IFERROR(SUMIF(INDIRECT("'"&amp;'Template Setup'!$C$8&amp;"'!C:C"),$A898,INDIRECT("'"&amp;'Template Setup'!$C$8&amp;"'!A:A")),0))</f>
        <v/>
      </c>
      <c r="L898" s="11" t="str">
        <f>IF($A898="","",IFERROR(VALUE(MID(TRIM('Template Setup'!$C$4),FIND("-",TRIM('Template Setup'!$C$4))+1,10)),0))</f>
        <v/>
      </c>
      <c r="M898" s="11" t="str">
        <f>IF($A898="","",IFERROR(VALUE(MID(TRIM('Template Setup'!$C$5),FIND("-",TRIM('Template Setup'!$C$5))+1,10)),0))</f>
        <v/>
      </c>
      <c r="N898" s="11" t="str">
        <f>IF($A898="","",IFERROR(VALUE(MID(TRIM('Template Setup'!$C$6),FIND("-",TRIM('Template Setup'!$C$6))+1,10)),0))</f>
        <v/>
      </c>
      <c r="O898" s="11" t="str">
        <f>IF($A898="","",IFERROR(VALUE(MID(TRIM('Template Setup'!$C$7),FIND("-",TRIM('Template Setup'!$C$7))+1,10)),0))</f>
        <v/>
      </c>
      <c r="P898" s="11" t="str">
        <f>IF($A898="","",IFERROR(VALUE(MID(TRIM('Template Setup'!$C$8),FIND("-",TRIM('Template Setup'!$C$8))+1,10)),0))</f>
        <v/>
      </c>
      <c r="Q898" s="9" t="str">
        <f>IF($A898="","",$A898&amp;"-"&amp;'Template Setup'!$C$16)</f>
        <v/>
      </c>
      <c r="R898" s="24" t="str">
        <f t="shared" ref="R898:R961" si="57">IF($A898="","",SUM($G898:$K898))</f>
        <v/>
      </c>
      <c r="S898" s="24"/>
      <c r="T898" s="24" t="str">
        <f t="shared" ref="T898:T961" si="58">IF($A898="","",IF(ISBLANK(S898),"",N(R898)+S898))</f>
        <v/>
      </c>
      <c r="U898" s="6" t="str">
        <f t="shared" si="56"/>
        <v/>
      </c>
    </row>
    <row r="899" spans="1:21">
      <c r="A899" s="11"/>
      <c r="B899" s="11"/>
      <c r="C899" s="11"/>
      <c r="D899" s="11" t="str">
        <f>IF($A899="","",_xlfn.TEXTJOIN(", ",TRUE,IF($G899&gt;0,'Template Setup'!$C$4,""),IF($H899&gt;0,'Template Setup'!$C$5,""),IF($I899&gt;0,'Template Setup'!$C$6,""),IF($J899&gt;0,'Template Setup'!$C$7,""),IF($K899&gt;0,'Template Setup'!$C$8,"")))</f>
        <v/>
      </c>
      <c r="E899" s="6" t="str" cm="1">
        <f t="array" ref="E899">IF($A899="","",_xlfn.LET(_xlpm.sheets,CHOOSE({1,2,3,4,5},'Template Setup'!$C$4,'Template Setup'!$C$5,'Template Setup'!$C$6,'Template Setup'!$C$7,'Template Setup'!$C$8),_xlpm.nums,CHOOSE({1,2,3,4,5},$L899,$M899,$N899,$O899,$P899),_xlpm.qtys,CHOOSE({1,2,3,4,5},$G899,$H899,$I899,$J899,$K899),_xlpm.validNums,_xlfn._xlws.FILTER(_xlpm.nums,_xlpm.qtys&gt;0),_xlpm.validSheets,_xlfn._xlws.FILTER(_xlpm.sheets,_xlpm.qtys&gt;0),_xlpm.mx,IFERROR(MAX(_xlpm.validNums),0),IF(_xlpm.mx=0,"",INDEX(_xlpm.validSheets,MATCH(_xlpm.mx,_xlpm.validNums,0))&amp;" (+"&amp;$R899&amp;")")))</f>
        <v/>
      </c>
      <c r="F899" s="11" t="str">
        <f t="shared" ref="F899:F962" si="59">IF($E899="","","PACP-"&amp;LEFT($E899,FIND("-",$E899)-1)&amp;"-000"&amp;MID($E899,FIND("-",$E899)+1,3))</f>
        <v/>
      </c>
      <c r="G899" s="12" t="str">
        <f ca="1">IF($A899="","",IFERROR(SUMIF(INDIRECT("'"&amp;'Template Setup'!$C$4&amp;"'!C:C"),$A899,INDIRECT("'"&amp;'Template Setup'!$C$4&amp;"'!A:A")),0))</f>
        <v/>
      </c>
      <c r="H899" s="12" t="str">
        <f ca="1">IF($A899="","",IFERROR(SUMIF(INDIRECT("'"&amp;'Template Setup'!$C$5&amp;"'!C:C"),$A899,INDIRECT("'"&amp;'Template Setup'!$C$5&amp;"'!A:A")),0))</f>
        <v/>
      </c>
      <c r="I899" s="12" t="str">
        <f ca="1">IF($A899="","",IFERROR(SUMIF(INDIRECT("'"&amp;'Template Setup'!$C$6&amp;"'!C:C"),$A899,INDIRECT("'"&amp;'Template Setup'!$C$6&amp;"'!A:A")),0))</f>
        <v/>
      </c>
      <c r="J899" s="12" t="str">
        <f ca="1">IF($A899="","",IFERROR(SUMIF(INDIRECT("'"&amp;'Template Setup'!$C$7&amp;"'!C:C"),$A899,INDIRECT("'"&amp;'Template Setup'!$C$7&amp;"'!A:A")),0))</f>
        <v/>
      </c>
      <c r="K899" s="12" t="str">
        <f ca="1">IF($A899="","",IFERROR(SUMIF(INDIRECT("'"&amp;'Template Setup'!$C$8&amp;"'!C:C"),$A899,INDIRECT("'"&amp;'Template Setup'!$C$8&amp;"'!A:A")),0))</f>
        <v/>
      </c>
      <c r="L899" s="11" t="str">
        <f>IF($A899="","",IFERROR(VALUE(MID(TRIM('Template Setup'!$C$4),FIND("-",TRIM('Template Setup'!$C$4))+1,10)),0))</f>
        <v/>
      </c>
      <c r="M899" s="11" t="str">
        <f>IF($A899="","",IFERROR(VALUE(MID(TRIM('Template Setup'!$C$5),FIND("-",TRIM('Template Setup'!$C$5))+1,10)),0))</f>
        <v/>
      </c>
      <c r="N899" s="11" t="str">
        <f>IF($A899="","",IFERROR(VALUE(MID(TRIM('Template Setup'!$C$6),FIND("-",TRIM('Template Setup'!$C$6))+1,10)),0))</f>
        <v/>
      </c>
      <c r="O899" s="11" t="str">
        <f>IF($A899="","",IFERROR(VALUE(MID(TRIM('Template Setup'!$C$7),FIND("-",TRIM('Template Setup'!$C$7))+1,10)),0))</f>
        <v/>
      </c>
      <c r="P899" s="11" t="str">
        <f>IF($A899="","",IFERROR(VALUE(MID(TRIM('Template Setup'!$C$8),FIND("-",TRIM('Template Setup'!$C$8))+1,10)),0))</f>
        <v/>
      </c>
      <c r="Q899" s="9" t="str">
        <f>IF($A899="","",$A899&amp;"-"&amp;'Template Setup'!$C$16)</f>
        <v/>
      </c>
      <c r="R899" s="24" t="str">
        <f t="shared" si="57"/>
        <v/>
      </c>
      <c r="S899" s="24"/>
      <c r="T899" s="24" t="str">
        <f t="shared" si="58"/>
        <v/>
      </c>
      <c r="U899" s="6" t="str">
        <f t="shared" si="56"/>
        <v/>
      </c>
    </row>
    <row r="900" spans="1:21">
      <c r="A900" s="11"/>
      <c r="B900" s="11"/>
      <c r="C900" s="11"/>
      <c r="D900" s="11" t="str">
        <f>IF($A900="","",_xlfn.TEXTJOIN(", ",TRUE,IF($G900&gt;0,'Template Setup'!$C$4,""),IF($H900&gt;0,'Template Setup'!$C$5,""),IF($I900&gt;0,'Template Setup'!$C$6,""),IF($J900&gt;0,'Template Setup'!$C$7,""),IF($K900&gt;0,'Template Setup'!$C$8,"")))</f>
        <v/>
      </c>
      <c r="E900" s="6" t="str" cm="1">
        <f t="array" ref="E900">IF($A900="","",_xlfn.LET(_xlpm.sheets,CHOOSE({1,2,3,4,5},'Template Setup'!$C$4,'Template Setup'!$C$5,'Template Setup'!$C$6,'Template Setup'!$C$7,'Template Setup'!$C$8),_xlpm.nums,CHOOSE({1,2,3,4,5},$L900,$M900,$N900,$O900,$P900),_xlpm.qtys,CHOOSE({1,2,3,4,5},$G900,$H900,$I900,$J900,$K900),_xlpm.validNums,_xlfn._xlws.FILTER(_xlpm.nums,_xlpm.qtys&gt;0),_xlpm.validSheets,_xlfn._xlws.FILTER(_xlpm.sheets,_xlpm.qtys&gt;0),_xlpm.mx,IFERROR(MAX(_xlpm.validNums),0),IF(_xlpm.mx=0,"",INDEX(_xlpm.validSheets,MATCH(_xlpm.mx,_xlpm.validNums,0))&amp;" (+"&amp;$R900&amp;")")))</f>
        <v/>
      </c>
      <c r="F900" s="11" t="str">
        <f t="shared" si="59"/>
        <v/>
      </c>
      <c r="G900" s="12" t="str">
        <f ca="1">IF($A900="","",IFERROR(SUMIF(INDIRECT("'"&amp;'Template Setup'!$C$4&amp;"'!C:C"),$A900,INDIRECT("'"&amp;'Template Setup'!$C$4&amp;"'!A:A")),0))</f>
        <v/>
      </c>
      <c r="H900" s="12" t="str">
        <f ca="1">IF($A900="","",IFERROR(SUMIF(INDIRECT("'"&amp;'Template Setup'!$C$5&amp;"'!C:C"),$A900,INDIRECT("'"&amp;'Template Setup'!$C$5&amp;"'!A:A")),0))</f>
        <v/>
      </c>
      <c r="I900" s="12" t="str">
        <f ca="1">IF($A900="","",IFERROR(SUMIF(INDIRECT("'"&amp;'Template Setup'!$C$6&amp;"'!C:C"),$A900,INDIRECT("'"&amp;'Template Setup'!$C$6&amp;"'!A:A")),0))</f>
        <v/>
      </c>
      <c r="J900" s="12" t="str">
        <f ca="1">IF($A900="","",IFERROR(SUMIF(INDIRECT("'"&amp;'Template Setup'!$C$7&amp;"'!C:C"),$A900,INDIRECT("'"&amp;'Template Setup'!$C$7&amp;"'!A:A")),0))</f>
        <v/>
      </c>
      <c r="K900" s="12" t="str">
        <f ca="1">IF($A900="","",IFERROR(SUMIF(INDIRECT("'"&amp;'Template Setup'!$C$8&amp;"'!C:C"),$A900,INDIRECT("'"&amp;'Template Setup'!$C$8&amp;"'!A:A")),0))</f>
        <v/>
      </c>
      <c r="L900" s="11" t="str">
        <f>IF($A900="","",IFERROR(VALUE(MID(TRIM('Template Setup'!$C$4),FIND("-",TRIM('Template Setup'!$C$4))+1,10)),0))</f>
        <v/>
      </c>
      <c r="M900" s="11" t="str">
        <f>IF($A900="","",IFERROR(VALUE(MID(TRIM('Template Setup'!$C$5),FIND("-",TRIM('Template Setup'!$C$5))+1,10)),0))</f>
        <v/>
      </c>
      <c r="N900" s="11" t="str">
        <f>IF($A900="","",IFERROR(VALUE(MID(TRIM('Template Setup'!$C$6),FIND("-",TRIM('Template Setup'!$C$6))+1,10)),0))</f>
        <v/>
      </c>
      <c r="O900" s="11" t="str">
        <f>IF($A900="","",IFERROR(VALUE(MID(TRIM('Template Setup'!$C$7),FIND("-",TRIM('Template Setup'!$C$7))+1,10)),0))</f>
        <v/>
      </c>
      <c r="P900" s="11" t="str">
        <f>IF($A900="","",IFERROR(VALUE(MID(TRIM('Template Setup'!$C$8),FIND("-",TRIM('Template Setup'!$C$8))+1,10)),0))</f>
        <v/>
      </c>
      <c r="Q900" s="9" t="str">
        <f>IF($A900="","",$A900&amp;"-"&amp;'Template Setup'!$C$16)</f>
        <v/>
      </c>
      <c r="R900" s="24" t="str">
        <f t="shared" si="57"/>
        <v/>
      </c>
      <c r="S900" s="24"/>
      <c r="T900" s="24" t="str">
        <f t="shared" si="58"/>
        <v/>
      </c>
      <c r="U900" s="6" t="str">
        <f t="shared" si="56"/>
        <v/>
      </c>
    </row>
    <row r="901" spans="1:21">
      <c r="A901" s="11"/>
      <c r="B901" s="11"/>
      <c r="C901" s="11"/>
      <c r="D901" s="11" t="str">
        <f>IF($A901="","",_xlfn.TEXTJOIN(", ",TRUE,IF($G901&gt;0,'Template Setup'!$C$4,""),IF($H901&gt;0,'Template Setup'!$C$5,""),IF($I901&gt;0,'Template Setup'!$C$6,""),IF($J901&gt;0,'Template Setup'!$C$7,""),IF($K901&gt;0,'Template Setup'!$C$8,"")))</f>
        <v/>
      </c>
      <c r="E901" s="6" t="str" cm="1">
        <f t="array" ref="E901">IF($A901="","",_xlfn.LET(_xlpm.sheets,CHOOSE({1,2,3,4,5},'Template Setup'!$C$4,'Template Setup'!$C$5,'Template Setup'!$C$6,'Template Setup'!$C$7,'Template Setup'!$C$8),_xlpm.nums,CHOOSE({1,2,3,4,5},$L901,$M901,$N901,$O901,$P901),_xlpm.qtys,CHOOSE({1,2,3,4,5},$G901,$H901,$I901,$J901,$K901),_xlpm.validNums,_xlfn._xlws.FILTER(_xlpm.nums,_xlpm.qtys&gt;0),_xlpm.validSheets,_xlfn._xlws.FILTER(_xlpm.sheets,_xlpm.qtys&gt;0),_xlpm.mx,IFERROR(MAX(_xlpm.validNums),0),IF(_xlpm.mx=0,"",INDEX(_xlpm.validSheets,MATCH(_xlpm.mx,_xlpm.validNums,0))&amp;" (+"&amp;$R901&amp;")")))</f>
        <v/>
      </c>
      <c r="F901" s="11" t="str">
        <f t="shared" si="59"/>
        <v/>
      </c>
      <c r="G901" s="12" t="str">
        <f ca="1">IF($A901="","",IFERROR(SUMIF(INDIRECT("'"&amp;'Template Setup'!$C$4&amp;"'!C:C"),$A901,INDIRECT("'"&amp;'Template Setup'!$C$4&amp;"'!A:A")),0))</f>
        <v/>
      </c>
      <c r="H901" s="12" t="str">
        <f ca="1">IF($A901="","",IFERROR(SUMIF(INDIRECT("'"&amp;'Template Setup'!$C$5&amp;"'!C:C"),$A901,INDIRECT("'"&amp;'Template Setup'!$C$5&amp;"'!A:A")),0))</f>
        <v/>
      </c>
      <c r="I901" s="12" t="str">
        <f ca="1">IF($A901="","",IFERROR(SUMIF(INDIRECT("'"&amp;'Template Setup'!$C$6&amp;"'!C:C"),$A901,INDIRECT("'"&amp;'Template Setup'!$C$6&amp;"'!A:A")),0))</f>
        <v/>
      </c>
      <c r="J901" s="12" t="str">
        <f ca="1">IF($A901="","",IFERROR(SUMIF(INDIRECT("'"&amp;'Template Setup'!$C$7&amp;"'!C:C"),$A901,INDIRECT("'"&amp;'Template Setup'!$C$7&amp;"'!A:A")),0))</f>
        <v/>
      </c>
      <c r="K901" s="12" t="str">
        <f ca="1">IF($A901="","",IFERROR(SUMIF(INDIRECT("'"&amp;'Template Setup'!$C$8&amp;"'!C:C"),$A901,INDIRECT("'"&amp;'Template Setup'!$C$8&amp;"'!A:A")),0))</f>
        <v/>
      </c>
      <c r="L901" s="11" t="str">
        <f>IF($A901="","",IFERROR(VALUE(MID(TRIM('Template Setup'!$C$4),FIND("-",TRIM('Template Setup'!$C$4))+1,10)),0))</f>
        <v/>
      </c>
      <c r="M901" s="11" t="str">
        <f>IF($A901="","",IFERROR(VALUE(MID(TRIM('Template Setup'!$C$5),FIND("-",TRIM('Template Setup'!$C$5))+1,10)),0))</f>
        <v/>
      </c>
      <c r="N901" s="11" t="str">
        <f>IF($A901="","",IFERROR(VALUE(MID(TRIM('Template Setup'!$C$6),FIND("-",TRIM('Template Setup'!$C$6))+1,10)),0))</f>
        <v/>
      </c>
      <c r="O901" s="11" t="str">
        <f>IF($A901="","",IFERROR(VALUE(MID(TRIM('Template Setup'!$C$7),FIND("-",TRIM('Template Setup'!$C$7))+1,10)),0))</f>
        <v/>
      </c>
      <c r="P901" s="11" t="str">
        <f>IF($A901="","",IFERROR(VALUE(MID(TRIM('Template Setup'!$C$8),FIND("-",TRIM('Template Setup'!$C$8))+1,10)),0))</f>
        <v/>
      </c>
      <c r="Q901" s="9" t="str">
        <f>IF($A901="","",$A901&amp;"-"&amp;'Template Setup'!$C$16)</f>
        <v/>
      </c>
      <c r="R901" s="24" t="str">
        <f t="shared" si="57"/>
        <v/>
      </c>
      <c r="S901" s="24"/>
      <c r="T901" s="24" t="str">
        <f t="shared" si="58"/>
        <v/>
      </c>
      <c r="U901" s="6" t="str">
        <f t="shared" si="56"/>
        <v/>
      </c>
    </row>
    <row r="902" spans="1:21">
      <c r="A902" s="11"/>
      <c r="B902" s="11"/>
      <c r="C902" s="11"/>
      <c r="D902" s="11" t="str">
        <f>IF($A902="","",_xlfn.TEXTJOIN(", ",TRUE,IF($G902&gt;0,'Template Setup'!$C$4,""),IF($H902&gt;0,'Template Setup'!$C$5,""),IF($I902&gt;0,'Template Setup'!$C$6,""),IF($J902&gt;0,'Template Setup'!$C$7,""),IF($K902&gt;0,'Template Setup'!$C$8,"")))</f>
        <v/>
      </c>
      <c r="E902" s="6" t="str" cm="1">
        <f t="array" ref="E902">IF($A902="","",_xlfn.LET(_xlpm.sheets,CHOOSE({1,2,3,4,5},'Template Setup'!$C$4,'Template Setup'!$C$5,'Template Setup'!$C$6,'Template Setup'!$C$7,'Template Setup'!$C$8),_xlpm.nums,CHOOSE({1,2,3,4,5},$L902,$M902,$N902,$O902,$P902),_xlpm.qtys,CHOOSE({1,2,3,4,5},$G902,$H902,$I902,$J902,$K902),_xlpm.validNums,_xlfn._xlws.FILTER(_xlpm.nums,_xlpm.qtys&gt;0),_xlpm.validSheets,_xlfn._xlws.FILTER(_xlpm.sheets,_xlpm.qtys&gt;0),_xlpm.mx,IFERROR(MAX(_xlpm.validNums),0),IF(_xlpm.mx=0,"",INDEX(_xlpm.validSheets,MATCH(_xlpm.mx,_xlpm.validNums,0))&amp;" (+"&amp;$R902&amp;")")))</f>
        <v/>
      </c>
      <c r="F902" s="11" t="str">
        <f t="shared" si="59"/>
        <v/>
      </c>
      <c r="G902" s="12" t="str">
        <f ca="1">IF($A902="","",IFERROR(SUMIF(INDIRECT("'"&amp;'Template Setup'!$C$4&amp;"'!C:C"),$A902,INDIRECT("'"&amp;'Template Setup'!$C$4&amp;"'!A:A")),0))</f>
        <v/>
      </c>
      <c r="H902" s="12" t="str">
        <f ca="1">IF($A902="","",IFERROR(SUMIF(INDIRECT("'"&amp;'Template Setup'!$C$5&amp;"'!C:C"),$A902,INDIRECT("'"&amp;'Template Setup'!$C$5&amp;"'!A:A")),0))</f>
        <v/>
      </c>
      <c r="I902" s="12" t="str">
        <f ca="1">IF($A902="","",IFERROR(SUMIF(INDIRECT("'"&amp;'Template Setup'!$C$6&amp;"'!C:C"),$A902,INDIRECT("'"&amp;'Template Setup'!$C$6&amp;"'!A:A")),0))</f>
        <v/>
      </c>
      <c r="J902" s="12" t="str">
        <f ca="1">IF($A902="","",IFERROR(SUMIF(INDIRECT("'"&amp;'Template Setup'!$C$7&amp;"'!C:C"),$A902,INDIRECT("'"&amp;'Template Setup'!$C$7&amp;"'!A:A")),0))</f>
        <v/>
      </c>
      <c r="K902" s="12" t="str">
        <f ca="1">IF($A902="","",IFERROR(SUMIF(INDIRECT("'"&amp;'Template Setup'!$C$8&amp;"'!C:C"),$A902,INDIRECT("'"&amp;'Template Setup'!$C$8&amp;"'!A:A")),0))</f>
        <v/>
      </c>
      <c r="L902" s="11" t="str">
        <f>IF($A902="","",IFERROR(VALUE(MID(TRIM('Template Setup'!$C$4),FIND("-",TRIM('Template Setup'!$C$4))+1,10)),0))</f>
        <v/>
      </c>
      <c r="M902" s="11" t="str">
        <f>IF($A902="","",IFERROR(VALUE(MID(TRIM('Template Setup'!$C$5),FIND("-",TRIM('Template Setup'!$C$5))+1,10)),0))</f>
        <v/>
      </c>
      <c r="N902" s="11" t="str">
        <f>IF($A902="","",IFERROR(VALUE(MID(TRIM('Template Setup'!$C$6),FIND("-",TRIM('Template Setup'!$C$6))+1,10)),0))</f>
        <v/>
      </c>
      <c r="O902" s="11" t="str">
        <f>IF($A902="","",IFERROR(VALUE(MID(TRIM('Template Setup'!$C$7),FIND("-",TRIM('Template Setup'!$C$7))+1,10)),0))</f>
        <v/>
      </c>
      <c r="P902" s="11" t="str">
        <f>IF($A902="","",IFERROR(VALUE(MID(TRIM('Template Setup'!$C$8),FIND("-",TRIM('Template Setup'!$C$8))+1,10)),0))</f>
        <v/>
      </c>
      <c r="Q902" s="9" t="str">
        <f>IF($A902="","",$A902&amp;"-"&amp;'Template Setup'!$C$16)</f>
        <v/>
      </c>
      <c r="R902" s="24" t="str">
        <f t="shared" si="57"/>
        <v/>
      </c>
      <c r="S902" s="24"/>
      <c r="T902" s="24" t="str">
        <f t="shared" si="58"/>
        <v/>
      </c>
      <c r="U902" s="6" t="str">
        <f t="shared" si="56"/>
        <v/>
      </c>
    </row>
    <row r="903" spans="1:21">
      <c r="A903" s="11"/>
      <c r="B903" s="11"/>
      <c r="C903" s="11"/>
      <c r="D903" s="11" t="str">
        <f>IF($A903="","",_xlfn.TEXTJOIN(", ",TRUE,IF($G903&gt;0,'Template Setup'!$C$4,""),IF($H903&gt;0,'Template Setup'!$C$5,""),IF($I903&gt;0,'Template Setup'!$C$6,""),IF($J903&gt;0,'Template Setup'!$C$7,""),IF($K903&gt;0,'Template Setup'!$C$8,"")))</f>
        <v/>
      </c>
      <c r="E903" s="6" t="str" cm="1">
        <f t="array" ref="E903">IF($A903="","",_xlfn.LET(_xlpm.sheets,CHOOSE({1,2,3,4,5},'Template Setup'!$C$4,'Template Setup'!$C$5,'Template Setup'!$C$6,'Template Setup'!$C$7,'Template Setup'!$C$8),_xlpm.nums,CHOOSE({1,2,3,4,5},$L903,$M903,$N903,$O903,$P903),_xlpm.qtys,CHOOSE({1,2,3,4,5},$G903,$H903,$I903,$J903,$K903),_xlpm.validNums,_xlfn._xlws.FILTER(_xlpm.nums,_xlpm.qtys&gt;0),_xlpm.validSheets,_xlfn._xlws.FILTER(_xlpm.sheets,_xlpm.qtys&gt;0),_xlpm.mx,IFERROR(MAX(_xlpm.validNums),0),IF(_xlpm.mx=0,"",INDEX(_xlpm.validSheets,MATCH(_xlpm.mx,_xlpm.validNums,0))&amp;" (+"&amp;$R903&amp;")")))</f>
        <v/>
      </c>
      <c r="F903" s="11" t="str">
        <f t="shared" si="59"/>
        <v/>
      </c>
      <c r="G903" s="12" t="str">
        <f ca="1">IF($A903="","",IFERROR(SUMIF(INDIRECT("'"&amp;'Template Setup'!$C$4&amp;"'!C:C"),$A903,INDIRECT("'"&amp;'Template Setup'!$C$4&amp;"'!A:A")),0))</f>
        <v/>
      </c>
      <c r="H903" s="12" t="str">
        <f ca="1">IF($A903="","",IFERROR(SUMIF(INDIRECT("'"&amp;'Template Setup'!$C$5&amp;"'!C:C"),$A903,INDIRECT("'"&amp;'Template Setup'!$C$5&amp;"'!A:A")),0))</f>
        <v/>
      </c>
      <c r="I903" s="12" t="str">
        <f ca="1">IF($A903="","",IFERROR(SUMIF(INDIRECT("'"&amp;'Template Setup'!$C$6&amp;"'!C:C"),$A903,INDIRECT("'"&amp;'Template Setup'!$C$6&amp;"'!A:A")),0))</f>
        <v/>
      </c>
      <c r="J903" s="12" t="str">
        <f ca="1">IF($A903="","",IFERROR(SUMIF(INDIRECT("'"&amp;'Template Setup'!$C$7&amp;"'!C:C"),$A903,INDIRECT("'"&amp;'Template Setup'!$C$7&amp;"'!A:A")),0))</f>
        <v/>
      </c>
      <c r="K903" s="12" t="str">
        <f ca="1">IF($A903="","",IFERROR(SUMIF(INDIRECT("'"&amp;'Template Setup'!$C$8&amp;"'!C:C"),$A903,INDIRECT("'"&amp;'Template Setup'!$C$8&amp;"'!A:A")),0))</f>
        <v/>
      </c>
      <c r="L903" s="11" t="str">
        <f>IF($A903="","",IFERROR(VALUE(MID(TRIM('Template Setup'!$C$4),FIND("-",TRIM('Template Setup'!$C$4))+1,10)),0))</f>
        <v/>
      </c>
      <c r="M903" s="11" t="str">
        <f>IF($A903="","",IFERROR(VALUE(MID(TRIM('Template Setup'!$C$5),FIND("-",TRIM('Template Setup'!$C$5))+1,10)),0))</f>
        <v/>
      </c>
      <c r="N903" s="11" t="str">
        <f>IF($A903="","",IFERROR(VALUE(MID(TRIM('Template Setup'!$C$6),FIND("-",TRIM('Template Setup'!$C$6))+1,10)),0))</f>
        <v/>
      </c>
      <c r="O903" s="11" t="str">
        <f>IF($A903="","",IFERROR(VALUE(MID(TRIM('Template Setup'!$C$7),FIND("-",TRIM('Template Setup'!$C$7))+1,10)),0))</f>
        <v/>
      </c>
      <c r="P903" s="11" t="str">
        <f>IF($A903="","",IFERROR(VALUE(MID(TRIM('Template Setup'!$C$8),FIND("-",TRIM('Template Setup'!$C$8))+1,10)),0))</f>
        <v/>
      </c>
      <c r="Q903" s="9" t="str">
        <f>IF($A903="","",$A903&amp;"-"&amp;'Template Setup'!$C$16)</f>
        <v/>
      </c>
      <c r="R903" s="24" t="str">
        <f t="shared" si="57"/>
        <v/>
      </c>
      <c r="S903" s="24"/>
      <c r="T903" s="24" t="str">
        <f t="shared" si="58"/>
        <v/>
      </c>
      <c r="U903" s="6" t="str">
        <f t="shared" si="56"/>
        <v/>
      </c>
    </row>
    <row r="904" spans="1:21">
      <c r="A904" s="11"/>
      <c r="B904" s="11"/>
      <c r="C904" s="11"/>
      <c r="D904" s="11" t="str">
        <f>IF($A904="","",_xlfn.TEXTJOIN(", ",TRUE,IF($G904&gt;0,'Template Setup'!$C$4,""),IF($H904&gt;0,'Template Setup'!$C$5,""),IF($I904&gt;0,'Template Setup'!$C$6,""),IF($J904&gt;0,'Template Setup'!$C$7,""),IF($K904&gt;0,'Template Setup'!$C$8,"")))</f>
        <v/>
      </c>
      <c r="E904" s="6" t="str" cm="1">
        <f t="array" ref="E904">IF($A904="","",_xlfn.LET(_xlpm.sheets,CHOOSE({1,2,3,4,5},'Template Setup'!$C$4,'Template Setup'!$C$5,'Template Setup'!$C$6,'Template Setup'!$C$7,'Template Setup'!$C$8),_xlpm.nums,CHOOSE({1,2,3,4,5},$L904,$M904,$N904,$O904,$P904),_xlpm.qtys,CHOOSE({1,2,3,4,5},$G904,$H904,$I904,$J904,$K904),_xlpm.validNums,_xlfn._xlws.FILTER(_xlpm.nums,_xlpm.qtys&gt;0),_xlpm.validSheets,_xlfn._xlws.FILTER(_xlpm.sheets,_xlpm.qtys&gt;0),_xlpm.mx,IFERROR(MAX(_xlpm.validNums),0),IF(_xlpm.mx=0,"",INDEX(_xlpm.validSheets,MATCH(_xlpm.mx,_xlpm.validNums,0))&amp;" (+"&amp;$R904&amp;")")))</f>
        <v/>
      </c>
      <c r="F904" s="11" t="str">
        <f t="shared" si="59"/>
        <v/>
      </c>
      <c r="G904" s="12" t="str">
        <f ca="1">IF($A904="","",IFERROR(SUMIF(INDIRECT("'"&amp;'Template Setup'!$C$4&amp;"'!C:C"),$A904,INDIRECT("'"&amp;'Template Setup'!$C$4&amp;"'!A:A")),0))</f>
        <v/>
      </c>
      <c r="H904" s="12" t="str">
        <f ca="1">IF($A904="","",IFERROR(SUMIF(INDIRECT("'"&amp;'Template Setup'!$C$5&amp;"'!C:C"),$A904,INDIRECT("'"&amp;'Template Setup'!$C$5&amp;"'!A:A")),0))</f>
        <v/>
      </c>
      <c r="I904" s="12" t="str">
        <f ca="1">IF($A904="","",IFERROR(SUMIF(INDIRECT("'"&amp;'Template Setup'!$C$6&amp;"'!C:C"),$A904,INDIRECT("'"&amp;'Template Setup'!$C$6&amp;"'!A:A")),0))</f>
        <v/>
      </c>
      <c r="J904" s="12" t="str">
        <f ca="1">IF($A904="","",IFERROR(SUMIF(INDIRECT("'"&amp;'Template Setup'!$C$7&amp;"'!C:C"),$A904,INDIRECT("'"&amp;'Template Setup'!$C$7&amp;"'!A:A")),0))</f>
        <v/>
      </c>
      <c r="K904" s="12" t="str">
        <f ca="1">IF($A904="","",IFERROR(SUMIF(INDIRECT("'"&amp;'Template Setup'!$C$8&amp;"'!C:C"),$A904,INDIRECT("'"&amp;'Template Setup'!$C$8&amp;"'!A:A")),0))</f>
        <v/>
      </c>
      <c r="L904" s="11" t="str">
        <f>IF($A904="","",IFERROR(VALUE(MID(TRIM('Template Setup'!$C$4),FIND("-",TRIM('Template Setup'!$C$4))+1,10)),0))</f>
        <v/>
      </c>
      <c r="M904" s="11" t="str">
        <f>IF($A904="","",IFERROR(VALUE(MID(TRIM('Template Setup'!$C$5),FIND("-",TRIM('Template Setup'!$C$5))+1,10)),0))</f>
        <v/>
      </c>
      <c r="N904" s="11" t="str">
        <f>IF($A904="","",IFERROR(VALUE(MID(TRIM('Template Setup'!$C$6),FIND("-",TRIM('Template Setup'!$C$6))+1,10)),0))</f>
        <v/>
      </c>
      <c r="O904" s="11" t="str">
        <f>IF($A904="","",IFERROR(VALUE(MID(TRIM('Template Setup'!$C$7),FIND("-",TRIM('Template Setup'!$C$7))+1,10)),0))</f>
        <v/>
      </c>
      <c r="P904" s="11" t="str">
        <f>IF($A904="","",IFERROR(VALUE(MID(TRIM('Template Setup'!$C$8),FIND("-",TRIM('Template Setup'!$C$8))+1,10)),0))</f>
        <v/>
      </c>
      <c r="Q904" s="9" t="str">
        <f>IF($A904="","",$A904&amp;"-"&amp;'Template Setup'!$C$16)</f>
        <v/>
      </c>
      <c r="R904" s="24" t="str">
        <f t="shared" si="57"/>
        <v/>
      </c>
      <c r="S904" s="24"/>
      <c r="T904" s="24" t="str">
        <f t="shared" si="58"/>
        <v/>
      </c>
      <c r="U904" s="6" t="str">
        <f t="shared" si="56"/>
        <v/>
      </c>
    </row>
    <row r="905" spans="1:21">
      <c r="A905" s="11"/>
      <c r="B905" s="11"/>
      <c r="C905" s="11"/>
      <c r="D905" s="11" t="str">
        <f>IF($A905="","",_xlfn.TEXTJOIN(", ",TRUE,IF($G905&gt;0,'Template Setup'!$C$4,""),IF($H905&gt;0,'Template Setup'!$C$5,""),IF($I905&gt;0,'Template Setup'!$C$6,""),IF($J905&gt;0,'Template Setup'!$C$7,""),IF($K905&gt;0,'Template Setup'!$C$8,"")))</f>
        <v/>
      </c>
      <c r="E905" s="6" t="str" cm="1">
        <f t="array" ref="E905">IF($A905="","",_xlfn.LET(_xlpm.sheets,CHOOSE({1,2,3,4,5},'Template Setup'!$C$4,'Template Setup'!$C$5,'Template Setup'!$C$6,'Template Setup'!$C$7,'Template Setup'!$C$8),_xlpm.nums,CHOOSE({1,2,3,4,5},$L905,$M905,$N905,$O905,$P905),_xlpm.qtys,CHOOSE({1,2,3,4,5},$G905,$H905,$I905,$J905,$K905),_xlpm.validNums,_xlfn._xlws.FILTER(_xlpm.nums,_xlpm.qtys&gt;0),_xlpm.validSheets,_xlfn._xlws.FILTER(_xlpm.sheets,_xlpm.qtys&gt;0),_xlpm.mx,IFERROR(MAX(_xlpm.validNums),0),IF(_xlpm.mx=0,"",INDEX(_xlpm.validSheets,MATCH(_xlpm.mx,_xlpm.validNums,0))&amp;" (+"&amp;$R905&amp;")")))</f>
        <v/>
      </c>
      <c r="F905" s="11" t="str">
        <f t="shared" si="59"/>
        <v/>
      </c>
      <c r="G905" s="12" t="str">
        <f ca="1">IF($A905="","",IFERROR(SUMIF(INDIRECT("'"&amp;'Template Setup'!$C$4&amp;"'!C:C"),$A905,INDIRECT("'"&amp;'Template Setup'!$C$4&amp;"'!A:A")),0))</f>
        <v/>
      </c>
      <c r="H905" s="12" t="str">
        <f ca="1">IF($A905="","",IFERROR(SUMIF(INDIRECT("'"&amp;'Template Setup'!$C$5&amp;"'!C:C"),$A905,INDIRECT("'"&amp;'Template Setup'!$C$5&amp;"'!A:A")),0))</f>
        <v/>
      </c>
      <c r="I905" s="12" t="str">
        <f ca="1">IF($A905="","",IFERROR(SUMIF(INDIRECT("'"&amp;'Template Setup'!$C$6&amp;"'!C:C"),$A905,INDIRECT("'"&amp;'Template Setup'!$C$6&amp;"'!A:A")),0))</f>
        <v/>
      </c>
      <c r="J905" s="12" t="str">
        <f ca="1">IF($A905="","",IFERROR(SUMIF(INDIRECT("'"&amp;'Template Setup'!$C$7&amp;"'!C:C"),$A905,INDIRECT("'"&amp;'Template Setup'!$C$7&amp;"'!A:A")),0))</f>
        <v/>
      </c>
      <c r="K905" s="12" t="str">
        <f ca="1">IF($A905="","",IFERROR(SUMIF(INDIRECT("'"&amp;'Template Setup'!$C$8&amp;"'!C:C"),$A905,INDIRECT("'"&amp;'Template Setup'!$C$8&amp;"'!A:A")),0))</f>
        <v/>
      </c>
      <c r="L905" s="11" t="str">
        <f>IF($A905="","",IFERROR(VALUE(MID(TRIM('Template Setup'!$C$4),FIND("-",TRIM('Template Setup'!$C$4))+1,10)),0))</f>
        <v/>
      </c>
      <c r="M905" s="11" t="str">
        <f>IF($A905="","",IFERROR(VALUE(MID(TRIM('Template Setup'!$C$5),FIND("-",TRIM('Template Setup'!$C$5))+1,10)),0))</f>
        <v/>
      </c>
      <c r="N905" s="11" t="str">
        <f>IF($A905="","",IFERROR(VALUE(MID(TRIM('Template Setup'!$C$6),FIND("-",TRIM('Template Setup'!$C$6))+1,10)),0))</f>
        <v/>
      </c>
      <c r="O905" s="11" t="str">
        <f>IF($A905="","",IFERROR(VALUE(MID(TRIM('Template Setup'!$C$7),FIND("-",TRIM('Template Setup'!$C$7))+1,10)),0))</f>
        <v/>
      </c>
      <c r="P905" s="11" t="str">
        <f>IF($A905="","",IFERROR(VALUE(MID(TRIM('Template Setup'!$C$8),FIND("-",TRIM('Template Setup'!$C$8))+1,10)),0))</f>
        <v/>
      </c>
      <c r="Q905" s="9" t="str">
        <f>IF($A905="","",$A905&amp;"-"&amp;'Template Setup'!$C$16)</f>
        <v/>
      </c>
      <c r="R905" s="24" t="str">
        <f t="shared" si="57"/>
        <v/>
      </c>
      <c r="S905" s="24"/>
      <c r="T905" s="24" t="str">
        <f t="shared" si="58"/>
        <v/>
      </c>
      <c r="U905" s="6" t="str">
        <f t="shared" si="56"/>
        <v/>
      </c>
    </row>
    <row r="906" spans="1:21">
      <c r="A906" s="11"/>
      <c r="B906" s="11"/>
      <c r="C906" s="11"/>
      <c r="D906" s="11" t="str">
        <f>IF($A906="","",_xlfn.TEXTJOIN(", ",TRUE,IF($G906&gt;0,'Template Setup'!$C$4,""),IF($H906&gt;0,'Template Setup'!$C$5,""),IF($I906&gt;0,'Template Setup'!$C$6,""),IF($J906&gt;0,'Template Setup'!$C$7,""),IF($K906&gt;0,'Template Setup'!$C$8,"")))</f>
        <v/>
      </c>
      <c r="E906" s="6" t="str" cm="1">
        <f t="array" ref="E906">IF($A906="","",_xlfn.LET(_xlpm.sheets,CHOOSE({1,2,3,4,5},'Template Setup'!$C$4,'Template Setup'!$C$5,'Template Setup'!$C$6,'Template Setup'!$C$7,'Template Setup'!$C$8),_xlpm.nums,CHOOSE({1,2,3,4,5},$L906,$M906,$N906,$O906,$P906),_xlpm.qtys,CHOOSE({1,2,3,4,5},$G906,$H906,$I906,$J906,$K906),_xlpm.validNums,_xlfn._xlws.FILTER(_xlpm.nums,_xlpm.qtys&gt;0),_xlpm.validSheets,_xlfn._xlws.FILTER(_xlpm.sheets,_xlpm.qtys&gt;0),_xlpm.mx,IFERROR(MAX(_xlpm.validNums),0),IF(_xlpm.mx=0,"",INDEX(_xlpm.validSheets,MATCH(_xlpm.mx,_xlpm.validNums,0))&amp;" (+"&amp;$R906&amp;")")))</f>
        <v/>
      </c>
      <c r="F906" s="11" t="str">
        <f t="shared" si="59"/>
        <v/>
      </c>
      <c r="G906" s="12" t="str">
        <f ca="1">IF($A906="","",IFERROR(SUMIF(INDIRECT("'"&amp;'Template Setup'!$C$4&amp;"'!C:C"),$A906,INDIRECT("'"&amp;'Template Setup'!$C$4&amp;"'!A:A")),0))</f>
        <v/>
      </c>
      <c r="H906" s="12" t="str">
        <f ca="1">IF($A906="","",IFERROR(SUMIF(INDIRECT("'"&amp;'Template Setup'!$C$5&amp;"'!C:C"),$A906,INDIRECT("'"&amp;'Template Setup'!$C$5&amp;"'!A:A")),0))</f>
        <v/>
      </c>
      <c r="I906" s="12" t="str">
        <f ca="1">IF($A906="","",IFERROR(SUMIF(INDIRECT("'"&amp;'Template Setup'!$C$6&amp;"'!C:C"),$A906,INDIRECT("'"&amp;'Template Setup'!$C$6&amp;"'!A:A")),0))</f>
        <v/>
      </c>
      <c r="J906" s="12" t="str">
        <f ca="1">IF($A906="","",IFERROR(SUMIF(INDIRECT("'"&amp;'Template Setup'!$C$7&amp;"'!C:C"),$A906,INDIRECT("'"&amp;'Template Setup'!$C$7&amp;"'!A:A")),0))</f>
        <v/>
      </c>
      <c r="K906" s="12" t="str">
        <f ca="1">IF($A906="","",IFERROR(SUMIF(INDIRECT("'"&amp;'Template Setup'!$C$8&amp;"'!C:C"),$A906,INDIRECT("'"&amp;'Template Setup'!$C$8&amp;"'!A:A")),0))</f>
        <v/>
      </c>
      <c r="L906" s="11" t="str">
        <f>IF($A906="","",IFERROR(VALUE(MID(TRIM('Template Setup'!$C$4),FIND("-",TRIM('Template Setup'!$C$4))+1,10)),0))</f>
        <v/>
      </c>
      <c r="M906" s="11" t="str">
        <f>IF($A906="","",IFERROR(VALUE(MID(TRIM('Template Setup'!$C$5),FIND("-",TRIM('Template Setup'!$C$5))+1,10)),0))</f>
        <v/>
      </c>
      <c r="N906" s="11" t="str">
        <f>IF($A906="","",IFERROR(VALUE(MID(TRIM('Template Setup'!$C$6),FIND("-",TRIM('Template Setup'!$C$6))+1,10)),0))</f>
        <v/>
      </c>
      <c r="O906" s="11" t="str">
        <f>IF($A906="","",IFERROR(VALUE(MID(TRIM('Template Setup'!$C$7),FIND("-",TRIM('Template Setup'!$C$7))+1,10)),0))</f>
        <v/>
      </c>
      <c r="P906" s="11" t="str">
        <f>IF($A906="","",IFERROR(VALUE(MID(TRIM('Template Setup'!$C$8),FIND("-",TRIM('Template Setup'!$C$8))+1,10)),0))</f>
        <v/>
      </c>
      <c r="Q906" s="9" t="str">
        <f>IF($A906="","",$A906&amp;"-"&amp;'Template Setup'!$C$16)</f>
        <v/>
      </c>
      <c r="R906" s="24" t="str">
        <f t="shared" si="57"/>
        <v/>
      </c>
      <c r="S906" s="24"/>
      <c r="T906" s="24" t="str">
        <f t="shared" si="58"/>
        <v/>
      </c>
      <c r="U906" s="6" t="str">
        <f t="shared" si="56"/>
        <v/>
      </c>
    </row>
    <row r="907" spans="1:21">
      <c r="A907" s="11"/>
      <c r="B907" s="11"/>
      <c r="C907" s="11"/>
      <c r="D907" s="11" t="str">
        <f>IF($A907="","",_xlfn.TEXTJOIN(", ",TRUE,IF($G907&gt;0,'Template Setup'!$C$4,""),IF($H907&gt;0,'Template Setup'!$C$5,""),IF($I907&gt;0,'Template Setup'!$C$6,""),IF($J907&gt;0,'Template Setup'!$C$7,""),IF($K907&gt;0,'Template Setup'!$C$8,"")))</f>
        <v/>
      </c>
      <c r="E907" s="6" t="str" cm="1">
        <f t="array" ref="E907">IF($A907="","",_xlfn.LET(_xlpm.sheets,CHOOSE({1,2,3,4,5},'Template Setup'!$C$4,'Template Setup'!$C$5,'Template Setup'!$C$6,'Template Setup'!$C$7,'Template Setup'!$C$8),_xlpm.nums,CHOOSE({1,2,3,4,5},$L907,$M907,$N907,$O907,$P907),_xlpm.qtys,CHOOSE({1,2,3,4,5},$G907,$H907,$I907,$J907,$K907),_xlpm.validNums,_xlfn._xlws.FILTER(_xlpm.nums,_xlpm.qtys&gt;0),_xlpm.validSheets,_xlfn._xlws.FILTER(_xlpm.sheets,_xlpm.qtys&gt;0),_xlpm.mx,IFERROR(MAX(_xlpm.validNums),0),IF(_xlpm.mx=0,"",INDEX(_xlpm.validSheets,MATCH(_xlpm.mx,_xlpm.validNums,0))&amp;" (+"&amp;$R907&amp;")")))</f>
        <v/>
      </c>
      <c r="F907" s="11" t="str">
        <f t="shared" si="59"/>
        <v/>
      </c>
      <c r="G907" s="12" t="str">
        <f ca="1">IF($A907="","",IFERROR(SUMIF(INDIRECT("'"&amp;'Template Setup'!$C$4&amp;"'!C:C"),$A907,INDIRECT("'"&amp;'Template Setup'!$C$4&amp;"'!A:A")),0))</f>
        <v/>
      </c>
      <c r="H907" s="12" t="str">
        <f ca="1">IF($A907="","",IFERROR(SUMIF(INDIRECT("'"&amp;'Template Setup'!$C$5&amp;"'!C:C"),$A907,INDIRECT("'"&amp;'Template Setup'!$C$5&amp;"'!A:A")),0))</f>
        <v/>
      </c>
      <c r="I907" s="12" t="str">
        <f ca="1">IF($A907="","",IFERROR(SUMIF(INDIRECT("'"&amp;'Template Setup'!$C$6&amp;"'!C:C"),$A907,INDIRECT("'"&amp;'Template Setup'!$C$6&amp;"'!A:A")),0))</f>
        <v/>
      </c>
      <c r="J907" s="12" t="str">
        <f ca="1">IF($A907="","",IFERROR(SUMIF(INDIRECT("'"&amp;'Template Setup'!$C$7&amp;"'!C:C"),$A907,INDIRECT("'"&amp;'Template Setup'!$C$7&amp;"'!A:A")),0))</f>
        <v/>
      </c>
      <c r="K907" s="12" t="str">
        <f ca="1">IF($A907="","",IFERROR(SUMIF(INDIRECT("'"&amp;'Template Setup'!$C$8&amp;"'!C:C"),$A907,INDIRECT("'"&amp;'Template Setup'!$C$8&amp;"'!A:A")),0))</f>
        <v/>
      </c>
      <c r="L907" s="11" t="str">
        <f>IF($A907="","",IFERROR(VALUE(MID(TRIM('Template Setup'!$C$4),FIND("-",TRIM('Template Setup'!$C$4))+1,10)),0))</f>
        <v/>
      </c>
      <c r="M907" s="11" t="str">
        <f>IF($A907="","",IFERROR(VALUE(MID(TRIM('Template Setup'!$C$5),FIND("-",TRIM('Template Setup'!$C$5))+1,10)),0))</f>
        <v/>
      </c>
      <c r="N907" s="11" t="str">
        <f>IF($A907="","",IFERROR(VALUE(MID(TRIM('Template Setup'!$C$6),FIND("-",TRIM('Template Setup'!$C$6))+1,10)),0))</f>
        <v/>
      </c>
      <c r="O907" s="11" t="str">
        <f>IF($A907="","",IFERROR(VALUE(MID(TRIM('Template Setup'!$C$7),FIND("-",TRIM('Template Setup'!$C$7))+1,10)),0))</f>
        <v/>
      </c>
      <c r="P907" s="11" t="str">
        <f>IF($A907="","",IFERROR(VALUE(MID(TRIM('Template Setup'!$C$8),FIND("-",TRIM('Template Setup'!$C$8))+1,10)),0))</f>
        <v/>
      </c>
      <c r="Q907" s="9" t="str">
        <f>IF($A907="","",$A907&amp;"-"&amp;'Template Setup'!$C$16)</f>
        <v/>
      </c>
      <c r="R907" s="24" t="str">
        <f t="shared" si="57"/>
        <v/>
      </c>
      <c r="S907" s="24"/>
      <c r="T907" s="24" t="str">
        <f t="shared" si="58"/>
        <v/>
      </c>
      <c r="U907" s="6" t="str">
        <f t="shared" si="56"/>
        <v/>
      </c>
    </row>
    <row r="908" spans="1:21">
      <c r="A908" s="11"/>
      <c r="B908" s="11"/>
      <c r="C908" s="11"/>
      <c r="D908" s="11" t="str">
        <f>IF($A908="","",_xlfn.TEXTJOIN(", ",TRUE,IF($G908&gt;0,'Template Setup'!$C$4,""),IF($H908&gt;0,'Template Setup'!$C$5,""),IF($I908&gt;0,'Template Setup'!$C$6,""),IF($J908&gt;0,'Template Setup'!$C$7,""),IF($K908&gt;0,'Template Setup'!$C$8,"")))</f>
        <v/>
      </c>
      <c r="E908" s="6" t="str" cm="1">
        <f t="array" ref="E908">IF($A908="","",_xlfn.LET(_xlpm.sheets,CHOOSE({1,2,3,4,5},'Template Setup'!$C$4,'Template Setup'!$C$5,'Template Setup'!$C$6,'Template Setup'!$C$7,'Template Setup'!$C$8),_xlpm.nums,CHOOSE({1,2,3,4,5},$L908,$M908,$N908,$O908,$P908),_xlpm.qtys,CHOOSE({1,2,3,4,5},$G908,$H908,$I908,$J908,$K908),_xlpm.validNums,_xlfn._xlws.FILTER(_xlpm.nums,_xlpm.qtys&gt;0),_xlpm.validSheets,_xlfn._xlws.FILTER(_xlpm.sheets,_xlpm.qtys&gt;0),_xlpm.mx,IFERROR(MAX(_xlpm.validNums),0),IF(_xlpm.mx=0,"",INDEX(_xlpm.validSheets,MATCH(_xlpm.mx,_xlpm.validNums,0))&amp;" (+"&amp;$R908&amp;")")))</f>
        <v/>
      </c>
      <c r="F908" s="11" t="str">
        <f t="shared" si="59"/>
        <v/>
      </c>
      <c r="G908" s="12" t="str">
        <f ca="1">IF($A908="","",IFERROR(SUMIF(INDIRECT("'"&amp;'Template Setup'!$C$4&amp;"'!C:C"),$A908,INDIRECT("'"&amp;'Template Setup'!$C$4&amp;"'!A:A")),0))</f>
        <v/>
      </c>
      <c r="H908" s="12" t="str">
        <f ca="1">IF($A908="","",IFERROR(SUMIF(INDIRECT("'"&amp;'Template Setup'!$C$5&amp;"'!C:C"),$A908,INDIRECT("'"&amp;'Template Setup'!$C$5&amp;"'!A:A")),0))</f>
        <v/>
      </c>
      <c r="I908" s="12" t="str">
        <f ca="1">IF($A908="","",IFERROR(SUMIF(INDIRECT("'"&amp;'Template Setup'!$C$6&amp;"'!C:C"),$A908,INDIRECT("'"&amp;'Template Setup'!$C$6&amp;"'!A:A")),0))</f>
        <v/>
      </c>
      <c r="J908" s="12" t="str">
        <f ca="1">IF($A908="","",IFERROR(SUMIF(INDIRECT("'"&amp;'Template Setup'!$C$7&amp;"'!C:C"),$A908,INDIRECT("'"&amp;'Template Setup'!$C$7&amp;"'!A:A")),0))</f>
        <v/>
      </c>
      <c r="K908" s="12" t="str">
        <f ca="1">IF($A908="","",IFERROR(SUMIF(INDIRECT("'"&amp;'Template Setup'!$C$8&amp;"'!C:C"),$A908,INDIRECT("'"&amp;'Template Setup'!$C$8&amp;"'!A:A")),0))</f>
        <v/>
      </c>
      <c r="L908" s="11" t="str">
        <f>IF($A908="","",IFERROR(VALUE(MID(TRIM('Template Setup'!$C$4),FIND("-",TRIM('Template Setup'!$C$4))+1,10)),0))</f>
        <v/>
      </c>
      <c r="M908" s="11" t="str">
        <f>IF($A908="","",IFERROR(VALUE(MID(TRIM('Template Setup'!$C$5),FIND("-",TRIM('Template Setup'!$C$5))+1,10)),0))</f>
        <v/>
      </c>
      <c r="N908" s="11" t="str">
        <f>IF($A908="","",IFERROR(VALUE(MID(TRIM('Template Setup'!$C$6),FIND("-",TRIM('Template Setup'!$C$6))+1,10)),0))</f>
        <v/>
      </c>
      <c r="O908" s="11" t="str">
        <f>IF($A908="","",IFERROR(VALUE(MID(TRIM('Template Setup'!$C$7),FIND("-",TRIM('Template Setup'!$C$7))+1,10)),0))</f>
        <v/>
      </c>
      <c r="P908" s="11" t="str">
        <f>IF($A908="","",IFERROR(VALUE(MID(TRIM('Template Setup'!$C$8),FIND("-",TRIM('Template Setup'!$C$8))+1,10)),0))</f>
        <v/>
      </c>
      <c r="Q908" s="9" t="str">
        <f>IF($A908="","",$A908&amp;"-"&amp;'Template Setup'!$C$16)</f>
        <v/>
      </c>
      <c r="R908" s="24" t="str">
        <f t="shared" si="57"/>
        <v/>
      </c>
      <c r="S908" s="24"/>
      <c r="T908" s="24" t="str">
        <f t="shared" si="58"/>
        <v/>
      </c>
      <c r="U908" s="6" t="str">
        <f t="shared" si="56"/>
        <v/>
      </c>
    </row>
    <row r="909" spans="1:21">
      <c r="A909" s="11"/>
      <c r="B909" s="11"/>
      <c r="C909" s="11"/>
      <c r="D909" s="11" t="str">
        <f>IF($A909="","",_xlfn.TEXTJOIN(", ",TRUE,IF($G909&gt;0,'Template Setup'!$C$4,""),IF($H909&gt;0,'Template Setup'!$C$5,""),IF($I909&gt;0,'Template Setup'!$C$6,""),IF($J909&gt;0,'Template Setup'!$C$7,""),IF($K909&gt;0,'Template Setup'!$C$8,"")))</f>
        <v/>
      </c>
      <c r="E909" s="6" t="str" cm="1">
        <f t="array" ref="E909">IF($A909="","",_xlfn.LET(_xlpm.sheets,CHOOSE({1,2,3,4,5},'Template Setup'!$C$4,'Template Setup'!$C$5,'Template Setup'!$C$6,'Template Setup'!$C$7,'Template Setup'!$C$8),_xlpm.nums,CHOOSE({1,2,3,4,5},$L909,$M909,$N909,$O909,$P909),_xlpm.qtys,CHOOSE({1,2,3,4,5},$G909,$H909,$I909,$J909,$K909),_xlpm.validNums,_xlfn._xlws.FILTER(_xlpm.nums,_xlpm.qtys&gt;0),_xlpm.validSheets,_xlfn._xlws.FILTER(_xlpm.sheets,_xlpm.qtys&gt;0),_xlpm.mx,IFERROR(MAX(_xlpm.validNums),0),IF(_xlpm.mx=0,"",INDEX(_xlpm.validSheets,MATCH(_xlpm.mx,_xlpm.validNums,0))&amp;" (+"&amp;$R909&amp;")")))</f>
        <v/>
      </c>
      <c r="F909" s="11" t="str">
        <f t="shared" si="59"/>
        <v/>
      </c>
      <c r="G909" s="12" t="str">
        <f ca="1">IF($A909="","",IFERROR(SUMIF(INDIRECT("'"&amp;'Template Setup'!$C$4&amp;"'!C:C"),$A909,INDIRECT("'"&amp;'Template Setup'!$C$4&amp;"'!A:A")),0))</f>
        <v/>
      </c>
      <c r="H909" s="12" t="str">
        <f ca="1">IF($A909="","",IFERROR(SUMIF(INDIRECT("'"&amp;'Template Setup'!$C$5&amp;"'!C:C"),$A909,INDIRECT("'"&amp;'Template Setup'!$C$5&amp;"'!A:A")),0))</f>
        <v/>
      </c>
      <c r="I909" s="12" t="str">
        <f ca="1">IF($A909="","",IFERROR(SUMIF(INDIRECT("'"&amp;'Template Setup'!$C$6&amp;"'!C:C"),$A909,INDIRECT("'"&amp;'Template Setup'!$C$6&amp;"'!A:A")),0))</f>
        <v/>
      </c>
      <c r="J909" s="12" t="str">
        <f ca="1">IF($A909="","",IFERROR(SUMIF(INDIRECT("'"&amp;'Template Setup'!$C$7&amp;"'!C:C"),$A909,INDIRECT("'"&amp;'Template Setup'!$C$7&amp;"'!A:A")),0))</f>
        <v/>
      </c>
      <c r="K909" s="12" t="str">
        <f ca="1">IF($A909="","",IFERROR(SUMIF(INDIRECT("'"&amp;'Template Setup'!$C$8&amp;"'!C:C"),$A909,INDIRECT("'"&amp;'Template Setup'!$C$8&amp;"'!A:A")),0))</f>
        <v/>
      </c>
      <c r="L909" s="11" t="str">
        <f>IF($A909="","",IFERROR(VALUE(MID(TRIM('Template Setup'!$C$4),FIND("-",TRIM('Template Setup'!$C$4))+1,10)),0))</f>
        <v/>
      </c>
      <c r="M909" s="11" t="str">
        <f>IF($A909="","",IFERROR(VALUE(MID(TRIM('Template Setup'!$C$5),FIND("-",TRIM('Template Setup'!$C$5))+1,10)),0))</f>
        <v/>
      </c>
      <c r="N909" s="11" t="str">
        <f>IF($A909="","",IFERROR(VALUE(MID(TRIM('Template Setup'!$C$6),FIND("-",TRIM('Template Setup'!$C$6))+1,10)),0))</f>
        <v/>
      </c>
      <c r="O909" s="11" t="str">
        <f>IF($A909="","",IFERROR(VALUE(MID(TRIM('Template Setup'!$C$7),FIND("-",TRIM('Template Setup'!$C$7))+1,10)),0))</f>
        <v/>
      </c>
      <c r="P909" s="11" t="str">
        <f>IF($A909="","",IFERROR(VALUE(MID(TRIM('Template Setup'!$C$8),FIND("-",TRIM('Template Setup'!$C$8))+1,10)),0))</f>
        <v/>
      </c>
      <c r="Q909" s="9" t="str">
        <f>IF($A909="","",$A909&amp;"-"&amp;'Template Setup'!$C$16)</f>
        <v/>
      </c>
      <c r="R909" s="24" t="str">
        <f t="shared" si="57"/>
        <v/>
      </c>
      <c r="S909" s="24"/>
      <c r="T909" s="24" t="str">
        <f t="shared" si="58"/>
        <v/>
      </c>
      <c r="U909" s="6" t="str">
        <f t="shared" si="56"/>
        <v/>
      </c>
    </row>
    <row r="910" spans="1:21">
      <c r="A910" s="11"/>
      <c r="B910" s="11"/>
      <c r="C910" s="11"/>
      <c r="D910" s="11" t="str">
        <f>IF($A910="","",_xlfn.TEXTJOIN(", ",TRUE,IF($G910&gt;0,'Template Setup'!$C$4,""),IF($H910&gt;0,'Template Setup'!$C$5,""),IF($I910&gt;0,'Template Setup'!$C$6,""),IF($J910&gt;0,'Template Setup'!$C$7,""),IF($K910&gt;0,'Template Setup'!$C$8,"")))</f>
        <v/>
      </c>
      <c r="E910" s="6" t="str" cm="1">
        <f t="array" ref="E910">IF($A910="","",_xlfn.LET(_xlpm.sheets,CHOOSE({1,2,3,4,5},'Template Setup'!$C$4,'Template Setup'!$C$5,'Template Setup'!$C$6,'Template Setup'!$C$7,'Template Setup'!$C$8),_xlpm.nums,CHOOSE({1,2,3,4,5},$L910,$M910,$N910,$O910,$P910),_xlpm.qtys,CHOOSE({1,2,3,4,5},$G910,$H910,$I910,$J910,$K910),_xlpm.validNums,_xlfn._xlws.FILTER(_xlpm.nums,_xlpm.qtys&gt;0),_xlpm.validSheets,_xlfn._xlws.FILTER(_xlpm.sheets,_xlpm.qtys&gt;0),_xlpm.mx,IFERROR(MAX(_xlpm.validNums),0),IF(_xlpm.mx=0,"",INDEX(_xlpm.validSheets,MATCH(_xlpm.mx,_xlpm.validNums,0))&amp;" (+"&amp;$R910&amp;")")))</f>
        <v/>
      </c>
      <c r="F910" s="11" t="str">
        <f t="shared" si="59"/>
        <v/>
      </c>
      <c r="G910" s="12" t="str">
        <f ca="1">IF($A910="","",IFERROR(SUMIF(INDIRECT("'"&amp;'Template Setup'!$C$4&amp;"'!C:C"),$A910,INDIRECT("'"&amp;'Template Setup'!$C$4&amp;"'!A:A")),0))</f>
        <v/>
      </c>
      <c r="H910" s="12" t="str">
        <f ca="1">IF($A910="","",IFERROR(SUMIF(INDIRECT("'"&amp;'Template Setup'!$C$5&amp;"'!C:C"),$A910,INDIRECT("'"&amp;'Template Setup'!$C$5&amp;"'!A:A")),0))</f>
        <v/>
      </c>
      <c r="I910" s="12" t="str">
        <f ca="1">IF($A910="","",IFERROR(SUMIF(INDIRECT("'"&amp;'Template Setup'!$C$6&amp;"'!C:C"),$A910,INDIRECT("'"&amp;'Template Setup'!$C$6&amp;"'!A:A")),0))</f>
        <v/>
      </c>
      <c r="J910" s="12" t="str">
        <f ca="1">IF($A910="","",IFERROR(SUMIF(INDIRECT("'"&amp;'Template Setup'!$C$7&amp;"'!C:C"),$A910,INDIRECT("'"&amp;'Template Setup'!$C$7&amp;"'!A:A")),0))</f>
        <v/>
      </c>
      <c r="K910" s="12" t="str">
        <f ca="1">IF($A910="","",IFERROR(SUMIF(INDIRECT("'"&amp;'Template Setup'!$C$8&amp;"'!C:C"),$A910,INDIRECT("'"&amp;'Template Setup'!$C$8&amp;"'!A:A")),0))</f>
        <v/>
      </c>
      <c r="L910" s="11" t="str">
        <f>IF($A910="","",IFERROR(VALUE(MID(TRIM('Template Setup'!$C$4),FIND("-",TRIM('Template Setup'!$C$4))+1,10)),0))</f>
        <v/>
      </c>
      <c r="M910" s="11" t="str">
        <f>IF($A910="","",IFERROR(VALUE(MID(TRIM('Template Setup'!$C$5),FIND("-",TRIM('Template Setup'!$C$5))+1,10)),0))</f>
        <v/>
      </c>
      <c r="N910" s="11" t="str">
        <f>IF($A910="","",IFERROR(VALUE(MID(TRIM('Template Setup'!$C$6),FIND("-",TRIM('Template Setup'!$C$6))+1,10)),0))</f>
        <v/>
      </c>
      <c r="O910" s="11" t="str">
        <f>IF($A910="","",IFERROR(VALUE(MID(TRIM('Template Setup'!$C$7),FIND("-",TRIM('Template Setup'!$C$7))+1,10)),0))</f>
        <v/>
      </c>
      <c r="P910" s="11" t="str">
        <f>IF($A910="","",IFERROR(VALUE(MID(TRIM('Template Setup'!$C$8),FIND("-",TRIM('Template Setup'!$C$8))+1,10)),0))</f>
        <v/>
      </c>
      <c r="Q910" s="9" t="str">
        <f>IF($A910="","",$A910&amp;"-"&amp;'Template Setup'!$C$16)</f>
        <v/>
      </c>
      <c r="R910" s="24" t="str">
        <f t="shared" si="57"/>
        <v/>
      </c>
      <c r="S910" s="24"/>
      <c r="T910" s="24" t="str">
        <f t="shared" si="58"/>
        <v/>
      </c>
      <c r="U910" s="6" t="str">
        <f t="shared" si="56"/>
        <v/>
      </c>
    </row>
    <row r="911" spans="1:21">
      <c r="A911" s="11"/>
      <c r="B911" s="11"/>
      <c r="C911" s="11"/>
      <c r="D911" s="11" t="str">
        <f>IF($A911="","",_xlfn.TEXTJOIN(", ",TRUE,IF($G911&gt;0,'Template Setup'!$C$4,""),IF($H911&gt;0,'Template Setup'!$C$5,""),IF($I911&gt;0,'Template Setup'!$C$6,""),IF($J911&gt;0,'Template Setup'!$C$7,""),IF($K911&gt;0,'Template Setup'!$C$8,"")))</f>
        <v/>
      </c>
      <c r="E911" s="6" t="str" cm="1">
        <f t="array" ref="E911">IF($A911="","",_xlfn.LET(_xlpm.sheets,CHOOSE({1,2,3,4,5},'Template Setup'!$C$4,'Template Setup'!$C$5,'Template Setup'!$C$6,'Template Setup'!$C$7,'Template Setup'!$C$8),_xlpm.nums,CHOOSE({1,2,3,4,5},$L911,$M911,$N911,$O911,$P911),_xlpm.qtys,CHOOSE({1,2,3,4,5},$G911,$H911,$I911,$J911,$K911),_xlpm.validNums,_xlfn._xlws.FILTER(_xlpm.nums,_xlpm.qtys&gt;0),_xlpm.validSheets,_xlfn._xlws.FILTER(_xlpm.sheets,_xlpm.qtys&gt;0),_xlpm.mx,IFERROR(MAX(_xlpm.validNums),0),IF(_xlpm.mx=0,"",INDEX(_xlpm.validSheets,MATCH(_xlpm.mx,_xlpm.validNums,0))&amp;" (+"&amp;$R911&amp;")")))</f>
        <v/>
      </c>
      <c r="F911" s="11" t="str">
        <f t="shared" si="59"/>
        <v/>
      </c>
      <c r="G911" s="12" t="str">
        <f ca="1">IF($A911="","",IFERROR(SUMIF(INDIRECT("'"&amp;'Template Setup'!$C$4&amp;"'!C:C"),$A911,INDIRECT("'"&amp;'Template Setup'!$C$4&amp;"'!A:A")),0))</f>
        <v/>
      </c>
      <c r="H911" s="12" t="str">
        <f ca="1">IF($A911="","",IFERROR(SUMIF(INDIRECT("'"&amp;'Template Setup'!$C$5&amp;"'!C:C"),$A911,INDIRECT("'"&amp;'Template Setup'!$C$5&amp;"'!A:A")),0))</f>
        <v/>
      </c>
      <c r="I911" s="12" t="str">
        <f ca="1">IF($A911="","",IFERROR(SUMIF(INDIRECT("'"&amp;'Template Setup'!$C$6&amp;"'!C:C"),$A911,INDIRECT("'"&amp;'Template Setup'!$C$6&amp;"'!A:A")),0))</f>
        <v/>
      </c>
      <c r="J911" s="12" t="str">
        <f ca="1">IF($A911="","",IFERROR(SUMIF(INDIRECT("'"&amp;'Template Setup'!$C$7&amp;"'!C:C"),$A911,INDIRECT("'"&amp;'Template Setup'!$C$7&amp;"'!A:A")),0))</f>
        <v/>
      </c>
      <c r="K911" s="12" t="str">
        <f ca="1">IF($A911="","",IFERROR(SUMIF(INDIRECT("'"&amp;'Template Setup'!$C$8&amp;"'!C:C"),$A911,INDIRECT("'"&amp;'Template Setup'!$C$8&amp;"'!A:A")),0))</f>
        <v/>
      </c>
      <c r="L911" s="11" t="str">
        <f>IF($A911="","",IFERROR(VALUE(MID(TRIM('Template Setup'!$C$4),FIND("-",TRIM('Template Setup'!$C$4))+1,10)),0))</f>
        <v/>
      </c>
      <c r="M911" s="11" t="str">
        <f>IF($A911="","",IFERROR(VALUE(MID(TRIM('Template Setup'!$C$5),FIND("-",TRIM('Template Setup'!$C$5))+1,10)),0))</f>
        <v/>
      </c>
      <c r="N911" s="11" t="str">
        <f>IF($A911="","",IFERROR(VALUE(MID(TRIM('Template Setup'!$C$6),FIND("-",TRIM('Template Setup'!$C$6))+1,10)),0))</f>
        <v/>
      </c>
      <c r="O911" s="11" t="str">
        <f>IF($A911="","",IFERROR(VALUE(MID(TRIM('Template Setup'!$C$7),FIND("-",TRIM('Template Setup'!$C$7))+1,10)),0))</f>
        <v/>
      </c>
      <c r="P911" s="11" t="str">
        <f>IF($A911="","",IFERROR(VALUE(MID(TRIM('Template Setup'!$C$8),FIND("-",TRIM('Template Setup'!$C$8))+1,10)),0))</f>
        <v/>
      </c>
      <c r="Q911" s="9" t="str">
        <f>IF($A911="","",$A911&amp;"-"&amp;'Template Setup'!$C$16)</f>
        <v/>
      </c>
      <c r="R911" s="24" t="str">
        <f t="shared" si="57"/>
        <v/>
      </c>
      <c r="S911" s="24"/>
      <c r="T911" s="24" t="str">
        <f t="shared" si="58"/>
        <v/>
      </c>
      <c r="U911" s="6" t="str">
        <f t="shared" si="56"/>
        <v/>
      </c>
    </row>
    <row r="912" spans="1:21">
      <c r="A912" s="11"/>
      <c r="B912" s="11"/>
      <c r="C912" s="11"/>
      <c r="D912" s="11" t="str">
        <f>IF($A912="","",_xlfn.TEXTJOIN(", ",TRUE,IF($G912&gt;0,'Template Setup'!$C$4,""),IF($H912&gt;0,'Template Setup'!$C$5,""),IF($I912&gt;0,'Template Setup'!$C$6,""),IF($J912&gt;0,'Template Setup'!$C$7,""),IF($K912&gt;0,'Template Setup'!$C$8,"")))</f>
        <v/>
      </c>
      <c r="E912" s="6" t="str" cm="1">
        <f t="array" ref="E912">IF($A912="","",_xlfn.LET(_xlpm.sheets,CHOOSE({1,2,3,4,5},'Template Setup'!$C$4,'Template Setup'!$C$5,'Template Setup'!$C$6,'Template Setup'!$C$7,'Template Setup'!$C$8),_xlpm.nums,CHOOSE({1,2,3,4,5},$L912,$M912,$N912,$O912,$P912),_xlpm.qtys,CHOOSE({1,2,3,4,5},$G912,$H912,$I912,$J912,$K912),_xlpm.validNums,_xlfn._xlws.FILTER(_xlpm.nums,_xlpm.qtys&gt;0),_xlpm.validSheets,_xlfn._xlws.FILTER(_xlpm.sheets,_xlpm.qtys&gt;0),_xlpm.mx,IFERROR(MAX(_xlpm.validNums),0),IF(_xlpm.mx=0,"",INDEX(_xlpm.validSheets,MATCH(_xlpm.mx,_xlpm.validNums,0))&amp;" (+"&amp;$R912&amp;")")))</f>
        <v/>
      </c>
      <c r="F912" s="11" t="str">
        <f t="shared" si="59"/>
        <v/>
      </c>
      <c r="G912" s="12" t="str">
        <f ca="1">IF($A912="","",IFERROR(SUMIF(INDIRECT("'"&amp;'Template Setup'!$C$4&amp;"'!C:C"),$A912,INDIRECT("'"&amp;'Template Setup'!$C$4&amp;"'!A:A")),0))</f>
        <v/>
      </c>
      <c r="H912" s="12" t="str">
        <f ca="1">IF($A912="","",IFERROR(SUMIF(INDIRECT("'"&amp;'Template Setup'!$C$5&amp;"'!C:C"),$A912,INDIRECT("'"&amp;'Template Setup'!$C$5&amp;"'!A:A")),0))</f>
        <v/>
      </c>
      <c r="I912" s="12" t="str">
        <f ca="1">IF($A912="","",IFERROR(SUMIF(INDIRECT("'"&amp;'Template Setup'!$C$6&amp;"'!C:C"),$A912,INDIRECT("'"&amp;'Template Setup'!$C$6&amp;"'!A:A")),0))</f>
        <v/>
      </c>
      <c r="J912" s="12" t="str">
        <f ca="1">IF($A912="","",IFERROR(SUMIF(INDIRECT("'"&amp;'Template Setup'!$C$7&amp;"'!C:C"),$A912,INDIRECT("'"&amp;'Template Setup'!$C$7&amp;"'!A:A")),0))</f>
        <v/>
      </c>
      <c r="K912" s="12" t="str">
        <f ca="1">IF($A912="","",IFERROR(SUMIF(INDIRECT("'"&amp;'Template Setup'!$C$8&amp;"'!C:C"),$A912,INDIRECT("'"&amp;'Template Setup'!$C$8&amp;"'!A:A")),0))</f>
        <v/>
      </c>
      <c r="L912" s="11" t="str">
        <f>IF($A912="","",IFERROR(VALUE(MID(TRIM('Template Setup'!$C$4),FIND("-",TRIM('Template Setup'!$C$4))+1,10)),0))</f>
        <v/>
      </c>
      <c r="M912" s="11" t="str">
        <f>IF($A912="","",IFERROR(VALUE(MID(TRIM('Template Setup'!$C$5),FIND("-",TRIM('Template Setup'!$C$5))+1,10)),0))</f>
        <v/>
      </c>
      <c r="N912" s="11" t="str">
        <f>IF($A912="","",IFERROR(VALUE(MID(TRIM('Template Setup'!$C$6),FIND("-",TRIM('Template Setup'!$C$6))+1,10)),0))</f>
        <v/>
      </c>
      <c r="O912" s="11" t="str">
        <f>IF($A912="","",IFERROR(VALUE(MID(TRIM('Template Setup'!$C$7),FIND("-",TRIM('Template Setup'!$C$7))+1,10)),0))</f>
        <v/>
      </c>
      <c r="P912" s="11" t="str">
        <f>IF($A912="","",IFERROR(VALUE(MID(TRIM('Template Setup'!$C$8),FIND("-",TRIM('Template Setup'!$C$8))+1,10)),0))</f>
        <v/>
      </c>
      <c r="Q912" s="9" t="str">
        <f>IF($A912="","",$A912&amp;"-"&amp;'Template Setup'!$C$16)</f>
        <v/>
      </c>
      <c r="R912" s="24" t="str">
        <f t="shared" si="57"/>
        <v/>
      </c>
      <c r="S912" s="24"/>
      <c r="T912" s="24" t="str">
        <f t="shared" si="58"/>
        <v/>
      </c>
      <c r="U912" s="6" t="str">
        <f t="shared" si="56"/>
        <v/>
      </c>
    </row>
    <row r="913" spans="1:21">
      <c r="A913" s="11"/>
      <c r="B913" s="11"/>
      <c r="C913" s="11"/>
      <c r="D913" s="11" t="str">
        <f>IF($A913="","",_xlfn.TEXTJOIN(", ",TRUE,IF($G913&gt;0,'Template Setup'!$C$4,""),IF($H913&gt;0,'Template Setup'!$C$5,""),IF($I913&gt;0,'Template Setup'!$C$6,""),IF($J913&gt;0,'Template Setup'!$C$7,""),IF($K913&gt;0,'Template Setup'!$C$8,"")))</f>
        <v/>
      </c>
      <c r="E913" s="6" t="str" cm="1">
        <f t="array" ref="E913">IF($A913="","",_xlfn.LET(_xlpm.sheets,CHOOSE({1,2,3,4,5},'Template Setup'!$C$4,'Template Setup'!$C$5,'Template Setup'!$C$6,'Template Setup'!$C$7,'Template Setup'!$C$8),_xlpm.nums,CHOOSE({1,2,3,4,5},$L913,$M913,$N913,$O913,$P913),_xlpm.qtys,CHOOSE({1,2,3,4,5},$G913,$H913,$I913,$J913,$K913),_xlpm.validNums,_xlfn._xlws.FILTER(_xlpm.nums,_xlpm.qtys&gt;0),_xlpm.validSheets,_xlfn._xlws.FILTER(_xlpm.sheets,_xlpm.qtys&gt;0),_xlpm.mx,IFERROR(MAX(_xlpm.validNums),0),IF(_xlpm.mx=0,"",INDEX(_xlpm.validSheets,MATCH(_xlpm.mx,_xlpm.validNums,0))&amp;" (+"&amp;$R913&amp;")")))</f>
        <v/>
      </c>
      <c r="F913" s="11" t="str">
        <f t="shared" si="59"/>
        <v/>
      </c>
      <c r="G913" s="12" t="str">
        <f ca="1">IF($A913="","",IFERROR(SUMIF(INDIRECT("'"&amp;'Template Setup'!$C$4&amp;"'!C:C"),$A913,INDIRECT("'"&amp;'Template Setup'!$C$4&amp;"'!A:A")),0))</f>
        <v/>
      </c>
      <c r="H913" s="12" t="str">
        <f ca="1">IF($A913="","",IFERROR(SUMIF(INDIRECT("'"&amp;'Template Setup'!$C$5&amp;"'!C:C"),$A913,INDIRECT("'"&amp;'Template Setup'!$C$5&amp;"'!A:A")),0))</f>
        <v/>
      </c>
      <c r="I913" s="12" t="str">
        <f ca="1">IF($A913="","",IFERROR(SUMIF(INDIRECT("'"&amp;'Template Setup'!$C$6&amp;"'!C:C"),$A913,INDIRECT("'"&amp;'Template Setup'!$C$6&amp;"'!A:A")),0))</f>
        <v/>
      </c>
      <c r="J913" s="12" t="str">
        <f ca="1">IF($A913="","",IFERROR(SUMIF(INDIRECT("'"&amp;'Template Setup'!$C$7&amp;"'!C:C"),$A913,INDIRECT("'"&amp;'Template Setup'!$C$7&amp;"'!A:A")),0))</f>
        <v/>
      </c>
      <c r="K913" s="12" t="str">
        <f ca="1">IF($A913="","",IFERROR(SUMIF(INDIRECT("'"&amp;'Template Setup'!$C$8&amp;"'!C:C"),$A913,INDIRECT("'"&amp;'Template Setup'!$C$8&amp;"'!A:A")),0))</f>
        <v/>
      </c>
      <c r="L913" s="11" t="str">
        <f>IF($A913="","",IFERROR(VALUE(MID(TRIM('Template Setup'!$C$4),FIND("-",TRIM('Template Setup'!$C$4))+1,10)),0))</f>
        <v/>
      </c>
      <c r="M913" s="11" t="str">
        <f>IF($A913="","",IFERROR(VALUE(MID(TRIM('Template Setup'!$C$5),FIND("-",TRIM('Template Setup'!$C$5))+1,10)),0))</f>
        <v/>
      </c>
      <c r="N913" s="11" t="str">
        <f>IF($A913="","",IFERROR(VALUE(MID(TRIM('Template Setup'!$C$6),FIND("-",TRIM('Template Setup'!$C$6))+1,10)),0))</f>
        <v/>
      </c>
      <c r="O913" s="11" t="str">
        <f>IF($A913="","",IFERROR(VALUE(MID(TRIM('Template Setup'!$C$7),FIND("-",TRIM('Template Setup'!$C$7))+1,10)),0))</f>
        <v/>
      </c>
      <c r="P913" s="11" t="str">
        <f>IF($A913="","",IFERROR(VALUE(MID(TRIM('Template Setup'!$C$8),FIND("-",TRIM('Template Setup'!$C$8))+1,10)),0))</f>
        <v/>
      </c>
      <c r="Q913" s="9" t="str">
        <f>IF($A913="","",$A913&amp;"-"&amp;'Template Setup'!$C$16)</f>
        <v/>
      </c>
      <c r="R913" s="24" t="str">
        <f t="shared" si="57"/>
        <v/>
      </c>
      <c r="S913" s="24"/>
      <c r="T913" s="24" t="str">
        <f t="shared" si="58"/>
        <v/>
      </c>
      <c r="U913" s="6" t="str">
        <f t="shared" si="56"/>
        <v/>
      </c>
    </row>
    <row r="914" spans="1:21">
      <c r="A914" s="11"/>
      <c r="B914" s="11"/>
      <c r="C914" s="11"/>
      <c r="D914" s="11" t="str">
        <f>IF($A914="","",_xlfn.TEXTJOIN(", ",TRUE,IF($G914&gt;0,'Template Setup'!$C$4,""),IF($H914&gt;0,'Template Setup'!$C$5,""),IF($I914&gt;0,'Template Setup'!$C$6,""),IF($J914&gt;0,'Template Setup'!$C$7,""),IF($K914&gt;0,'Template Setup'!$C$8,"")))</f>
        <v/>
      </c>
      <c r="E914" s="6" t="str" cm="1">
        <f t="array" ref="E914">IF($A914="","",_xlfn.LET(_xlpm.sheets,CHOOSE({1,2,3,4,5},'Template Setup'!$C$4,'Template Setup'!$C$5,'Template Setup'!$C$6,'Template Setup'!$C$7,'Template Setup'!$C$8),_xlpm.nums,CHOOSE({1,2,3,4,5},$L914,$M914,$N914,$O914,$P914),_xlpm.qtys,CHOOSE({1,2,3,4,5},$G914,$H914,$I914,$J914,$K914),_xlpm.validNums,_xlfn._xlws.FILTER(_xlpm.nums,_xlpm.qtys&gt;0),_xlpm.validSheets,_xlfn._xlws.FILTER(_xlpm.sheets,_xlpm.qtys&gt;0),_xlpm.mx,IFERROR(MAX(_xlpm.validNums),0),IF(_xlpm.mx=0,"",INDEX(_xlpm.validSheets,MATCH(_xlpm.mx,_xlpm.validNums,0))&amp;" (+"&amp;$R914&amp;")")))</f>
        <v/>
      </c>
      <c r="F914" s="11" t="str">
        <f t="shared" si="59"/>
        <v/>
      </c>
      <c r="G914" s="12" t="str">
        <f ca="1">IF($A914="","",IFERROR(SUMIF(INDIRECT("'"&amp;'Template Setup'!$C$4&amp;"'!C:C"),$A914,INDIRECT("'"&amp;'Template Setup'!$C$4&amp;"'!A:A")),0))</f>
        <v/>
      </c>
      <c r="H914" s="12" t="str">
        <f ca="1">IF($A914="","",IFERROR(SUMIF(INDIRECT("'"&amp;'Template Setup'!$C$5&amp;"'!C:C"),$A914,INDIRECT("'"&amp;'Template Setup'!$C$5&amp;"'!A:A")),0))</f>
        <v/>
      </c>
      <c r="I914" s="12" t="str">
        <f ca="1">IF($A914="","",IFERROR(SUMIF(INDIRECT("'"&amp;'Template Setup'!$C$6&amp;"'!C:C"),$A914,INDIRECT("'"&amp;'Template Setup'!$C$6&amp;"'!A:A")),0))</f>
        <v/>
      </c>
      <c r="J914" s="12" t="str">
        <f ca="1">IF($A914="","",IFERROR(SUMIF(INDIRECT("'"&amp;'Template Setup'!$C$7&amp;"'!C:C"),$A914,INDIRECT("'"&amp;'Template Setup'!$C$7&amp;"'!A:A")),0))</f>
        <v/>
      </c>
      <c r="K914" s="12" t="str">
        <f ca="1">IF($A914="","",IFERROR(SUMIF(INDIRECT("'"&amp;'Template Setup'!$C$8&amp;"'!C:C"),$A914,INDIRECT("'"&amp;'Template Setup'!$C$8&amp;"'!A:A")),0))</f>
        <v/>
      </c>
      <c r="L914" s="11" t="str">
        <f>IF($A914="","",IFERROR(VALUE(MID(TRIM('Template Setup'!$C$4),FIND("-",TRIM('Template Setup'!$C$4))+1,10)),0))</f>
        <v/>
      </c>
      <c r="M914" s="11" t="str">
        <f>IF($A914="","",IFERROR(VALUE(MID(TRIM('Template Setup'!$C$5),FIND("-",TRIM('Template Setup'!$C$5))+1,10)),0))</f>
        <v/>
      </c>
      <c r="N914" s="11" t="str">
        <f>IF($A914="","",IFERROR(VALUE(MID(TRIM('Template Setup'!$C$6),FIND("-",TRIM('Template Setup'!$C$6))+1,10)),0))</f>
        <v/>
      </c>
      <c r="O914" s="11" t="str">
        <f>IF($A914="","",IFERROR(VALUE(MID(TRIM('Template Setup'!$C$7),FIND("-",TRIM('Template Setup'!$C$7))+1,10)),0))</f>
        <v/>
      </c>
      <c r="P914" s="11" t="str">
        <f>IF($A914="","",IFERROR(VALUE(MID(TRIM('Template Setup'!$C$8),FIND("-",TRIM('Template Setup'!$C$8))+1,10)),0))</f>
        <v/>
      </c>
      <c r="Q914" s="9" t="str">
        <f>IF($A914="","",$A914&amp;"-"&amp;'Template Setup'!$C$16)</f>
        <v/>
      </c>
      <c r="R914" s="24" t="str">
        <f t="shared" si="57"/>
        <v/>
      </c>
      <c r="S914" s="24"/>
      <c r="T914" s="24" t="str">
        <f t="shared" si="58"/>
        <v/>
      </c>
      <c r="U914" s="6" t="str">
        <f t="shared" ref="U914:U977" si="60">IF($A914="","","☐")</f>
        <v/>
      </c>
    </row>
    <row r="915" spans="1:21">
      <c r="A915" s="11"/>
      <c r="B915" s="11"/>
      <c r="C915" s="11"/>
      <c r="D915" s="11" t="str">
        <f>IF($A915="","",_xlfn.TEXTJOIN(", ",TRUE,IF($G915&gt;0,'Template Setup'!$C$4,""),IF($H915&gt;0,'Template Setup'!$C$5,""),IF($I915&gt;0,'Template Setup'!$C$6,""),IF($J915&gt;0,'Template Setup'!$C$7,""),IF($K915&gt;0,'Template Setup'!$C$8,"")))</f>
        <v/>
      </c>
      <c r="E915" s="6" t="str" cm="1">
        <f t="array" ref="E915">IF($A915="","",_xlfn.LET(_xlpm.sheets,CHOOSE({1,2,3,4,5},'Template Setup'!$C$4,'Template Setup'!$C$5,'Template Setup'!$C$6,'Template Setup'!$C$7,'Template Setup'!$C$8),_xlpm.nums,CHOOSE({1,2,3,4,5},$L915,$M915,$N915,$O915,$P915),_xlpm.qtys,CHOOSE({1,2,3,4,5},$G915,$H915,$I915,$J915,$K915),_xlpm.validNums,_xlfn._xlws.FILTER(_xlpm.nums,_xlpm.qtys&gt;0),_xlpm.validSheets,_xlfn._xlws.FILTER(_xlpm.sheets,_xlpm.qtys&gt;0),_xlpm.mx,IFERROR(MAX(_xlpm.validNums),0),IF(_xlpm.mx=0,"",INDEX(_xlpm.validSheets,MATCH(_xlpm.mx,_xlpm.validNums,0))&amp;" (+"&amp;$R915&amp;")")))</f>
        <v/>
      </c>
      <c r="F915" s="11" t="str">
        <f t="shared" si="59"/>
        <v/>
      </c>
      <c r="G915" s="12" t="str">
        <f ca="1">IF($A915="","",IFERROR(SUMIF(INDIRECT("'"&amp;'Template Setup'!$C$4&amp;"'!C:C"),$A915,INDIRECT("'"&amp;'Template Setup'!$C$4&amp;"'!A:A")),0))</f>
        <v/>
      </c>
      <c r="H915" s="12" t="str">
        <f ca="1">IF($A915="","",IFERROR(SUMIF(INDIRECT("'"&amp;'Template Setup'!$C$5&amp;"'!C:C"),$A915,INDIRECT("'"&amp;'Template Setup'!$C$5&amp;"'!A:A")),0))</f>
        <v/>
      </c>
      <c r="I915" s="12" t="str">
        <f ca="1">IF($A915="","",IFERROR(SUMIF(INDIRECT("'"&amp;'Template Setup'!$C$6&amp;"'!C:C"),$A915,INDIRECT("'"&amp;'Template Setup'!$C$6&amp;"'!A:A")),0))</f>
        <v/>
      </c>
      <c r="J915" s="12" t="str">
        <f ca="1">IF($A915="","",IFERROR(SUMIF(INDIRECT("'"&amp;'Template Setup'!$C$7&amp;"'!C:C"),$A915,INDIRECT("'"&amp;'Template Setup'!$C$7&amp;"'!A:A")),0))</f>
        <v/>
      </c>
      <c r="K915" s="12" t="str">
        <f ca="1">IF($A915="","",IFERROR(SUMIF(INDIRECT("'"&amp;'Template Setup'!$C$8&amp;"'!C:C"),$A915,INDIRECT("'"&amp;'Template Setup'!$C$8&amp;"'!A:A")),0))</f>
        <v/>
      </c>
      <c r="L915" s="11" t="str">
        <f>IF($A915="","",IFERROR(VALUE(MID(TRIM('Template Setup'!$C$4),FIND("-",TRIM('Template Setup'!$C$4))+1,10)),0))</f>
        <v/>
      </c>
      <c r="M915" s="11" t="str">
        <f>IF($A915="","",IFERROR(VALUE(MID(TRIM('Template Setup'!$C$5),FIND("-",TRIM('Template Setup'!$C$5))+1,10)),0))</f>
        <v/>
      </c>
      <c r="N915" s="11" t="str">
        <f>IF($A915="","",IFERROR(VALUE(MID(TRIM('Template Setup'!$C$6),FIND("-",TRIM('Template Setup'!$C$6))+1,10)),0))</f>
        <v/>
      </c>
      <c r="O915" s="11" t="str">
        <f>IF($A915="","",IFERROR(VALUE(MID(TRIM('Template Setup'!$C$7),FIND("-",TRIM('Template Setup'!$C$7))+1,10)),0))</f>
        <v/>
      </c>
      <c r="P915" s="11" t="str">
        <f>IF($A915="","",IFERROR(VALUE(MID(TRIM('Template Setup'!$C$8),FIND("-",TRIM('Template Setup'!$C$8))+1,10)),0))</f>
        <v/>
      </c>
      <c r="Q915" s="9" t="str">
        <f>IF($A915="","",$A915&amp;"-"&amp;'Template Setup'!$C$16)</f>
        <v/>
      </c>
      <c r="R915" s="24" t="str">
        <f t="shared" si="57"/>
        <v/>
      </c>
      <c r="S915" s="24"/>
      <c r="T915" s="24" t="str">
        <f t="shared" si="58"/>
        <v/>
      </c>
      <c r="U915" s="6" t="str">
        <f t="shared" si="60"/>
        <v/>
      </c>
    </row>
    <row r="916" spans="1:21">
      <c r="A916" s="11"/>
      <c r="B916" s="11"/>
      <c r="C916" s="11"/>
      <c r="D916" s="11" t="str">
        <f>IF($A916="","",_xlfn.TEXTJOIN(", ",TRUE,IF($G916&gt;0,'Template Setup'!$C$4,""),IF($H916&gt;0,'Template Setup'!$C$5,""),IF($I916&gt;0,'Template Setup'!$C$6,""),IF($J916&gt;0,'Template Setup'!$C$7,""),IF($K916&gt;0,'Template Setup'!$C$8,"")))</f>
        <v/>
      </c>
      <c r="E916" s="6" t="str" cm="1">
        <f t="array" ref="E916">IF($A916="","",_xlfn.LET(_xlpm.sheets,CHOOSE({1,2,3,4,5},'Template Setup'!$C$4,'Template Setup'!$C$5,'Template Setup'!$C$6,'Template Setup'!$C$7,'Template Setup'!$C$8),_xlpm.nums,CHOOSE({1,2,3,4,5},$L916,$M916,$N916,$O916,$P916),_xlpm.qtys,CHOOSE({1,2,3,4,5},$G916,$H916,$I916,$J916,$K916),_xlpm.validNums,_xlfn._xlws.FILTER(_xlpm.nums,_xlpm.qtys&gt;0),_xlpm.validSheets,_xlfn._xlws.FILTER(_xlpm.sheets,_xlpm.qtys&gt;0),_xlpm.mx,IFERROR(MAX(_xlpm.validNums),0),IF(_xlpm.mx=0,"",INDEX(_xlpm.validSheets,MATCH(_xlpm.mx,_xlpm.validNums,0))&amp;" (+"&amp;$R916&amp;")")))</f>
        <v/>
      </c>
      <c r="F916" s="11" t="str">
        <f t="shared" si="59"/>
        <v/>
      </c>
      <c r="G916" s="12" t="str">
        <f ca="1">IF($A916="","",IFERROR(SUMIF(INDIRECT("'"&amp;'Template Setup'!$C$4&amp;"'!C:C"),$A916,INDIRECT("'"&amp;'Template Setup'!$C$4&amp;"'!A:A")),0))</f>
        <v/>
      </c>
      <c r="H916" s="12" t="str">
        <f ca="1">IF($A916="","",IFERROR(SUMIF(INDIRECT("'"&amp;'Template Setup'!$C$5&amp;"'!C:C"),$A916,INDIRECT("'"&amp;'Template Setup'!$C$5&amp;"'!A:A")),0))</f>
        <v/>
      </c>
      <c r="I916" s="12" t="str">
        <f ca="1">IF($A916="","",IFERROR(SUMIF(INDIRECT("'"&amp;'Template Setup'!$C$6&amp;"'!C:C"),$A916,INDIRECT("'"&amp;'Template Setup'!$C$6&amp;"'!A:A")),0))</f>
        <v/>
      </c>
      <c r="J916" s="12" t="str">
        <f ca="1">IF($A916="","",IFERROR(SUMIF(INDIRECT("'"&amp;'Template Setup'!$C$7&amp;"'!C:C"),$A916,INDIRECT("'"&amp;'Template Setup'!$C$7&amp;"'!A:A")),0))</f>
        <v/>
      </c>
      <c r="K916" s="12" t="str">
        <f ca="1">IF($A916="","",IFERROR(SUMIF(INDIRECT("'"&amp;'Template Setup'!$C$8&amp;"'!C:C"),$A916,INDIRECT("'"&amp;'Template Setup'!$C$8&amp;"'!A:A")),0))</f>
        <v/>
      </c>
      <c r="L916" s="11" t="str">
        <f>IF($A916="","",IFERROR(VALUE(MID(TRIM('Template Setup'!$C$4),FIND("-",TRIM('Template Setup'!$C$4))+1,10)),0))</f>
        <v/>
      </c>
      <c r="M916" s="11" t="str">
        <f>IF($A916="","",IFERROR(VALUE(MID(TRIM('Template Setup'!$C$5),FIND("-",TRIM('Template Setup'!$C$5))+1,10)),0))</f>
        <v/>
      </c>
      <c r="N916" s="11" t="str">
        <f>IF($A916="","",IFERROR(VALUE(MID(TRIM('Template Setup'!$C$6),FIND("-",TRIM('Template Setup'!$C$6))+1,10)),0))</f>
        <v/>
      </c>
      <c r="O916" s="11" t="str">
        <f>IF($A916="","",IFERROR(VALUE(MID(TRIM('Template Setup'!$C$7),FIND("-",TRIM('Template Setup'!$C$7))+1,10)),0))</f>
        <v/>
      </c>
      <c r="P916" s="11" t="str">
        <f>IF($A916="","",IFERROR(VALUE(MID(TRIM('Template Setup'!$C$8),FIND("-",TRIM('Template Setup'!$C$8))+1,10)),0))</f>
        <v/>
      </c>
      <c r="Q916" s="9" t="str">
        <f>IF($A916="","",$A916&amp;"-"&amp;'Template Setup'!$C$16)</f>
        <v/>
      </c>
      <c r="R916" s="24" t="str">
        <f t="shared" si="57"/>
        <v/>
      </c>
      <c r="S916" s="24"/>
      <c r="T916" s="24" t="str">
        <f t="shared" si="58"/>
        <v/>
      </c>
      <c r="U916" s="6" t="str">
        <f t="shared" si="60"/>
        <v/>
      </c>
    </row>
    <row r="917" spans="1:21">
      <c r="A917" s="11"/>
      <c r="B917" s="11"/>
      <c r="C917" s="11"/>
      <c r="D917" s="11" t="str">
        <f>IF($A917="","",_xlfn.TEXTJOIN(", ",TRUE,IF($G917&gt;0,'Template Setup'!$C$4,""),IF($H917&gt;0,'Template Setup'!$C$5,""),IF($I917&gt;0,'Template Setup'!$C$6,""),IF($J917&gt;0,'Template Setup'!$C$7,""),IF($K917&gt;0,'Template Setup'!$C$8,"")))</f>
        <v/>
      </c>
      <c r="E917" s="6" t="str" cm="1">
        <f t="array" ref="E917">IF($A917="","",_xlfn.LET(_xlpm.sheets,CHOOSE({1,2,3,4,5},'Template Setup'!$C$4,'Template Setup'!$C$5,'Template Setup'!$C$6,'Template Setup'!$C$7,'Template Setup'!$C$8),_xlpm.nums,CHOOSE({1,2,3,4,5},$L917,$M917,$N917,$O917,$P917),_xlpm.qtys,CHOOSE({1,2,3,4,5},$G917,$H917,$I917,$J917,$K917),_xlpm.validNums,_xlfn._xlws.FILTER(_xlpm.nums,_xlpm.qtys&gt;0),_xlpm.validSheets,_xlfn._xlws.FILTER(_xlpm.sheets,_xlpm.qtys&gt;0),_xlpm.mx,IFERROR(MAX(_xlpm.validNums),0),IF(_xlpm.mx=0,"",INDEX(_xlpm.validSheets,MATCH(_xlpm.mx,_xlpm.validNums,0))&amp;" (+"&amp;$R917&amp;")")))</f>
        <v/>
      </c>
      <c r="F917" s="11" t="str">
        <f t="shared" si="59"/>
        <v/>
      </c>
      <c r="G917" s="12" t="str">
        <f ca="1">IF($A917="","",IFERROR(SUMIF(INDIRECT("'"&amp;'Template Setup'!$C$4&amp;"'!C:C"),$A917,INDIRECT("'"&amp;'Template Setup'!$C$4&amp;"'!A:A")),0))</f>
        <v/>
      </c>
      <c r="H917" s="12" t="str">
        <f ca="1">IF($A917="","",IFERROR(SUMIF(INDIRECT("'"&amp;'Template Setup'!$C$5&amp;"'!C:C"),$A917,INDIRECT("'"&amp;'Template Setup'!$C$5&amp;"'!A:A")),0))</f>
        <v/>
      </c>
      <c r="I917" s="12" t="str">
        <f ca="1">IF($A917="","",IFERROR(SUMIF(INDIRECT("'"&amp;'Template Setup'!$C$6&amp;"'!C:C"),$A917,INDIRECT("'"&amp;'Template Setup'!$C$6&amp;"'!A:A")),0))</f>
        <v/>
      </c>
      <c r="J917" s="12" t="str">
        <f ca="1">IF($A917="","",IFERROR(SUMIF(INDIRECT("'"&amp;'Template Setup'!$C$7&amp;"'!C:C"),$A917,INDIRECT("'"&amp;'Template Setup'!$C$7&amp;"'!A:A")),0))</f>
        <v/>
      </c>
      <c r="K917" s="12" t="str">
        <f ca="1">IF($A917="","",IFERROR(SUMIF(INDIRECT("'"&amp;'Template Setup'!$C$8&amp;"'!C:C"),$A917,INDIRECT("'"&amp;'Template Setup'!$C$8&amp;"'!A:A")),0))</f>
        <v/>
      </c>
      <c r="L917" s="11" t="str">
        <f>IF($A917="","",IFERROR(VALUE(MID(TRIM('Template Setup'!$C$4),FIND("-",TRIM('Template Setup'!$C$4))+1,10)),0))</f>
        <v/>
      </c>
      <c r="M917" s="11" t="str">
        <f>IF($A917="","",IFERROR(VALUE(MID(TRIM('Template Setup'!$C$5),FIND("-",TRIM('Template Setup'!$C$5))+1,10)),0))</f>
        <v/>
      </c>
      <c r="N917" s="11" t="str">
        <f>IF($A917="","",IFERROR(VALUE(MID(TRIM('Template Setup'!$C$6),FIND("-",TRIM('Template Setup'!$C$6))+1,10)),0))</f>
        <v/>
      </c>
      <c r="O917" s="11" t="str">
        <f>IF($A917="","",IFERROR(VALUE(MID(TRIM('Template Setup'!$C$7),FIND("-",TRIM('Template Setup'!$C$7))+1,10)),0))</f>
        <v/>
      </c>
      <c r="P917" s="11" t="str">
        <f>IF($A917="","",IFERROR(VALUE(MID(TRIM('Template Setup'!$C$8),FIND("-",TRIM('Template Setup'!$C$8))+1,10)),0))</f>
        <v/>
      </c>
      <c r="Q917" s="9" t="str">
        <f>IF($A917="","",$A917&amp;"-"&amp;'Template Setup'!$C$16)</f>
        <v/>
      </c>
      <c r="R917" s="24" t="str">
        <f t="shared" si="57"/>
        <v/>
      </c>
      <c r="S917" s="24"/>
      <c r="T917" s="24" t="str">
        <f t="shared" si="58"/>
        <v/>
      </c>
      <c r="U917" s="6" t="str">
        <f t="shared" si="60"/>
        <v/>
      </c>
    </row>
    <row r="918" spans="1:21">
      <c r="A918" s="11"/>
      <c r="B918" s="11"/>
      <c r="C918" s="11"/>
      <c r="D918" s="11" t="str">
        <f>IF($A918="","",_xlfn.TEXTJOIN(", ",TRUE,IF($G918&gt;0,'Template Setup'!$C$4,""),IF($H918&gt;0,'Template Setup'!$C$5,""),IF($I918&gt;0,'Template Setup'!$C$6,""),IF($J918&gt;0,'Template Setup'!$C$7,""),IF($K918&gt;0,'Template Setup'!$C$8,"")))</f>
        <v/>
      </c>
      <c r="E918" s="6" t="str" cm="1">
        <f t="array" ref="E918">IF($A918="","",_xlfn.LET(_xlpm.sheets,CHOOSE({1,2,3,4,5},'Template Setup'!$C$4,'Template Setup'!$C$5,'Template Setup'!$C$6,'Template Setup'!$C$7,'Template Setup'!$C$8),_xlpm.nums,CHOOSE({1,2,3,4,5},$L918,$M918,$N918,$O918,$P918),_xlpm.qtys,CHOOSE({1,2,3,4,5},$G918,$H918,$I918,$J918,$K918),_xlpm.validNums,_xlfn._xlws.FILTER(_xlpm.nums,_xlpm.qtys&gt;0),_xlpm.validSheets,_xlfn._xlws.FILTER(_xlpm.sheets,_xlpm.qtys&gt;0),_xlpm.mx,IFERROR(MAX(_xlpm.validNums),0),IF(_xlpm.mx=0,"",INDEX(_xlpm.validSheets,MATCH(_xlpm.mx,_xlpm.validNums,0))&amp;" (+"&amp;$R918&amp;")")))</f>
        <v/>
      </c>
      <c r="F918" s="11" t="str">
        <f t="shared" si="59"/>
        <v/>
      </c>
      <c r="G918" s="12" t="str">
        <f ca="1">IF($A918="","",IFERROR(SUMIF(INDIRECT("'"&amp;'Template Setup'!$C$4&amp;"'!C:C"),$A918,INDIRECT("'"&amp;'Template Setup'!$C$4&amp;"'!A:A")),0))</f>
        <v/>
      </c>
      <c r="H918" s="12" t="str">
        <f ca="1">IF($A918="","",IFERROR(SUMIF(INDIRECT("'"&amp;'Template Setup'!$C$5&amp;"'!C:C"),$A918,INDIRECT("'"&amp;'Template Setup'!$C$5&amp;"'!A:A")),0))</f>
        <v/>
      </c>
      <c r="I918" s="12" t="str">
        <f ca="1">IF($A918="","",IFERROR(SUMIF(INDIRECT("'"&amp;'Template Setup'!$C$6&amp;"'!C:C"),$A918,INDIRECT("'"&amp;'Template Setup'!$C$6&amp;"'!A:A")),0))</f>
        <v/>
      </c>
      <c r="J918" s="12" t="str">
        <f ca="1">IF($A918="","",IFERROR(SUMIF(INDIRECT("'"&amp;'Template Setup'!$C$7&amp;"'!C:C"),$A918,INDIRECT("'"&amp;'Template Setup'!$C$7&amp;"'!A:A")),0))</f>
        <v/>
      </c>
      <c r="K918" s="12" t="str">
        <f ca="1">IF($A918="","",IFERROR(SUMIF(INDIRECT("'"&amp;'Template Setup'!$C$8&amp;"'!C:C"),$A918,INDIRECT("'"&amp;'Template Setup'!$C$8&amp;"'!A:A")),0))</f>
        <v/>
      </c>
      <c r="L918" s="11" t="str">
        <f>IF($A918="","",IFERROR(VALUE(MID(TRIM('Template Setup'!$C$4),FIND("-",TRIM('Template Setup'!$C$4))+1,10)),0))</f>
        <v/>
      </c>
      <c r="M918" s="11" t="str">
        <f>IF($A918="","",IFERROR(VALUE(MID(TRIM('Template Setup'!$C$5),FIND("-",TRIM('Template Setup'!$C$5))+1,10)),0))</f>
        <v/>
      </c>
      <c r="N918" s="11" t="str">
        <f>IF($A918="","",IFERROR(VALUE(MID(TRIM('Template Setup'!$C$6),FIND("-",TRIM('Template Setup'!$C$6))+1,10)),0))</f>
        <v/>
      </c>
      <c r="O918" s="11" t="str">
        <f>IF($A918="","",IFERROR(VALUE(MID(TRIM('Template Setup'!$C$7),FIND("-",TRIM('Template Setup'!$C$7))+1,10)),0))</f>
        <v/>
      </c>
      <c r="P918" s="11" t="str">
        <f>IF($A918="","",IFERROR(VALUE(MID(TRIM('Template Setup'!$C$8),FIND("-",TRIM('Template Setup'!$C$8))+1,10)),0))</f>
        <v/>
      </c>
      <c r="Q918" s="9" t="str">
        <f>IF($A918="","",$A918&amp;"-"&amp;'Template Setup'!$C$16)</f>
        <v/>
      </c>
      <c r="R918" s="24" t="str">
        <f t="shared" si="57"/>
        <v/>
      </c>
      <c r="S918" s="24"/>
      <c r="T918" s="24" t="str">
        <f t="shared" si="58"/>
        <v/>
      </c>
      <c r="U918" s="6" t="str">
        <f t="shared" si="60"/>
        <v/>
      </c>
    </row>
    <row r="919" spans="1:21">
      <c r="A919" s="11"/>
      <c r="B919" s="11"/>
      <c r="C919" s="11"/>
      <c r="D919" s="11" t="str">
        <f>IF($A919="","",_xlfn.TEXTJOIN(", ",TRUE,IF($G919&gt;0,'Template Setup'!$C$4,""),IF($H919&gt;0,'Template Setup'!$C$5,""),IF($I919&gt;0,'Template Setup'!$C$6,""),IF($J919&gt;0,'Template Setup'!$C$7,""),IF($K919&gt;0,'Template Setup'!$C$8,"")))</f>
        <v/>
      </c>
      <c r="E919" s="6" t="str" cm="1">
        <f t="array" ref="E919">IF($A919="","",_xlfn.LET(_xlpm.sheets,CHOOSE({1,2,3,4,5},'Template Setup'!$C$4,'Template Setup'!$C$5,'Template Setup'!$C$6,'Template Setup'!$C$7,'Template Setup'!$C$8),_xlpm.nums,CHOOSE({1,2,3,4,5},$L919,$M919,$N919,$O919,$P919),_xlpm.qtys,CHOOSE({1,2,3,4,5},$G919,$H919,$I919,$J919,$K919),_xlpm.validNums,_xlfn._xlws.FILTER(_xlpm.nums,_xlpm.qtys&gt;0),_xlpm.validSheets,_xlfn._xlws.FILTER(_xlpm.sheets,_xlpm.qtys&gt;0),_xlpm.mx,IFERROR(MAX(_xlpm.validNums),0),IF(_xlpm.mx=0,"",INDEX(_xlpm.validSheets,MATCH(_xlpm.mx,_xlpm.validNums,0))&amp;" (+"&amp;$R919&amp;")")))</f>
        <v/>
      </c>
      <c r="F919" s="11" t="str">
        <f t="shared" si="59"/>
        <v/>
      </c>
      <c r="G919" s="12" t="str">
        <f ca="1">IF($A919="","",IFERROR(SUMIF(INDIRECT("'"&amp;'Template Setup'!$C$4&amp;"'!C:C"),$A919,INDIRECT("'"&amp;'Template Setup'!$C$4&amp;"'!A:A")),0))</f>
        <v/>
      </c>
      <c r="H919" s="12" t="str">
        <f ca="1">IF($A919="","",IFERROR(SUMIF(INDIRECT("'"&amp;'Template Setup'!$C$5&amp;"'!C:C"),$A919,INDIRECT("'"&amp;'Template Setup'!$C$5&amp;"'!A:A")),0))</f>
        <v/>
      </c>
      <c r="I919" s="12" t="str">
        <f ca="1">IF($A919="","",IFERROR(SUMIF(INDIRECT("'"&amp;'Template Setup'!$C$6&amp;"'!C:C"),$A919,INDIRECT("'"&amp;'Template Setup'!$C$6&amp;"'!A:A")),0))</f>
        <v/>
      </c>
      <c r="J919" s="12" t="str">
        <f ca="1">IF($A919="","",IFERROR(SUMIF(INDIRECT("'"&amp;'Template Setup'!$C$7&amp;"'!C:C"),$A919,INDIRECT("'"&amp;'Template Setup'!$C$7&amp;"'!A:A")),0))</f>
        <v/>
      </c>
      <c r="K919" s="12" t="str">
        <f ca="1">IF($A919="","",IFERROR(SUMIF(INDIRECT("'"&amp;'Template Setup'!$C$8&amp;"'!C:C"),$A919,INDIRECT("'"&amp;'Template Setup'!$C$8&amp;"'!A:A")),0))</f>
        <v/>
      </c>
      <c r="L919" s="11" t="str">
        <f>IF($A919="","",IFERROR(VALUE(MID(TRIM('Template Setup'!$C$4),FIND("-",TRIM('Template Setup'!$C$4))+1,10)),0))</f>
        <v/>
      </c>
      <c r="M919" s="11" t="str">
        <f>IF($A919="","",IFERROR(VALUE(MID(TRIM('Template Setup'!$C$5),FIND("-",TRIM('Template Setup'!$C$5))+1,10)),0))</f>
        <v/>
      </c>
      <c r="N919" s="11" t="str">
        <f>IF($A919="","",IFERROR(VALUE(MID(TRIM('Template Setup'!$C$6),FIND("-",TRIM('Template Setup'!$C$6))+1,10)),0))</f>
        <v/>
      </c>
      <c r="O919" s="11" t="str">
        <f>IF($A919="","",IFERROR(VALUE(MID(TRIM('Template Setup'!$C$7),FIND("-",TRIM('Template Setup'!$C$7))+1,10)),0))</f>
        <v/>
      </c>
      <c r="P919" s="11" t="str">
        <f>IF($A919="","",IFERROR(VALUE(MID(TRIM('Template Setup'!$C$8),FIND("-",TRIM('Template Setup'!$C$8))+1,10)),0))</f>
        <v/>
      </c>
      <c r="Q919" s="9" t="str">
        <f>IF($A919="","",$A919&amp;"-"&amp;'Template Setup'!$C$16)</f>
        <v/>
      </c>
      <c r="R919" s="24" t="str">
        <f t="shared" si="57"/>
        <v/>
      </c>
      <c r="S919" s="24"/>
      <c r="T919" s="24" t="str">
        <f t="shared" si="58"/>
        <v/>
      </c>
      <c r="U919" s="6" t="str">
        <f t="shared" si="60"/>
        <v/>
      </c>
    </row>
    <row r="920" spans="1:21">
      <c r="A920" s="11"/>
      <c r="B920" s="11"/>
      <c r="C920" s="11"/>
      <c r="D920" s="11" t="str">
        <f>IF($A920="","",_xlfn.TEXTJOIN(", ",TRUE,IF($G920&gt;0,'Template Setup'!$C$4,""),IF($H920&gt;0,'Template Setup'!$C$5,""),IF($I920&gt;0,'Template Setup'!$C$6,""),IF($J920&gt;0,'Template Setup'!$C$7,""),IF($K920&gt;0,'Template Setup'!$C$8,"")))</f>
        <v/>
      </c>
      <c r="E920" s="6" t="str" cm="1">
        <f t="array" ref="E920">IF($A920="","",_xlfn.LET(_xlpm.sheets,CHOOSE({1,2,3,4,5},'Template Setup'!$C$4,'Template Setup'!$C$5,'Template Setup'!$C$6,'Template Setup'!$C$7,'Template Setup'!$C$8),_xlpm.nums,CHOOSE({1,2,3,4,5},$L920,$M920,$N920,$O920,$P920),_xlpm.qtys,CHOOSE({1,2,3,4,5},$G920,$H920,$I920,$J920,$K920),_xlpm.validNums,_xlfn._xlws.FILTER(_xlpm.nums,_xlpm.qtys&gt;0),_xlpm.validSheets,_xlfn._xlws.FILTER(_xlpm.sheets,_xlpm.qtys&gt;0),_xlpm.mx,IFERROR(MAX(_xlpm.validNums),0),IF(_xlpm.mx=0,"",INDEX(_xlpm.validSheets,MATCH(_xlpm.mx,_xlpm.validNums,0))&amp;" (+"&amp;$R920&amp;")")))</f>
        <v/>
      </c>
      <c r="F920" s="11" t="str">
        <f t="shared" si="59"/>
        <v/>
      </c>
      <c r="G920" s="12" t="str">
        <f ca="1">IF($A920="","",IFERROR(SUMIF(INDIRECT("'"&amp;'Template Setup'!$C$4&amp;"'!C:C"),$A920,INDIRECT("'"&amp;'Template Setup'!$C$4&amp;"'!A:A")),0))</f>
        <v/>
      </c>
      <c r="H920" s="12" t="str">
        <f ca="1">IF($A920="","",IFERROR(SUMIF(INDIRECT("'"&amp;'Template Setup'!$C$5&amp;"'!C:C"),$A920,INDIRECT("'"&amp;'Template Setup'!$C$5&amp;"'!A:A")),0))</f>
        <v/>
      </c>
      <c r="I920" s="12" t="str">
        <f ca="1">IF($A920="","",IFERROR(SUMIF(INDIRECT("'"&amp;'Template Setup'!$C$6&amp;"'!C:C"),$A920,INDIRECT("'"&amp;'Template Setup'!$C$6&amp;"'!A:A")),0))</f>
        <v/>
      </c>
      <c r="J920" s="12" t="str">
        <f ca="1">IF($A920="","",IFERROR(SUMIF(INDIRECT("'"&amp;'Template Setup'!$C$7&amp;"'!C:C"),$A920,INDIRECT("'"&amp;'Template Setup'!$C$7&amp;"'!A:A")),0))</f>
        <v/>
      </c>
      <c r="K920" s="12" t="str">
        <f ca="1">IF($A920="","",IFERROR(SUMIF(INDIRECT("'"&amp;'Template Setup'!$C$8&amp;"'!C:C"),$A920,INDIRECT("'"&amp;'Template Setup'!$C$8&amp;"'!A:A")),0))</f>
        <v/>
      </c>
      <c r="L920" s="11" t="str">
        <f>IF($A920="","",IFERROR(VALUE(MID(TRIM('Template Setup'!$C$4),FIND("-",TRIM('Template Setup'!$C$4))+1,10)),0))</f>
        <v/>
      </c>
      <c r="M920" s="11" t="str">
        <f>IF($A920="","",IFERROR(VALUE(MID(TRIM('Template Setup'!$C$5),FIND("-",TRIM('Template Setup'!$C$5))+1,10)),0))</f>
        <v/>
      </c>
      <c r="N920" s="11" t="str">
        <f>IF($A920="","",IFERROR(VALUE(MID(TRIM('Template Setup'!$C$6),FIND("-",TRIM('Template Setup'!$C$6))+1,10)),0))</f>
        <v/>
      </c>
      <c r="O920" s="11" t="str">
        <f>IF($A920="","",IFERROR(VALUE(MID(TRIM('Template Setup'!$C$7),FIND("-",TRIM('Template Setup'!$C$7))+1,10)),0))</f>
        <v/>
      </c>
      <c r="P920" s="11" t="str">
        <f>IF($A920="","",IFERROR(VALUE(MID(TRIM('Template Setup'!$C$8),FIND("-",TRIM('Template Setup'!$C$8))+1,10)),0))</f>
        <v/>
      </c>
      <c r="Q920" s="9" t="str">
        <f>IF($A920="","",$A920&amp;"-"&amp;'Template Setup'!$C$16)</f>
        <v/>
      </c>
      <c r="R920" s="24" t="str">
        <f t="shared" si="57"/>
        <v/>
      </c>
      <c r="S920" s="24"/>
      <c r="T920" s="24" t="str">
        <f t="shared" si="58"/>
        <v/>
      </c>
      <c r="U920" s="6" t="str">
        <f t="shared" si="60"/>
        <v/>
      </c>
    </row>
    <row r="921" spans="1:21">
      <c r="A921" s="11"/>
      <c r="B921" s="11"/>
      <c r="C921" s="11"/>
      <c r="D921" s="11" t="str">
        <f>IF($A921="","",_xlfn.TEXTJOIN(", ",TRUE,IF($G921&gt;0,'Template Setup'!$C$4,""),IF($H921&gt;0,'Template Setup'!$C$5,""),IF($I921&gt;0,'Template Setup'!$C$6,""),IF($J921&gt;0,'Template Setup'!$C$7,""),IF($K921&gt;0,'Template Setup'!$C$8,"")))</f>
        <v/>
      </c>
      <c r="E921" s="6" t="str" cm="1">
        <f t="array" ref="E921">IF($A921="","",_xlfn.LET(_xlpm.sheets,CHOOSE({1,2,3,4,5},'Template Setup'!$C$4,'Template Setup'!$C$5,'Template Setup'!$C$6,'Template Setup'!$C$7,'Template Setup'!$C$8),_xlpm.nums,CHOOSE({1,2,3,4,5},$L921,$M921,$N921,$O921,$P921),_xlpm.qtys,CHOOSE({1,2,3,4,5},$G921,$H921,$I921,$J921,$K921),_xlpm.validNums,_xlfn._xlws.FILTER(_xlpm.nums,_xlpm.qtys&gt;0),_xlpm.validSheets,_xlfn._xlws.FILTER(_xlpm.sheets,_xlpm.qtys&gt;0),_xlpm.mx,IFERROR(MAX(_xlpm.validNums),0),IF(_xlpm.mx=0,"",INDEX(_xlpm.validSheets,MATCH(_xlpm.mx,_xlpm.validNums,0))&amp;" (+"&amp;$R921&amp;")")))</f>
        <v/>
      </c>
      <c r="F921" s="11" t="str">
        <f t="shared" si="59"/>
        <v/>
      </c>
      <c r="G921" s="12" t="str">
        <f ca="1">IF($A921="","",IFERROR(SUMIF(INDIRECT("'"&amp;'Template Setup'!$C$4&amp;"'!C:C"),$A921,INDIRECT("'"&amp;'Template Setup'!$C$4&amp;"'!A:A")),0))</f>
        <v/>
      </c>
      <c r="H921" s="12" t="str">
        <f ca="1">IF($A921="","",IFERROR(SUMIF(INDIRECT("'"&amp;'Template Setup'!$C$5&amp;"'!C:C"),$A921,INDIRECT("'"&amp;'Template Setup'!$C$5&amp;"'!A:A")),0))</f>
        <v/>
      </c>
      <c r="I921" s="12" t="str">
        <f ca="1">IF($A921="","",IFERROR(SUMIF(INDIRECT("'"&amp;'Template Setup'!$C$6&amp;"'!C:C"),$A921,INDIRECT("'"&amp;'Template Setup'!$C$6&amp;"'!A:A")),0))</f>
        <v/>
      </c>
      <c r="J921" s="12" t="str">
        <f ca="1">IF($A921="","",IFERROR(SUMIF(INDIRECT("'"&amp;'Template Setup'!$C$7&amp;"'!C:C"),$A921,INDIRECT("'"&amp;'Template Setup'!$C$7&amp;"'!A:A")),0))</f>
        <v/>
      </c>
      <c r="K921" s="12" t="str">
        <f ca="1">IF($A921="","",IFERROR(SUMIF(INDIRECT("'"&amp;'Template Setup'!$C$8&amp;"'!C:C"),$A921,INDIRECT("'"&amp;'Template Setup'!$C$8&amp;"'!A:A")),0))</f>
        <v/>
      </c>
      <c r="L921" s="11" t="str">
        <f>IF($A921="","",IFERROR(VALUE(MID(TRIM('Template Setup'!$C$4),FIND("-",TRIM('Template Setup'!$C$4))+1,10)),0))</f>
        <v/>
      </c>
      <c r="M921" s="11" t="str">
        <f>IF($A921="","",IFERROR(VALUE(MID(TRIM('Template Setup'!$C$5),FIND("-",TRIM('Template Setup'!$C$5))+1,10)),0))</f>
        <v/>
      </c>
      <c r="N921" s="11" t="str">
        <f>IF($A921="","",IFERROR(VALUE(MID(TRIM('Template Setup'!$C$6),FIND("-",TRIM('Template Setup'!$C$6))+1,10)),0))</f>
        <v/>
      </c>
      <c r="O921" s="11" t="str">
        <f>IF($A921="","",IFERROR(VALUE(MID(TRIM('Template Setup'!$C$7),FIND("-",TRIM('Template Setup'!$C$7))+1,10)),0))</f>
        <v/>
      </c>
      <c r="P921" s="11" t="str">
        <f>IF($A921="","",IFERROR(VALUE(MID(TRIM('Template Setup'!$C$8),FIND("-",TRIM('Template Setup'!$C$8))+1,10)),0))</f>
        <v/>
      </c>
      <c r="Q921" s="9" t="str">
        <f>IF($A921="","",$A921&amp;"-"&amp;'Template Setup'!$C$16)</f>
        <v/>
      </c>
      <c r="R921" s="24" t="str">
        <f t="shared" si="57"/>
        <v/>
      </c>
      <c r="S921" s="24"/>
      <c r="T921" s="24" t="str">
        <f t="shared" si="58"/>
        <v/>
      </c>
      <c r="U921" s="6" t="str">
        <f t="shared" si="60"/>
        <v/>
      </c>
    </row>
    <row r="922" spans="1:21">
      <c r="A922" s="11"/>
      <c r="B922" s="11"/>
      <c r="C922" s="11"/>
      <c r="D922" s="11" t="str">
        <f>IF($A922="","",_xlfn.TEXTJOIN(", ",TRUE,IF($G922&gt;0,'Template Setup'!$C$4,""),IF($H922&gt;0,'Template Setup'!$C$5,""),IF($I922&gt;0,'Template Setup'!$C$6,""),IF($J922&gt;0,'Template Setup'!$C$7,""),IF($K922&gt;0,'Template Setup'!$C$8,"")))</f>
        <v/>
      </c>
      <c r="E922" s="6" t="str" cm="1">
        <f t="array" ref="E922">IF($A922="","",_xlfn.LET(_xlpm.sheets,CHOOSE({1,2,3,4,5},'Template Setup'!$C$4,'Template Setup'!$C$5,'Template Setup'!$C$6,'Template Setup'!$C$7,'Template Setup'!$C$8),_xlpm.nums,CHOOSE({1,2,3,4,5},$L922,$M922,$N922,$O922,$P922),_xlpm.qtys,CHOOSE({1,2,3,4,5},$G922,$H922,$I922,$J922,$K922),_xlpm.validNums,_xlfn._xlws.FILTER(_xlpm.nums,_xlpm.qtys&gt;0),_xlpm.validSheets,_xlfn._xlws.FILTER(_xlpm.sheets,_xlpm.qtys&gt;0),_xlpm.mx,IFERROR(MAX(_xlpm.validNums),0),IF(_xlpm.mx=0,"",INDEX(_xlpm.validSheets,MATCH(_xlpm.mx,_xlpm.validNums,0))&amp;" (+"&amp;$R922&amp;")")))</f>
        <v/>
      </c>
      <c r="F922" s="11" t="str">
        <f t="shared" si="59"/>
        <v/>
      </c>
      <c r="G922" s="12" t="str">
        <f ca="1">IF($A922="","",IFERROR(SUMIF(INDIRECT("'"&amp;'Template Setup'!$C$4&amp;"'!C:C"),$A922,INDIRECT("'"&amp;'Template Setup'!$C$4&amp;"'!A:A")),0))</f>
        <v/>
      </c>
      <c r="H922" s="12" t="str">
        <f ca="1">IF($A922="","",IFERROR(SUMIF(INDIRECT("'"&amp;'Template Setup'!$C$5&amp;"'!C:C"),$A922,INDIRECT("'"&amp;'Template Setup'!$C$5&amp;"'!A:A")),0))</f>
        <v/>
      </c>
      <c r="I922" s="12" t="str">
        <f ca="1">IF($A922="","",IFERROR(SUMIF(INDIRECT("'"&amp;'Template Setup'!$C$6&amp;"'!C:C"),$A922,INDIRECT("'"&amp;'Template Setup'!$C$6&amp;"'!A:A")),0))</f>
        <v/>
      </c>
      <c r="J922" s="12" t="str">
        <f ca="1">IF($A922="","",IFERROR(SUMIF(INDIRECT("'"&amp;'Template Setup'!$C$7&amp;"'!C:C"),$A922,INDIRECT("'"&amp;'Template Setup'!$C$7&amp;"'!A:A")),0))</f>
        <v/>
      </c>
      <c r="K922" s="12" t="str">
        <f ca="1">IF($A922="","",IFERROR(SUMIF(INDIRECT("'"&amp;'Template Setup'!$C$8&amp;"'!C:C"),$A922,INDIRECT("'"&amp;'Template Setup'!$C$8&amp;"'!A:A")),0))</f>
        <v/>
      </c>
      <c r="L922" s="11" t="str">
        <f>IF($A922="","",IFERROR(VALUE(MID(TRIM('Template Setup'!$C$4),FIND("-",TRIM('Template Setup'!$C$4))+1,10)),0))</f>
        <v/>
      </c>
      <c r="M922" s="11" t="str">
        <f>IF($A922="","",IFERROR(VALUE(MID(TRIM('Template Setup'!$C$5),FIND("-",TRIM('Template Setup'!$C$5))+1,10)),0))</f>
        <v/>
      </c>
      <c r="N922" s="11" t="str">
        <f>IF($A922="","",IFERROR(VALUE(MID(TRIM('Template Setup'!$C$6),FIND("-",TRIM('Template Setup'!$C$6))+1,10)),0))</f>
        <v/>
      </c>
      <c r="O922" s="11" t="str">
        <f>IF($A922="","",IFERROR(VALUE(MID(TRIM('Template Setup'!$C$7),FIND("-",TRIM('Template Setup'!$C$7))+1,10)),0))</f>
        <v/>
      </c>
      <c r="P922" s="11" t="str">
        <f>IF($A922="","",IFERROR(VALUE(MID(TRIM('Template Setup'!$C$8),FIND("-",TRIM('Template Setup'!$C$8))+1,10)),0))</f>
        <v/>
      </c>
      <c r="Q922" s="9" t="str">
        <f>IF($A922="","",$A922&amp;"-"&amp;'Template Setup'!$C$16)</f>
        <v/>
      </c>
      <c r="R922" s="24" t="str">
        <f t="shared" si="57"/>
        <v/>
      </c>
      <c r="S922" s="24"/>
      <c r="T922" s="24" t="str">
        <f t="shared" si="58"/>
        <v/>
      </c>
      <c r="U922" s="6" t="str">
        <f t="shared" si="60"/>
        <v/>
      </c>
    </row>
    <row r="923" spans="1:21">
      <c r="A923" s="11"/>
      <c r="B923" s="11"/>
      <c r="C923" s="11"/>
      <c r="D923" s="11" t="str">
        <f>IF($A923="","",_xlfn.TEXTJOIN(", ",TRUE,IF($G923&gt;0,'Template Setup'!$C$4,""),IF($H923&gt;0,'Template Setup'!$C$5,""),IF($I923&gt;0,'Template Setup'!$C$6,""),IF($J923&gt;0,'Template Setup'!$C$7,""),IF($K923&gt;0,'Template Setup'!$C$8,"")))</f>
        <v/>
      </c>
      <c r="E923" s="6" t="str" cm="1">
        <f t="array" ref="E923">IF($A923="","",_xlfn.LET(_xlpm.sheets,CHOOSE({1,2,3,4,5},'Template Setup'!$C$4,'Template Setup'!$C$5,'Template Setup'!$C$6,'Template Setup'!$C$7,'Template Setup'!$C$8),_xlpm.nums,CHOOSE({1,2,3,4,5},$L923,$M923,$N923,$O923,$P923),_xlpm.qtys,CHOOSE({1,2,3,4,5},$G923,$H923,$I923,$J923,$K923),_xlpm.validNums,_xlfn._xlws.FILTER(_xlpm.nums,_xlpm.qtys&gt;0),_xlpm.validSheets,_xlfn._xlws.FILTER(_xlpm.sheets,_xlpm.qtys&gt;0),_xlpm.mx,IFERROR(MAX(_xlpm.validNums),0),IF(_xlpm.mx=0,"",INDEX(_xlpm.validSheets,MATCH(_xlpm.mx,_xlpm.validNums,0))&amp;" (+"&amp;$R923&amp;")")))</f>
        <v/>
      </c>
      <c r="F923" s="11" t="str">
        <f t="shared" si="59"/>
        <v/>
      </c>
      <c r="G923" s="12" t="str">
        <f ca="1">IF($A923="","",IFERROR(SUMIF(INDIRECT("'"&amp;'Template Setup'!$C$4&amp;"'!C:C"),$A923,INDIRECT("'"&amp;'Template Setup'!$C$4&amp;"'!A:A")),0))</f>
        <v/>
      </c>
      <c r="H923" s="12" t="str">
        <f ca="1">IF($A923="","",IFERROR(SUMIF(INDIRECT("'"&amp;'Template Setup'!$C$5&amp;"'!C:C"),$A923,INDIRECT("'"&amp;'Template Setup'!$C$5&amp;"'!A:A")),0))</f>
        <v/>
      </c>
      <c r="I923" s="12" t="str">
        <f ca="1">IF($A923="","",IFERROR(SUMIF(INDIRECT("'"&amp;'Template Setup'!$C$6&amp;"'!C:C"),$A923,INDIRECT("'"&amp;'Template Setup'!$C$6&amp;"'!A:A")),0))</f>
        <v/>
      </c>
      <c r="J923" s="12" t="str">
        <f ca="1">IF($A923="","",IFERROR(SUMIF(INDIRECT("'"&amp;'Template Setup'!$C$7&amp;"'!C:C"),$A923,INDIRECT("'"&amp;'Template Setup'!$C$7&amp;"'!A:A")),0))</f>
        <v/>
      </c>
      <c r="K923" s="12" t="str">
        <f ca="1">IF($A923="","",IFERROR(SUMIF(INDIRECT("'"&amp;'Template Setup'!$C$8&amp;"'!C:C"),$A923,INDIRECT("'"&amp;'Template Setup'!$C$8&amp;"'!A:A")),0))</f>
        <v/>
      </c>
      <c r="L923" s="11" t="str">
        <f>IF($A923="","",IFERROR(VALUE(MID(TRIM('Template Setup'!$C$4),FIND("-",TRIM('Template Setup'!$C$4))+1,10)),0))</f>
        <v/>
      </c>
      <c r="M923" s="11" t="str">
        <f>IF($A923="","",IFERROR(VALUE(MID(TRIM('Template Setup'!$C$5),FIND("-",TRIM('Template Setup'!$C$5))+1,10)),0))</f>
        <v/>
      </c>
      <c r="N923" s="11" t="str">
        <f>IF($A923="","",IFERROR(VALUE(MID(TRIM('Template Setup'!$C$6),FIND("-",TRIM('Template Setup'!$C$6))+1,10)),0))</f>
        <v/>
      </c>
      <c r="O923" s="11" t="str">
        <f>IF($A923="","",IFERROR(VALUE(MID(TRIM('Template Setup'!$C$7),FIND("-",TRIM('Template Setup'!$C$7))+1,10)),0))</f>
        <v/>
      </c>
      <c r="P923" s="11" t="str">
        <f>IF($A923="","",IFERROR(VALUE(MID(TRIM('Template Setup'!$C$8),FIND("-",TRIM('Template Setup'!$C$8))+1,10)),0))</f>
        <v/>
      </c>
      <c r="Q923" s="9" t="str">
        <f>IF($A923="","",$A923&amp;"-"&amp;'Template Setup'!$C$16)</f>
        <v/>
      </c>
      <c r="R923" s="24" t="str">
        <f t="shared" si="57"/>
        <v/>
      </c>
      <c r="S923" s="24"/>
      <c r="T923" s="24" t="str">
        <f t="shared" si="58"/>
        <v/>
      </c>
      <c r="U923" s="6" t="str">
        <f t="shared" si="60"/>
        <v/>
      </c>
    </row>
    <row r="924" spans="1:21">
      <c r="A924" s="11"/>
      <c r="B924" s="11"/>
      <c r="C924" s="11"/>
      <c r="D924" s="11" t="str">
        <f>IF($A924="","",_xlfn.TEXTJOIN(", ",TRUE,IF($G924&gt;0,'Template Setup'!$C$4,""),IF($H924&gt;0,'Template Setup'!$C$5,""),IF($I924&gt;0,'Template Setup'!$C$6,""),IF($J924&gt;0,'Template Setup'!$C$7,""),IF($K924&gt;0,'Template Setup'!$C$8,"")))</f>
        <v/>
      </c>
      <c r="E924" s="6" t="str" cm="1">
        <f t="array" ref="E924">IF($A924="","",_xlfn.LET(_xlpm.sheets,CHOOSE({1,2,3,4,5},'Template Setup'!$C$4,'Template Setup'!$C$5,'Template Setup'!$C$6,'Template Setup'!$C$7,'Template Setup'!$C$8),_xlpm.nums,CHOOSE({1,2,3,4,5},$L924,$M924,$N924,$O924,$P924),_xlpm.qtys,CHOOSE({1,2,3,4,5},$G924,$H924,$I924,$J924,$K924),_xlpm.validNums,_xlfn._xlws.FILTER(_xlpm.nums,_xlpm.qtys&gt;0),_xlpm.validSheets,_xlfn._xlws.FILTER(_xlpm.sheets,_xlpm.qtys&gt;0),_xlpm.mx,IFERROR(MAX(_xlpm.validNums),0),IF(_xlpm.mx=0,"",INDEX(_xlpm.validSheets,MATCH(_xlpm.mx,_xlpm.validNums,0))&amp;" (+"&amp;$R924&amp;")")))</f>
        <v/>
      </c>
      <c r="F924" s="11" t="str">
        <f t="shared" si="59"/>
        <v/>
      </c>
      <c r="G924" s="12" t="str">
        <f ca="1">IF($A924="","",IFERROR(SUMIF(INDIRECT("'"&amp;'Template Setup'!$C$4&amp;"'!C:C"),$A924,INDIRECT("'"&amp;'Template Setup'!$C$4&amp;"'!A:A")),0))</f>
        <v/>
      </c>
      <c r="H924" s="12" t="str">
        <f ca="1">IF($A924="","",IFERROR(SUMIF(INDIRECT("'"&amp;'Template Setup'!$C$5&amp;"'!C:C"),$A924,INDIRECT("'"&amp;'Template Setup'!$C$5&amp;"'!A:A")),0))</f>
        <v/>
      </c>
      <c r="I924" s="12" t="str">
        <f ca="1">IF($A924="","",IFERROR(SUMIF(INDIRECT("'"&amp;'Template Setup'!$C$6&amp;"'!C:C"),$A924,INDIRECT("'"&amp;'Template Setup'!$C$6&amp;"'!A:A")),0))</f>
        <v/>
      </c>
      <c r="J924" s="12" t="str">
        <f ca="1">IF($A924="","",IFERROR(SUMIF(INDIRECT("'"&amp;'Template Setup'!$C$7&amp;"'!C:C"),$A924,INDIRECT("'"&amp;'Template Setup'!$C$7&amp;"'!A:A")),0))</f>
        <v/>
      </c>
      <c r="K924" s="12" t="str">
        <f ca="1">IF($A924="","",IFERROR(SUMIF(INDIRECT("'"&amp;'Template Setup'!$C$8&amp;"'!C:C"),$A924,INDIRECT("'"&amp;'Template Setup'!$C$8&amp;"'!A:A")),0))</f>
        <v/>
      </c>
      <c r="L924" s="11" t="str">
        <f>IF($A924="","",IFERROR(VALUE(MID(TRIM('Template Setup'!$C$4),FIND("-",TRIM('Template Setup'!$C$4))+1,10)),0))</f>
        <v/>
      </c>
      <c r="M924" s="11" t="str">
        <f>IF($A924="","",IFERROR(VALUE(MID(TRIM('Template Setup'!$C$5),FIND("-",TRIM('Template Setup'!$C$5))+1,10)),0))</f>
        <v/>
      </c>
      <c r="N924" s="11" t="str">
        <f>IF($A924="","",IFERROR(VALUE(MID(TRIM('Template Setup'!$C$6),FIND("-",TRIM('Template Setup'!$C$6))+1,10)),0))</f>
        <v/>
      </c>
      <c r="O924" s="11" t="str">
        <f>IF($A924="","",IFERROR(VALUE(MID(TRIM('Template Setup'!$C$7),FIND("-",TRIM('Template Setup'!$C$7))+1,10)),0))</f>
        <v/>
      </c>
      <c r="P924" s="11" t="str">
        <f>IF($A924="","",IFERROR(VALUE(MID(TRIM('Template Setup'!$C$8),FIND("-",TRIM('Template Setup'!$C$8))+1,10)),0))</f>
        <v/>
      </c>
      <c r="Q924" s="9" t="str">
        <f>IF($A924="","",$A924&amp;"-"&amp;'Template Setup'!$C$16)</f>
        <v/>
      </c>
      <c r="R924" s="24" t="str">
        <f t="shared" si="57"/>
        <v/>
      </c>
      <c r="S924" s="24"/>
      <c r="T924" s="24" t="str">
        <f t="shared" si="58"/>
        <v/>
      </c>
      <c r="U924" s="6" t="str">
        <f t="shared" si="60"/>
        <v/>
      </c>
    </row>
    <row r="925" spans="1:21">
      <c r="A925" s="11"/>
      <c r="B925" s="11"/>
      <c r="C925" s="11"/>
      <c r="D925" s="11" t="str">
        <f>IF($A925="","",_xlfn.TEXTJOIN(", ",TRUE,IF($G925&gt;0,'Template Setup'!$C$4,""),IF($H925&gt;0,'Template Setup'!$C$5,""),IF($I925&gt;0,'Template Setup'!$C$6,""),IF($J925&gt;0,'Template Setup'!$C$7,""),IF($K925&gt;0,'Template Setup'!$C$8,"")))</f>
        <v/>
      </c>
      <c r="E925" s="6" t="str" cm="1">
        <f t="array" ref="E925">IF($A925="","",_xlfn.LET(_xlpm.sheets,CHOOSE({1,2,3,4,5},'Template Setup'!$C$4,'Template Setup'!$C$5,'Template Setup'!$C$6,'Template Setup'!$C$7,'Template Setup'!$C$8),_xlpm.nums,CHOOSE({1,2,3,4,5},$L925,$M925,$N925,$O925,$P925),_xlpm.qtys,CHOOSE({1,2,3,4,5},$G925,$H925,$I925,$J925,$K925),_xlpm.validNums,_xlfn._xlws.FILTER(_xlpm.nums,_xlpm.qtys&gt;0),_xlpm.validSheets,_xlfn._xlws.FILTER(_xlpm.sheets,_xlpm.qtys&gt;0),_xlpm.mx,IFERROR(MAX(_xlpm.validNums),0),IF(_xlpm.mx=0,"",INDEX(_xlpm.validSheets,MATCH(_xlpm.mx,_xlpm.validNums,0))&amp;" (+"&amp;$R925&amp;")")))</f>
        <v/>
      </c>
      <c r="F925" s="11" t="str">
        <f t="shared" si="59"/>
        <v/>
      </c>
      <c r="G925" s="12" t="str">
        <f ca="1">IF($A925="","",IFERROR(SUMIF(INDIRECT("'"&amp;'Template Setup'!$C$4&amp;"'!C:C"),$A925,INDIRECT("'"&amp;'Template Setup'!$C$4&amp;"'!A:A")),0))</f>
        <v/>
      </c>
      <c r="H925" s="12" t="str">
        <f ca="1">IF($A925="","",IFERROR(SUMIF(INDIRECT("'"&amp;'Template Setup'!$C$5&amp;"'!C:C"),$A925,INDIRECT("'"&amp;'Template Setup'!$C$5&amp;"'!A:A")),0))</f>
        <v/>
      </c>
      <c r="I925" s="12" t="str">
        <f ca="1">IF($A925="","",IFERROR(SUMIF(INDIRECT("'"&amp;'Template Setup'!$C$6&amp;"'!C:C"),$A925,INDIRECT("'"&amp;'Template Setup'!$C$6&amp;"'!A:A")),0))</f>
        <v/>
      </c>
      <c r="J925" s="12" t="str">
        <f ca="1">IF($A925="","",IFERROR(SUMIF(INDIRECT("'"&amp;'Template Setup'!$C$7&amp;"'!C:C"),$A925,INDIRECT("'"&amp;'Template Setup'!$C$7&amp;"'!A:A")),0))</f>
        <v/>
      </c>
      <c r="K925" s="12" t="str">
        <f ca="1">IF($A925="","",IFERROR(SUMIF(INDIRECT("'"&amp;'Template Setup'!$C$8&amp;"'!C:C"),$A925,INDIRECT("'"&amp;'Template Setup'!$C$8&amp;"'!A:A")),0))</f>
        <v/>
      </c>
      <c r="L925" s="11" t="str">
        <f>IF($A925="","",IFERROR(VALUE(MID(TRIM('Template Setup'!$C$4),FIND("-",TRIM('Template Setup'!$C$4))+1,10)),0))</f>
        <v/>
      </c>
      <c r="M925" s="11" t="str">
        <f>IF($A925="","",IFERROR(VALUE(MID(TRIM('Template Setup'!$C$5),FIND("-",TRIM('Template Setup'!$C$5))+1,10)),0))</f>
        <v/>
      </c>
      <c r="N925" s="11" t="str">
        <f>IF($A925="","",IFERROR(VALUE(MID(TRIM('Template Setup'!$C$6),FIND("-",TRIM('Template Setup'!$C$6))+1,10)),0))</f>
        <v/>
      </c>
      <c r="O925" s="11" t="str">
        <f>IF($A925="","",IFERROR(VALUE(MID(TRIM('Template Setup'!$C$7),FIND("-",TRIM('Template Setup'!$C$7))+1,10)),0))</f>
        <v/>
      </c>
      <c r="P925" s="11" t="str">
        <f>IF($A925="","",IFERROR(VALUE(MID(TRIM('Template Setup'!$C$8),FIND("-",TRIM('Template Setup'!$C$8))+1,10)),0))</f>
        <v/>
      </c>
      <c r="Q925" s="9" t="str">
        <f>IF($A925="","",$A925&amp;"-"&amp;'Template Setup'!$C$16)</f>
        <v/>
      </c>
      <c r="R925" s="24" t="str">
        <f t="shared" si="57"/>
        <v/>
      </c>
      <c r="S925" s="24"/>
      <c r="T925" s="24" t="str">
        <f t="shared" si="58"/>
        <v/>
      </c>
      <c r="U925" s="6" t="str">
        <f t="shared" si="60"/>
        <v/>
      </c>
    </row>
    <row r="926" spans="1:21">
      <c r="A926" s="11"/>
      <c r="B926" s="11"/>
      <c r="C926" s="11"/>
      <c r="D926" s="11" t="str">
        <f>IF($A926="","",_xlfn.TEXTJOIN(", ",TRUE,IF($G926&gt;0,'Template Setup'!$C$4,""),IF($H926&gt;0,'Template Setup'!$C$5,""),IF($I926&gt;0,'Template Setup'!$C$6,""),IF($J926&gt;0,'Template Setup'!$C$7,""),IF($K926&gt;0,'Template Setup'!$C$8,"")))</f>
        <v/>
      </c>
      <c r="E926" s="6" t="str" cm="1">
        <f t="array" ref="E926">IF($A926="","",_xlfn.LET(_xlpm.sheets,CHOOSE({1,2,3,4,5},'Template Setup'!$C$4,'Template Setup'!$C$5,'Template Setup'!$C$6,'Template Setup'!$C$7,'Template Setup'!$C$8),_xlpm.nums,CHOOSE({1,2,3,4,5},$L926,$M926,$N926,$O926,$P926),_xlpm.qtys,CHOOSE({1,2,3,4,5},$G926,$H926,$I926,$J926,$K926),_xlpm.validNums,_xlfn._xlws.FILTER(_xlpm.nums,_xlpm.qtys&gt;0),_xlpm.validSheets,_xlfn._xlws.FILTER(_xlpm.sheets,_xlpm.qtys&gt;0),_xlpm.mx,IFERROR(MAX(_xlpm.validNums),0),IF(_xlpm.mx=0,"",INDEX(_xlpm.validSheets,MATCH(_xlpm.mx,_xlpm.validNums,0))&amp;" (+"&amp;$R926&amp;")")))</f>
        <v/>
      </c>
      <c r="F926" s="11" t="str">
        <f t="shared" si="59"/>
        <v/>
      </c>
      <c r="G926" s="12" t="str">
        <f ca="1">IF($A926="","",IFERROR(SUMIF(INDIRECT("'"&amp;'Template Setup'!$C$4&amp;"'!C:C"),$A926,INDIRECT("'"&amp;'Template Setup'!$C$4&amp;"'!A:A")),0))</f>
        <v/>
      </c>
      <c r="H926" s="12" t="str">
        <f ca="1">IF($A926="","",IFERROR(SUMIF(INDIRECT("'"&amp;'Template Setup'!$C$5&amp;"'!C:C"),$A926,INDIRECT("'"&amp;'Template Setup'!$C$5&amp;"'!A:A")),0))</f>
        <v/>
      </c>
      <c r="I926" s="12" t="str">
        <f ca="1">IF($A926="","",IFERROR(SUMIF(INDIRECT("'"&amp;'Template Setup'!$C$6&amp;"'!C:C"),$A926,INDIRECT("'"&amp;'Template Setup'!$C$6&amp;"'!A:A")),0))</f>
        <v/>
      </c>
      <c r="J926" s="12" t="str">
        <f ca="1">IF($A926="","",IFERROR(SUMIF(INDIRECT("'"&amp;'Template Setup'!$C$7&amp;"'!C:C"),$A926,INDIRECT("'"&amp;'Template Setup'!$C$7&amp;"'!A:A")),0))</f>
        <v/>
      </c>
      <c r="K926" s="12" t="str">
        <f ca="1">IF($A926="","",IFERROR(SUMIF(INDIRECT("'"&amp;'Template Setup'!$C$8&amp;"'!C:C"),$A926,INDIRECT("'"&amp;'Template Setup'!$C$8&amp;"'!A:A")),0))</f>
        <v/>
      </c>
      <c r="L926" s="11" t="str">
        <f>IF($A926="","",IFERROR(VALUE(MID(TRIM('Template Setup'!$C$4),FIND("-",TRIM('Template Setup'!$C$4))+1,10)),0))</f>
        <v/>
      </c>
      <c r="M926" s="11" t="str">
        <f>IF($A926="","",IFERROR(VALUE(MID(TRIM('Template Setup'!$C$5),FIND("-",TRIM('Template Setup'!$C$5))+1,10)),0))</f>
        <v/>
      </c>
      <c r="N926" s="11" t="str">
        <f>IF($A926="","",IFERROR(VALUE(MID(TRIM('Template Setup'!$C$6),FIND("-",TRIM('Template Setup'!$C$6))+1,10)),0))</f>
        <v/>
      </c>
      <c r="O926" s="11" t="str">
        <f>IF($A926="","",IFERROR(VALUE(MID(TRIM('Template Setup'!$C$7),FIND("-",TRIM('Template Setup'!$C$7))+1,10)),0))</f>
        <v/>
      </c>
      <c r="P926" s="11" t="str">
        <f>IF($A926="","",IFERROR(VALUE(MID(TRIM('Template Setup'!$C$8),FIND("-",TRIM('Template Setup'!$C$8))+1,10)),0))</f>
        <v/>
      </c>
      <c r="Q926" s="9" t="str">
        <f>IF($A926="","",$A926&amp;"-"&amp;'Template Setup'!$C$16)</f>
        <v/>
      </c>
      <c r="R926" s="24" t="str">
        <f t="shared" si="57"/>
        <v/>
      </c>
      <c r="S926" s="24"/>
      <c r="T926" s="24" t="str">
        <f t="shared" si="58"/>
        <v/>
      </c>
      <c r="U926" s="6" t="str">
        <f t="shared" si="60"/>
        <v/>
      </c>
    </row>
    <row r="927" spans="1:21">
      <c r="A927" s="11"/>
      <c r="B927" s="11"/>
      <c r="C927" s="11"/>
      <c r="D927" s="11" t="str">
        <f>IF($A927="","",_xlfn.TEXTJOIN(", ",TRUE,IF($G927&gt;0,'Template Setup'!$C$4,""),IF($H927&gt;0,'Template Setup'!$C$5,""),IF($I927&gt;0,'Template Setup'!$C$6,""),IF($J927&gt;0,'Template Setup'!$C$7,""),IF($K927&gt;0,'Template Setup'!$C$8,"")))</f>
        <v/>
      </c>
      <c r="E927" s="6" t="str" cm="1">
        <f t="array" ref="E927">IF($A927="","",_xlfn.LET(_xlpm.sheets,CHOOSE({1,2,3,4,5},'Template Setup'!$C$4,'Template Setup'!$C$5,'Template Setup'!$C$6,'Template Setup'!$C$7,'Template Setup'!$C$8),_xlpm.nums,CHOOSE({1,2,3,4,5},$L927,$M927,$N927,$O927,$P927),_xlpm.qtys,CHOOSE({1,2,3,4,5},$G927,$H927,$I927,$J927,$K927),_xlpm.validNums,_xlfn._xlws.FILTER(_xlpm.nums,_xlpm.qtys&gt;0),_xlpm.validSheets,_xlfn._xlws.FILTER(_xlpm.sheets,_xlpm.qtys&gt;0),_xlpm.mx,IFERROR(MAX(_xlpm.validNums),0),IF(_xlpm.mx=0,"",INDEX(_xlpm.validSheets,MATCH(_xlpm.mx,_xlpm.validNums,0))&amp;" (+"&amp;$R927&amp;")")))</f>
        <v/>
      </c>
      <c r="F927" s="11" t="str">
        <f t="shared" si="59"/>
        <v/>
      </c>
      <c r="G927" s="12" t="str">
        <f ca="1">IF($A927="","",IFERROR(SUMIF(INDIRECT("'"&amp;'Template Setup'!$C$4&amp;"'!C:C"),$A927,INDIRECT("'"&amp;'Template Setup'!$C$4&amp;"'!A:A")),0))</f>
        <v/>
      </c>
      <c r="H927" s="12" t="str">
        <f ca="1">IF($A927="","",IFERROR(SUMIF(INDIRECT("'"&amp;'Template Setup'!$C$5&amp;"'!C:C"),$A927,INDIRECT("'"&amp;'Template Setup'!$C$5&amp;"'!A:A")),0))</f>
        <v/>
      </c>
      <c r="I927" s="12" t="str">
        <f ca="1">IF($A927="","",IFERROR(SUMIF(INDIRECT("'"&amp;'Template Setup'!$C$6&amp;"'!C:C"),$A927,INDIRECT("'"&amp;'Template Setup'!$C$6&amp;"'!A:A")),0))</f>
        <v/>
      </c>
      <c r="J927" s="12" t="str">
        <f ca="1">IF($A927="","",IFERROR(SUMIF(INDIRECT("'"&amp;'Template Setup'!$C$7&amp;"'!C:C"),$A927,INDIRECT("'"&amp;'Template Setup'!$C$7&amp;"'!A:A")),0))</f>
        <v/>
      </c>
      <c r="K927" s="12" t="str">
        <f ca="1">IF($A927="","",IFERROR(SUMIF(INDIRECT("'"&amp;'Template Setup'!$C$8&amp;"'!C:C"),$A927,INDIRECT("'"&amp;'Template Setup'!$C$8&amp;"'!A:A")),0))</f>
        <v/>
      </c>
      <c r="L927" s="11" t="str">
        <f>IF($A927="","",IFERROR(VALUE(MID(TRIM('Template Setup'!$C$4),FIND("-",TRIM('Template Setup'!$C$4))+1,10)),0))</f>
        <v/>
      </c>
      <c r="M927" s="11" t="str">
        <f>IF($A927="","",IFERROR(VALUE(MID(TRIM('Template Setup'!$C$5),FIND("-",TRIM('Template Setup'!$C$5))+1,10)),0))</f>
        <v/>
      </c>
      <c r="N927" s="11" t="str">
        <f>IF($A927="","",IFERROR(VALUE(MID(TRIM('Template Setup'!$C$6),FIND("-",TRIM('Template Setup'!$C$6))+1,10)),0))</f>
        <v/>
      </c>
      <c r="O927" s="11" t="str">
        <f>IF($A927="","",IFERROR(VALUE(MID(TRIM('Template Setup'!$C$7),FIND("-",TRIM('Template Setup'!$C$7))+1,10)),0))</f>
        <v/>
      </c>
      <c r="P927" s="11" t="str">
        <f>IF($A927="","",IFERROR(VALUE(MID(TRIM('Template Setup'!$C$8),FIND("-",TRIM('Template Setup'!$C$8))+1,10)),0))</f>
        <v/>
      </c>
      <c r="Q927" s="9" t="str">
        <f>IF($A927="","",$A927&amp;"-"&amp;'Template Setup'!$C$16)</f>
        <v/>
      </c>
      <c r="R927" s="24" t="str">
        <f t="shared" si="57"/>
        <v/>
      </c>
      <c r="S927" s="24"/>
      <c r="T927" s="24" t="str">
        <f t="shared" si="58"/>
        <v/>
      </c>
      <c r="U927" s="6" t="str">
        <f t="shared" si="60"/>
        <v/>
      </c>
    </row>
    <row r="928" spans="1:21">
      <c r="A928" s="11"/>
      <c r="B928" s="11"/>
      <c r="C928" s="11"/>
      <c r="D928" s="11" t="str">
        <f>IF($A928="","",_xlfn.TEXTJOIN(", ",TRUE,IF($G928&gt;0,'Template Setup'!$C$4,""),IF($H928&gt;0,'Template Setup'!$C$5,""),IF($I928&gt;0,'Template Setup'!$C$6,""),IF($J928&gt;0,'Template Setup'!$C$7,""),IF($K928&gt;0,'Template Setup'!$C$8,"")))</f>
        <v/>
      </c>
      <c r="E928" s="6" t="str" cm="1">
        <f t="array" ref="E928">IF($A928="","",_xlfn.LET(_xlpm.sheets,CHOOSE({1,2,3,4,5},'Template Setup'!$C$4,'Template Setup'!$C$5,'Template Setup'!$C$6,'Template Setup'!$C$7,'Template Setup'!$C$8),_xlpm.nums,CHOOSE({1,2,3,4,5},$L928,$M928,$N928,$O928,$P928),_xlpm.qtys,CHOOSE({1,2,3,4,5},$G928,$H928,$I928,$J928,$K928),_xlpm.validNums,_xlfn._xlws.FILTER(_xlpm.nums,_xlpm.qtys&gt;0),_xlpm.validSheets,_xlfn._xlws.FILTER(_xlpm.sheets,_xlpm.qtys&gt;0),_xlpm.mx,IFERROR(MAX(_xlpm.validNums),0),IF(_xlpm.mx=0,"",INDEX(_xlpm.validSheets,MATCH(_xlpm.mx,_xlpm.validNums,0))&amp;" (+"&amp;$R928&amp;")")))</f>
        <v/>
      </c>
      <c r="F928" s="11" t="str">
        <f t="shared" si="59"/>
        <v/>
      </c>
      <c r="G928" s="12" t="str">
        <f ca="1">IF($A928="","",IFERROR(SUMIF(INDIRECT("'"&amp;'Template Setup'!$C$4&amp;"'!C:C"),$A928,INDIRECT("'"&amp;'Template Setup'!$C$4&amp;"'!A:A")),0))</f>
        <v/>
      </c>
      <c r="H928" s="12" t="str">
        <f ca="1">IF($A928="","",IFERROR(SUMIF(INDIRECT("'"&amp;'Template Setup'!$C$5&amp;"'!C:C"),$A928,INDIRECT("'"&amp;'Template Setup'!$C$5&amp;"'!A:A")),0))</f>
        <v/>
      </c>
      <c r="I928" s="12" t="str">
        <f ca="1">IF($A928="","",IFERROR(SUMIF(INDIRECT("'"&amp;'Template Setup'!$C$6&amp;"'!C:C"),$A928,INDIRECT("'"&amp;'Template Setup'!$C$6&amp;"'!A:A")),0))</f>
        <v/>
      </c>
      <c r="J928" s="12" t="str">
        <f ca="1">IF($A928="","",IFERROR(SUMIF(INDIRECT("'"&amp;'Template Setup'!$C$7&amp;"'!C:C"),$A928,INDIRECT("'"&amp;'Template Setup'!$C$7&amp;"'!A:A")),0))</f>
        <v/>
      </c>
      <c r="K928" s="12" t="str">
        <f ca="1">IF($A928="","",IFERROR(SUMIF(INDIRECT("'"&amp;'Template Setup'!$C$8&amp;"'!C:C"),$A928,INDIRECT("'"&amp;'Template Setup'!$C$8&amp;"'!A:A")),0))</f>
        <v/>
      </c>
      <c r="L928" s="11" t="str">
        <f>IF($A928="","",IFERROR(VALUE(MID(TRIM('Template Setup'!$C$4),FIND("-",TRIM('Template Setup'!$C$4))+1,10)),0))</f>
        <v/>
      </c>
      <c r="M928" s="11" t="str">
        <f>IF($A928="","",IFERROR(VALUE(MID(TRIM('Template Setup'!$C$5),FIND("-",TRIM('Template Setup'!$C$5))+1,10)),0))</f>
        <v/>
      </c>
      <c r="N928" s="11" t="str">
        <f>IF($A928="","",IFERROR(VALUE(MID(TRIM('Template Setup'!$C$6),FIND("-",TRIM('Template Setup'!$C$6))+1,10)),0))</f>
        <v/>
      </c>
      <c r="O928" s="11" t="str">
        <f>IF($A928="","",IFERROR(VALUE(MID(TRIM('Template Setup'!$C$7),FIND("-",TRIM('Template Setup'!$C$7))+1,10)),0))</f>
        <v/>
      </c>
      <c r="P928" s="11" t="str">
        <f>IF($A928="","",IFERROR(VALUE(MID(TRIM('Template Setup'!$C$8),FIND("-",TRIM('Template Setup'!$C$8))+1,10)),0))</f>
        <v/>
      </c>
      <c r="Q928" s="9" t="str">
        <f>IF($A928="","",$A928&amp;"-"&amp;'Template Setup'!$C$16)</f>
        <v/>
      </c>
      <c r="R928" s="24" t="str">
        <f t="shared" si="57"/>
        <v/>
      </c>
      <c r="S928" s="24"/>
      <c r="T928" s="24" t="str">
        <f t="shared" si="58"/>
        <v/>
      </c>
      <c r="U928" s="6" t="str">
        <f t="shared" si="60"/>
        <v/>
      </c>
    </row>
    <row r="929" spans="1:21">
      <c r="A929" s="11"/>
      <c r="B929" s="11"/>
      <c r="C929" s="11"/>
      <c r="D929" s="11" t="str">
        <f>IF($A929="","",_xlfn.TEXTJOIN(", ",TRUE,IF($G929&gt;0,'Template Setup'!$C$4,""),IF($H929&gt;0,'Template Setup'!$C$5,""),IF($I929&gt;0,'Template Setup'!$C$6,""),IF($J929&gt;0,'Template Setup'!$C$7,""),IF($K929&gt;0,'Template Setup'!$C$8,"")))</f>
        <v/>
      </c>
      <c r="E929" s="6" t="str" cm="1">
        <f t="array" ref="E929">IF($A929="","",_xlfn.LET(_xlpm.sheets,CHOOSE({1,2,3,4,5},'Template Setup'!$C$4,'Template Setup'!$C$5,'Template Setup'!$C$6,'Template Setup'!$C$7,'Template Setup'!$C$8),_xlpm.nums,CHOOSE({1,2,3,4,5},$L929,$M929,$N929,$O929,$P929),_xlpm.qtys,CHOOSE({1,2,3,4,5},$G929,$H929,$I929,$J929,$K929),_xlpm.validNums,_xlfn._xlws.FILTER(_xlpm.nums,_xlpm.qtys&gt;0),_xlpm.validSheets,_xlfn._xlws.FILTER(_xlpm.sheets,_xlpm.qtys&gt;0),_xlpm.mx,IFERROR(MAX(_xlpm.validNums),0),IF(_xlpm.mx=0,"",INDEX(_xlpm.validSheets,MATCH(_xlpm.mx,_xlpm.validNums,0))&amp;" (+"&amp;$R929&amp;")")))</f>
        <v/>
      </c>
      <c r="F929" s="11" t="str">
        <f t="shared" si="59"/>
        <v/>
      </c>
      <c r="G929" s="12" t="str">
        <f ca="1">IF($A929="","",IFERROR(SUMIF(INDIRECT("'"&amp;'Template Setup'!$C$4&amp;"'!C:C"),$A929,INDIRECT("'"&amp;'Template Setup'!$C$4&amp;"'!A:A")),0))</f>
        <v/>
      </c>
      <c r="H929" s="12" t="str">
        <f ca="1">IF($A929="","",IFERROR(SUMIF(INDIRECT("'"&amp;'Template Setup'!$C$5&amp;"'!C:C"),$A929,INDIRECT("'"&amp;'Template Setup'!$C$5&amp;"'!A:A")),0))</f>
        <v/>
      </c>
      <c r="I929" s="12" t="str">
        <f ca="1">IF($A929="","",IFERROR(SUMIF(INDIRECT("'"&amp;'Template Setup'!$C$6&amp;"'!C:C"),$A929,INDIRECT("'"&amp;'Template Setup'!$C$6&amp;"'!A:A")),0))</f>
        <v/>
      </c>
      <c r="J929" s="12" t="str">
        <f ca="1">IF($A929="","",IFERROR(SUMIF(INDIRECT("'"&amp;'Template Setup'!$C$7&amp;"'!C:C"),$A929,INDIRECT("'"&amp;'Template Setup'!$C$7&amp;"'!A:A")),0))</f>
        <v/>
      </c>
      <c r="K929" s="12" t="str">
        <f ca="1">IF($A929="","",IFERROR(SUMIF(INDIRECT("'"&amp;'Template Setup'!$C$8&amp;"'!C:C"),$A929,INDIRECT("'"&amp;'Template Setup'!$C$8&amp;"'!A:A")),0))</f>
        <v/>
      </c>
      <c r="L929" s="11" t="str">
        <f>IF($A929="","",IFERROR(VALUE(MID(TRIM('Template Setup'!$C$4),FIND("-",TRIM('Template Setup'!$C$4))+1,10)),0))</f>
        <v/>
      </c>
      <c r="M929" s="11" t="str">
        <f>IF($A929="","",IFERROR(VALUE(MID(TRIM('Template Setup'!$C$5),FIND("-",TRIM('Template Setup'!$C$5))+1,10)),0))</f>
        <v/>
      </c>
      <c r="N929" s="11" t="str">
        <f>IF($A929="","",IFERROR(VALUE(MID(TRIM('Template Setup'!$C$6),FIND("-",TRIM('Template Setup'!$C$6))+1,10)),0))</f>
        <v/>
      </c>
      <c r="O929" s="11" t="str">
        <f>IF($A929="","",IFERROR(VALUE(MID(TRIM('Template Setup'!$C$7),FIND("-",TRIM('Template Setup'!$C$7))+1,10)),0))</f>
        <v/>
      </c>
      <c r="P929" s="11" t="str">
        <f>IF($A929="","",IFERROR(VALUE(MID(TRIM('Template Setup'!$C$8),FIND("-",TRIM('Template Setup'!$C$8))+1,10)),0))</f>
        <v/>
      </c>
      <c r="Q929" s="9" t="str">
        <f>IF($A929="","",$A929&amp;"-"&amp;'Template Setup'!$C$16)</f>
        <v/>
      </c>
      <c r="R929" s="24" t="str">
        <f t="shared" si="57"/>
        <v/>
      </c>
      <c r="S929" s="24"/>
      <c r="T929" s="24" t="str">
        <f t="shared" si="58"/>
        <v/>
      </c>
      <c r="U929" s="6" t="str">
        <f t="shared" si="60"/>
        <v/>
      </c>
    </row>
    <row r="930" spans="1:21">
      <c r="A930" s="11"/>
      <c r="B930" s="11"/>
      <c r="C930" s="11"/>
      <c r="D930" s="11" t="str">
        <f>IF($A930="","",_xlfn.TEXTJOIN(", ",TRUE,IF($G930&gt;0,'Template Setup'!$C$4,""),IF($H930&gt;0,'Template Setup'!$C$5,""),IF($I930&gt;0,'Template Setup'!$C$6,""),IF($J930&gt;0,'Template Setup'!$C$7,""),IF($K930&gt;0,'Template Setup'!$C$8,"")))</f>
        <v/>
      </c>
      <c r="E930" s="6" t="str" cm="1">
        <f t="array" ref="E930">IF($A930="","",_xlfn.LET(_xlpm.sheets,CHOOSE({1,2,3,4,5},'Template Setup'!$C$4,'Template Setup'!$C$5,'Template Setup'!$C$6,'Template Setup'!$C$7,'Template Setup'!$C$8),_xlpm.nums,CHOOSE({1,2,3,4,5},$L930,$M930,$N930,$O930,$P930),_xlpm.qtys,CHOOSE({1,2,3,4,5},$G930,$H930,$I930,$J930,$K930),_xlpm.validNums,_xlfn._xlws.FILTER(_xlpm.nums,_xlpm.qtys&gt;0),_xlpm.validSheets,_xlfn._xlws.FILTER(_xlpm.sheets,_xlpm.qtys&gt;0),_xlpm.mx,IFERROR(MAX(_xlpm.validNums),0),IF(_xlpm.mx=0,"",INDEX(_xlpm.validSheets,MATCH(_xlpm.mx,_xlpm.validNums,0))&amp;" (+"&amp;$R930&amp;")")))</f>
        <v/>
      </c>
      <c r="F930" s="11" t="str">
        <f t="shared" si="59"/>
        <v/>
      </c>
      <c r="G930" s="12" t="str">
        <f ca="1">IF($A930="","",IFERROR(SUMIF(INDIRECT("'"&amp;'Template Setup'!$C$4&amp;"'!C:C"),$A930,INDIRECT("'"&amp;'Template Setup'!$C$4&amp;"'!A:A")),0))</f>
        <v/>
      </c>
      <c r="H930" s="12" t="str">
        <f ca="1">IF($A930="","",IFERROR(SUMIF(INDIRECT("'"&amp;'Template Setup'!$C$5&amp;"'!C:C"),$A930,INDIRECT("'"&amp;'Template Setup'!$C$5&amp;"'!A:A")),0))</f>
        <v/>
      </c>
      <c r="I930" s="12" t="str">
        <f ca="1">IF($A930="","",IFERROR(SUMIF(INDIRECT("'"&amp;'Template Setup'!$C$6&amp;"'!C:C"),$A930,INDIRECT("'"&amp;'Template Setup'!$C$6&amp;"'!A:A")),0))</f>
        <v/>
      </c>
      <c r="J930" s="12" t="str">
        <f ca="1">IF($A930="","",IFERROR(SUMIF(INDIRECT("'"&amp;'Template Setup'!$C$7&amp;"'!C:C"),$A930,INDIRECT("'"&amp;'Template Setup'!$C$7&amp;"'!A:A")),0))</f>
        <v/>
      </c>
      <c r="K930" s="12" t="str">
        <f ca="1">IF($A930="","",IFERROR(SUMIF(INDIRECT("'"&amp;'Template Setup'!$C$8&amp;"'!C:C"),$A930,INDIRECT("'"&amp;'Template Setup'!$C$8&amp;"'!A:A")),0))</f>
        <v/>
      </c>
      <c r="L930" s="11" t="str">
        <f>IF($A930="","",IFERROR(VALUE(MID(TRIM('Template Setup'!$C$4),FIND("-",TRIM('Template Setup'!$C$4))+1,10)),0))</f>
        <v/>
      </c>
      <c r="M930" s="11" t="str">
        <f>IF($A930="","",IFERROR(VALUE(MID(TRIM('Template Setup'!$C$5),FIND("-",TRIM('Template Setup'!$C$5))+1,10)),0))</f>
        <v/>
      </c>
      <c r="N930" s="11" t="str">
        <f>IF($A930="","",IFERROR(VALUE(MID(TRIM('Template Setup'!$C$6),FIND("-",TRIM('Template Setup'!$C$6))+1,10)),0))</f>
        <v/>
      </c>
      <c r="O930" s="11" t="str">
        <f>IF($A930="","",IFERROR(VALUE(MID(TRIM('Template Setup'!$C$7),FIND("-",TRIM('Template Setup'!$C$7))+1,10)),0))</f>
        <v/>
      </c>
      <c r="P930" s="11" t="str">
        <f>IF($A930="","",IFERROR(VALUE(MID(TRIM('Template Setup'!$C$8),FIND("-",TRIM('Template Setup'!$C$8))+1,10)),0))</f>
        <v/>
      </c>
      <c r="Q930" s="9" t="str">
        <f>IF($A930="","",$A930&amp;"-"&amp;'Template Setup'!$C$16)</f>
        <v/>
      </c>
      <c r="R930" s="24" t="str">
        <f t="shared" si="57"/>
        <v/>
      </c>
      <c r="S930" s="24"/>
      <c r="T930" s="24" t="str">
        <f t="shared" si="58"/>
        <v/>
      </c>
      <c r="U930" s="6" t="str">
        <f t="shared" si="60"/>
        <v/>
      </c>
    </row>
    <row r="931" spans="1:21">
      <c r="A931" s="11"/>
      <c r="B931" s="11"/>
      <c r="C931" s="11"/>
      <c r="D931" s="11" t="str">
        <f>IF($A931="","",_xlfn.TEXTJOIN(", ",TRUE,IF($G931&gt;0,'Template Setup'!$C$4,""),IF($H931&gt;0,'Template Setup'!$C$5,""),IF($I931&gt;0,'Template Setup'!$C$6,""),IF($J931&gt;0,'Template Setup'!$C$7,""),IF($K931&gt;0,'Template Setup'!$C$8,"")))</f>
        <v/>
      </c>
      <c r="E931" s="6" t="str" cm="1">
        <f t="array" ref="E931">IF($A931="","",_xlfn.LET(_xlpm.sheets,CHOOSE({1,2,3,4,5},'Template Setup'!$C$4,'Template Setup'!$C$5,'Template Setup'!$C$6,'Template Setup'!$C$7,'Template Setup'!$C$8),_xlpm.nums,CHOOSE({1,2,3,4,5},$L931,$M931,$N931,$O931,$P931),_xlpm.qtys,CHOOSE({1,2,3,4,5},$G931,$H931,$I931,$J931,$K931),_xlpm.validNums,_xlfn._xlws.FILTER(_xlpm.nums,_xlpm.qtys&gt;0),_xlpm.validSheets,_xlfn._xlws.FILTER(_xlpm.sheets,_xlpm.qtys&gt;0),_xlpm.mx,IFERROR(MAX(_xlpm.validNums),0),IF(_xlpm.mx=0,"",INDEX(_xlpm.validSheets,MATCH(_xlpm.mx,_xlpm.validNums,0))&amp;" (+"&amp;$R931&amp;")")))</f>
        <v/>
      </c>
      <c r="F931" s="11" t="str">
        <f t="shared" si="59"/>
        <v/>
      </c>
      <c r="G931" s="12" t="str">
        <f ca="1">IF($A931="","",IFERROR(SUMIF(INDIRECT("'"&amp;'Template Setup'!$C$4&amp;"'!C:C"),$A931,INDIRECT("'"&amp;'Template Setup'!$C$4&amp;"'!A:A")),0))</f>
        <v/>
      </c>
      <c r="H931" s="12" t="str">
        <f ca="1">IF($A931="","",IFERROR(SUMIF(INDIRECT("'"&amp;'Template Setup'!$C$5&amp;"'!C:C"),$A931,INDIRECT("'"&amp;'Template Setup'!$C$5&amp;"'!A:A")),0))</f>
        <v/>
      </c>
      <c r="I931" s="12" t="str">
        <f ca="1">IF($A931="","",IFERROR(SUMIF(INDIRECT("'"&amp;'Template Setup'!$C$6&amp;"'!C:C"),$A931,INDIRECT("'"&amp;'Template Setup'!$C$6&amp;"'!A:A")),0))</f>
        <v/>
      </c>
      <c r="J931" s="12" t="str">
        <f ca="1">IF($A931="","",IFERROR(SUMIF(INDIRECT("'"&amp;'Template Setup'!$C$7&amp;"'!C:C"),$A931,INDIRECT("'"&amp;'Template Setup'!$C$7&amp;"'!A:A")),0))</f>
        <v/>
      </c>
      <c r="K931" s="12" t="str">
        <f ca="1">IF($A931="","",IFERROR(SUMIF(INDIRECT("'"&amp;'Template Setup'!$C$8&amp;"'!C:C"),$A931,INDIRECT("'"&amp;'Template Setup'!$C$8&amp;"'!A:A")),0))</f>
        <v/>
      </c>
      <c r="L931" s="11" t="str">
        <f>IF($A931="","",IFERROR(VALUE(MID(TRIM('Template Setup'!$C$4),FIND("-",TRIM('Template Setup'!$C$4))+1,10)),0))</f>
        <v/>
      </c>
      <c r="M931" s="11" t="str">
        <f>IF($A931="","",IFERROR(VALUE(MID(TRIM('Template Setup'!$C$5),FIND("-",TRIM('Template Setup'!$C$5))+1,10)),0))</f>
        <v/>
      </c>
      <c r="N931" s="11" t="str">
        <f>IF($A931="","",IFERROR(VALUE(MID(TRIM('Template Setup'!$C$6),FIND("-",TRIM('Template Setup'!$C$6))+1,10)),0))</f>
        <v/>
      </c>
      <c r="O931" s="11" t="str">
        <f>IF($A931="","",IFERROR(VALUE(MID(TRIM('Template Setup'!$C$7),FIND("-",TRIM('Template Setup'!$C$7))+1,10)),0))</f>
        <v/>
      </c>
      <c r="P931" s="11" t="str">
        <f>IF($A931="","",IFERROR(VALUE(MID(TRIM('Template Setup'!$C$8),FIND("-",TRIM('Template Setup'!$C$8))+1,10)),0))</f>
        <v/>
      </c>
      <c r="Q931" s="9" t="str">
        <f>IF($A931="","",$A931&amp;"-"&amp;'Template Setup'!$C$16)</f>
        <v/>
      </c>
      <c r="R931" s="24" t="str">
        <f t="shared" si="57"/>
        <v/>
      </c>
      <c r="S931" s="24"/>
      <c r="T931" s="24" t="str">
        <f t="shared" si="58"/>
        <v/>
      </c>
      <c r="U931" s="6" t="str">
        <f t="shared" si="60"/>
        <v/>
      </c>
    </row>
    <row r="932" spans="1:21">
      <c r="A932" s="11"/>
      <c r="B932" s="11"/>
      <c r="C932" s="11"/>
      <c r="D932" s="11" t="str">
        <f>IF($A932="","",_xlfn.TEXTJOIN(", ",TRUE,IF($G932&gt;0,'Template Setup'!$C$4,""),IF($H932&gt;0,'Template Setup'!$C$5,""),IF($I932&gt;0,'Template Setup'!$C$6,""),IF($J932&gt;0,'Template Setup'!$C$7,""),IF($K932&gt;0,'Template Setup'!$C$8,"")))</f>
        <v/>
      </c>
      <c r="E932" s="6" t="str" cm="1">
        <f t="array" ref="E932">IF($A932="","",_xlfn.LET(_xlpm.sheets,CHOOSE({1,2,3,4,5},'Template Setup'!$C$4,'Template Setup'!$C$5,'Template Setup'!$C$6,'Template Setup'!$C$7,'Template Setup'!$C$8),_xlpm.nums,CHOOSE({1,2,3,4,5},$L932,$M932,$N932,$O932,$P932),_xlpm.qtys,CHOOSE({1,2,3,4,5},$G932,$H932,$I932,$J932,$K932),_xlpm.validNums,_xlfn._xlws.FILTER(_xlpm.nums,_xlpm.qtys&gt;0),_xlpm.validSheets,_xlfn._xlws.FILTER(_xlpm.sheets,_xlpm.qtys&gt;0),_xlpm.mx,IFERROR(MAX(_xlpm.validNums),0),IF(_xlpm.mx=0,"",INDEX(_xlpm.validSheets,MATCH(_xlpm.mx,_xlpm.validNums,0))&amp;" (+"&amp;$R932&amp;")")))</f>
        <v/>
      </c>
      <c r="F932" s="11" t="str">
        <f t="shared" si="59"/>
        <v/>
      </c>
      <c r="G932" s="12" t="str">
        <f ca="1">IF($A932="","",IFERROR(SUMIF(INDIRECT("'"&amp;'Template Setup'!$C$4&amp;"'!C:C"),$A932,INDIRECT("'"&amp;'Template Setup'!$C$4&amp;"'!A:A")),0))</f>
        <v/>
      </c>
      <c r="H932" s="12" t="str">
        <f ca="1">IF($A932="","",IFERROR(SUMIF(INDIRECT("'"&amp;'Template Setup'!$C$5&amp;"'!C:C"),$A932,INDIRECT("'"&amp;'Template Setup'!$C$5&amp;"'!A:A")),0))</f>
        <v/>
      </c>
      <c r="I932" s="12" t="str">
        <f ca="1">IF($A932="","",IFERROR(SUMIF(INDIRECT("'"&amp;'Template Setup'!$C$6&amp;"'!C:C"),$A932,INDIRECT("'"&amp;'Template Setup'!$C$6&amp;"'!A:A")),0))</f>
        <v/>
      </c>
      <c r="J932" s="12" t="str">
        <f ca="1">IF($A932="","",IFERROR(SUMIF(INDIRECT("'"&amp;'Template Setup'!$C$7&amp;"'!C:C"),$A932,INDIRECT("'"&amp;'Template Setup'!$C$7&amp;"'!A:A")),0))</f>
        <v/>
      </c>
      <c r="K932" s="12" t="str">
        <f ca="1">IF($A932="","",IFERROR(SUMIF(INDIRECT("'"&amp;'Template Setup'!$C$8&amp;"'!C:C"),$A932,INDIRECT("'"&amp;'Template Setup'!$C$8&amp;"'!A:A")),0))</f>
        <v/>
      </c>
      <c r="L932" s="11" t="str">
        <f>IF($A932="","",IFERROR(VALUE(MID(TRIM('Template Setup'!$C$4),FIND("-",TRIM('Template Setup'!$C$4))+1,10)),0))</f>
        <v/>
      </c>
      <c r="M932" s="11" t="str">
        <f>IF($A932="","",IFERROR(VALUE(MID(TRIM('Template Setup'!$C$5),FIND("-",TRIM('Template Setup'!$C$5))+1,10)),0))</f>
        <v/>
      </c>
      <c r="N932" s="11" t="str">
        <f>IF($A932="","",IFERROR(VALUE(MID(TRIM('Template Setup'!$C$6),FIND("-",TRIM('Template Setup'!$C$6))+1,10)),0))</f>
        <v/>
      </c>
      <c r="O932" s="11" t="str">
        <f>IF($A932="","",IFERROR(VALUE(MID(TRIM('Template Setup'!$C$7),FIND("-",TRIM('Template Setup'!$C$7))+1,10)),0))</f>
        <v/>
      </c>
      <c r="P932" s="11" t="str">
        <f>IF($A932="","",IFERROR(VALUE(MID(TRIM('Template Setup'!$C$8),FIND("-",TRIM('Template Setup'!$C$8))+1,10)),0))</f>
        <v/>
      </c>
      <c r="Q932" s="9" t="str">
        <f>IF($A932="","",$A932&amp;"-"&amp;'Template Setup'!$C$16)</f>
        <v/>
      </c>
      <c r="R932" s="24" t="str">
        <f t="shared" si="57"/>
        <v/>
      </c>
      <c r="S932" s="24"/>
      <c r="T932" s="24" t="str">
        <f t="shared" si="58"/>
        <v/>
      </c>
      <c r="U932" s="6" t="str">
        <f t="shared" si="60"/>
        <v/>
      </c>
    </row>
    <row r="933" spans="1:21">
      <c r="A933" s="11"/>
      <c r="B933" s="11"/>
      <c r="C933" s="11"/>
      <c r="D933" s="11" t="str">
        <f>IF($A933="","",_xlfn.TEXTJOIN(", ",TRUE,IF($G933&gt;0,'Template Setup'!$C$4,""),IF($H933&gt;0,'Template Setup'!$C$5,""),IF($I933&gt;0,'Template Setup'!$C$6,""),IF($J933&gt;0,'Template Setup'!$C$7,""),IF($K933&gt;0,'Template Setup'!$C$8,"")))</f>
        <v/>
      </c>
      <c r="E933" s="6" t="str" cm="1">
        <f t="array" ref="E933">IF($A933="","",_xlfn.LET(_xlpm.sheets,CHOOSE({1,2,3,4,5},'Template Setup'!$C$4,'Template Setup'!$C$5,'Template Setup'!$C$6,'Template Setup'!$C$7,'Template Setup'!$C$8),_xlpm.nums,CHOOSE({1,2,3,4,5},$L933,$M933,$N933,$O933,$P933),_xlpm.qtys,CHOOSE({1,2,3,4,5},$G933,$H933,$I933,$J933,$K933),_xlpm.validNums,_xlfn._xlws.FILTER(_xlpm.nums,_xlpm.qtys&gt;0),_xlpm.validSheets,_xlfn._xlws.FILTER(_xlpm.sheets,_xlpm.qtys&gt;0),_xlpm.mx,IFERROR(MAX(_xlpm.validNums),0),IF(_xlpm.mx=0,"",INDEX(_xlpm.validSheets,MATCH(_xlpm.mx,_xlpm.validNums,0))&amp;" (+"&amp;$R933&amp;")")))</f>
        <v/>
      </c>
      <c r="F933" s="11" t="str">
        <f t="shared" si="59"/>
        <v/>
      </c>
      <c r="G933" s="12" t="str">
        <f ca="1">IF($A933="","",IFERROR(SUMIF(INDIRECT("'"&amp;'Template Setup'!$C$4&amp;"'!C:C"),$A933,INDIRECT("'"&amp;'Template Setup'!$C$4&amp;"'!A:A")),0))</f>
        <v/>
      </c>
      <c r="H933" s="12" t="str">
        <f ca="1">IF($A933="","",IFERROR(SUMIF(INDIRECT("'"&amp;'Template Setup'!$C$5&amp;"'!C:C"),$A933,INDIRECT("'"&amp;'Template Setup'!$C$5&amp;"'!A:A")),0))</f>
        <v/>
      </c>
      <c r="I933" s="12" t="str">
        <f ca="1">IF($A933="","",IFERROR(SUMIF(INDIRECT("'"&amp;'Template Setup'!$C$6&amp;"'!C:C"),$A933,INDIRECT("'"&amp;'Template Setup'!$C$6&amp;"'!A:A")),0))</f>
        <v/>
      </c>
      <c r="J933" s="12" t="str">
        <f ca="1">IF($A933="","",IFERROR(SUMIF(INDIRECT("'"&amp;'Template Setup'!$C$7&amp;"'!C:C"),$A933,INDIRECT("'"&amp;'Template Setup'!$C$7&amp;"'!A:A")),0))</f>
        <v/>
      </c>
      <c r="K933" s="12" t="str">
        <f ca="1">IF($A933="","",IFERROR(SUMIF(INDIRECT("'"&amp;'Template Setup'!$C$8&amp;"'!C:C"),$A933,INDIRECT("'"&amp;'Template Setup'!$C$8&amp;"'!A:A")),0))</f>
        <v/>
      </c>
      <c r="L933" s="11" t="str">
        <f>IF($A933="","",IFERROR(VALUE(MID(TRIM('Template Setup'!$C$4),FIND("-",TRIM('Template Setup'!$C$4))+1,10)),0))</f>
        <v/>
      </c>
      <c r="M933" s="11" t="str">
        <f>IF($A933="","",IFERROR(VALUE(MID(TRIM('Template Setup'!$C$5),FIND("-",TRIM('Template Setup'!$C$5))+1,10)),0))</f>
        <v/>
      </c>
      <c r="N933" s="11" t="str">
        <f>IF($A933="","",IFERROR(VALUE(MID(TRIM('Template Setup'!$C$6),FIND("-",TRIM('Template Setup'!$C$6))+1,10)),0))</f>
        <v/>
      </c>
      <c r="O933" s="11" t="str">
        <f>IF($A933="","",IFERROR(VALUE(MID(TRIM('Template Setup'!$C$7),FIND("-",TRIM('Template Setup'!$C$7))+1,10)),0))</f>
        <v/>
      </c>
      <c r="P933" s="11" t="str">
        <f>IF($A933="","",IFERROR(VALUE(MID(TRIM('Template Setup'!$C$8),FIND("-",TRIM('Template Setup'!$C$8))+1,10)),0))</f>
        <v/>
      </c>
      <c r="Q933" s="9" t="str">
        <f>IF($A933="","",$A933&amp;"-"&amp;'Template Setup'!$C$16)</f>
        <v/>
      </c>
      <c r="R933" s="24" t="str">
        <f t="shared" si="57"/>
        <v/>
      </c>
      <c r="S933" s="24"/>
      <c r="T933" s="24" t="str">
        <f t="shared" si="58"/>
        <v/>
      </c>
      <c r="U933" s="6" t="str">
        <f t="shared" si="60"/>
        <v/>
      </c>
    </row>
    <row r="934" spans="1:21">
      <c r="A934" s="11"/>
      <c r="B934" s="11"/>
      <c r="C934" s="11"/>
      <c r="D934" s="11" t="str">
        <f>IF($A934="","",_xlfn.TEXTJOIN(", ",TRUE,IF($G934&gt;0,'Template Setup'!$C$4,""),IF($H934&gt;0,'Template Setup'!$C$5,""),IF($I934&gt;0,'Template Setup'!$C$6,""),IF($J934&gt;0,'Template Setup'!$C$7,""),IF($K934&gt;0,'Template Setup'!$C$8,"")))</f>
        <v/>
      </c>
      <c r="E934" s="6" t="str" cm="1">
        <f t="array" ref="E934">IF($A934="","",_xlfn.LET(_xlpm.sheets,CHOOSE({1,2,3,4,5},'Template Setup'!$C$4,'Template Setup'!$C$5,'Template Setup'!$C$6,'Template Setup'!$C$7,'Template Setup'!$C$8),_xlpm.nums,CHOOSE({1,2,3,4,5},$L934,$M934,$N934,$O934,$P934),_xlpm.qtys,CHOOSE({1,2,3,4,5},$G934,$H934,$I934,$J934,$K934),_xlpm.validNums,_xlfn._xlws.FILTER(_xlpm.nums,_xlpm.qtys&gt;0),_xlpm.validSheets,_xlfn._xlws.FILTER(_xlpm.sheets,_xlpm.qtys&gt;0),_xlpm.mx,IFERROR(MAX(_xlpm.validNums),0),IF(_xlpm.mx=0,"",INDEX(_xlpm.validSheets,MATCH(_xlpm.mx,_xlpm.validNums,0))&amp;" (+"&amp;$R934&amp;")")))</f>
        <v/>
      </c>
      <c r="F934" s="11" t="str">
        <f t="shared" si="59"/>
        <v/>
      </c>
      <c r="G934" s="12" t="str">
        <f ca="1">IF($A934="","",IFERROR(SUMIF(INDIRECT("'"&amp;'Template Setup'!$C$4&amp;"'!C:C"),$A934,INDIRECT("'"&amp;'Template Setup'!$C$4&amp;"'!A:A")),0))</f>
        <v/>
      </c>
      <c r="H934" s="12" t="str">
        <f ca="1">IF($A934="","",IFERROR(SUMIF(INDIRECT("'"&amp;'Template Setup'!$C$5&amp;"'!C:C"),$A934,INDIRECT("'"&amp;'Template Setup'!$C$5&amp;"'!A:A")),0))</f>
        <v/>
      </c>
      <c r="I934" s="12" t="str">
        <f ca="1">IF($A934="","",IFERROR(SUMIF(INDIRECT("'"&amp;'Template Setup'!$C$6&amp;"'!C:C"),$A934,INDIRECT("'"&amp;'Template Setup'!$C$6&amp;"'!A:A")),0))</f>
        <v/>
      </c>
      <c r="J934" s="12" t="str">
        <f ca="1">IF($A934="","",IFERROR(SUMIF(INDIRECT("'"&amp;'Template Setup'!$C$7&amp;"'!C:C"),$A934,INDIRECT("'"&amp;'Template Setup'!$C$7&amp;"'!A:A")),0))</f>
        <v/>
      </c>
      <c r="K934" s="12" t="str">
        <f ca="1">IF($A934="","",IFERROR(SUMIF(INDIRECT("'"&amp;'Template Setup'!$C$8&amp;"'!C:C"),$A934,INDIRECT("'"&amp;'Template Setup'!$C$8&amp;"'!A:A")),0))</f>
        <v/>
      </c>
      <c r="L934" s="11" t="str">
        <f>IF($A934="","",IFERROR(VALUE(MID(TRIM('Template Setup'!$C$4),FIND("-",TRIM('Template Setup'!$C$4))+1,10)),0))</f>
        <v/>
      </c>
      <c r="M934" s="11" t="str">
        <f>IF($A934="","",IFERROR(VALUE(MID(TRIM('Template Setup'!$C$5),FIND("-",TRIM('Template Setup'!$C$5))+1,10)),0))</f>
        <v/>
      </c>
      <c r="N934" s="11" t="str">
        <f>IF($A934="","",IFERROR(VALUE(MID(TRIM('Template Setup'!$C$6),FIND("-",TRIM('Template Setup'!$C$6))+1,10)),0))</f>
        <v/>
      </c>
      <c r="O934" s="11" t="str">
        <f>IF($A934="","",IFERROR(VALUE(MID(TRIM('Template Setup'!$C$7),FIND("-",TRIM('Template Setup'!$C$7))+1,10)),0))</f>
        <v/>
      </c>
      <c r="P934" s="11" t="str">
        <f>IF($A934="","",IFERROR(VALUE(MID(TRIM('Template Setup'!$C$8),FIND("-",TRIM('Template Setup'!$C$8))+1,10)),0))</f>
        <v/>
      </c>
      <c r="Q934" s="9" t="str">
        <f>IF($A934="","",$A934&amp;"-"&amp;'Template Setup'!$C$16)</f>
        <v/>
      </c>
      <c r="R934" s="24" t="str">
        <f t="shared" si="57"/>
        <v/>
      </c>
      <c r="S934" s="24"/>
      <c r="T934" s="24" t="str">
        <f t="shared" si="58"/>
        <v/>
      </c>
      <c r="U934" s="6" t="str">
        <f t="shared" si="60"/>
        <v/>
      </c>
    </row>
    <row r="935" spans="1:21">
      <c r="A935" s="11"/>
      <c r="B935" s="11"/>
      <c r="C935" s="11"/>
      <c r="D935" s="11" t="str">
        <f>IF($A935="","",_xlfn.TEXTJOIN(", ",TRUE,IF($G935&gt;0,'Template Setup'!$C$4,""),IF($H935&gt;0,'Template Setup'!$C$5,""),IF($I935&gt;0,'Template Setup'!$C$6,""),IF($J935&gt;0,'Template Setup'!$C$7,""),IF($K935&gt;0,'Template Setup'!$C$8,"")))</f>
        <v/>
      </c>
      <c r="E935" s="6" t="str" cm="1">
        <f t="array" ref="E935">IF($A935="","",_xlfn.LET(_xlpm.sheets,CHOOSE({1,2,3,4,5},'Template Setup'!$C$4,'Template Setup'!$C$5,'Template Setup'!$C$6,'Template Setup'!$C$7,'Template Setup'!$C$8),_xlpm.nums,CHOOSE({1,2,3,4,5},$L935,$M935,$N935,$O935,$P935),_xlpm.qtys,CHOOSE({1,2,3,4,5},$G935,$H935,$I935,$J935,$K935),_xlpm.validNums,_xlfn._xlws.FILTER(_xlpm.nums,_xlpm.qtys&gt;0),_xlpm.validSheets,_xlfn._xlws.FILTER(_xlpm.sheets,_xlpm.qtys&gt;0),_xlpm.mx,IFERROR(MAX(_xlpm.validNums),0),IF(_xlpm.mx=0,"",INDEX(_xlpm.validSheets,MATCH(_xlpm.mx,_xlpm.validNums,0))&amp;" (+"&amp;$R935&amp;")")))</f>
        <v/>
      </c>
      <c r="F935" s="11" t="str">
        <f t="shared" si="59"/>
        <v/>
      </c>
      <c r="G935" s="12" t="str">
        <f ca="1">IF($A935="","",IFERROR(SUMIF(INDIRECT("'"&amp;'Template Setup'!$C$4&amp;"'!C:C"),$A935,INDIRECT("'"&amp;'Template Setup'!$C$4&amp;"'!A:A")),0))</f>
        <v/>
      </c>
      <c r="H935" s="12" t="str">
        <f ca="1">IF($A935="","",IFERROR(SUMIF(INDIRECT("'"&amp;'Template Setup'!$C$5&amp;"'!C:C"),$A935,INDIRECT("'"&amp;'Template Setup'!$C$5&amp;"'!A:A")),0))</f>
        <v/>
      </c>
      <c r="I935" s="12" t="str">
        <f ca="1">IF($A935="","",IFERROR(SUMIF(INDIRECT("'"&amp;'Template Setup'!$C$6&amp;"'!C:C"),$A935,INDIRECT("'"&amp;'Template Setup'!$C$6&amp;"'!A:A")),0))</f>
        <v/>
      </c>
      <c r="J935" s="12" t="str">
        <f ca="1">IF($A935="","",IFERROR(SUMIF(INDIRECT("'"&amp;'Template Setup'!$C$7&amp;"'!C:C"),$A935,INDIRECT("'"&amp;'Template Setup'!$C$7&amp;"'!A:A")),0))</f>
        <v/>
      </c>
      <c r="K935" s="12" t="str">
        <f ca="1">IF($A935="","",IFERROR(SUMIF(INDIRECT("'"&amp;'Template Setup'!$C$8&amp;"'!C:C"),$A935,INDIRECT("'"&amp;'Template Setup'!$C$8&amp;"'!A:A")),0))</f>
        <v/>
      </c>
      <c r="L935" s="11" t="str">
        <f>IF($A935="","",IFERROR(VALUE(MID(TRIM('Template Setup'!$C$4),FIND("-",TRIM('Template Setup'!$C$4))+1,10)),0))</f>
        <v/>
      </c>
      <c r="M935" s="11" t="str">
        <f>IF($A935="","",IFERROR(VALUE(MID(TRIM('Template Setup'!$C$5),FIND("-",TRIM('Template Setup'!$C$5))+1,10)),0))</f>
        <v/>
      </c>
      <c r="N935" s="11" t="str">
        <f>IF($A935="","",IFERROR(VALUE(MID(TRIM('Template Setup'!$C$6),FIND("-",TRIM('Template Setup'!$C$6))+1,10)),0))</f>
        <v/>
      </c>
      <c r="O935" s="11" t="str">
        <f>IF($A935="","",IFERROR(VALUE(MID(TRIM('Template Setup'!$C$7),FIND("-",TRIM('Template Setup'!$C$7))+1,10)),0))</f>
        <v/>
      </c>
      <c r="P935" s="11" t="str">
        <f>IF($A935="","",IFERROR(VALUE(MID(TRIM('Template Setup'!$C$8),FIND("-",TRIM('Template Setup'!$C$8))+1,10)),0))</f>
        <v/>
      </c>
      <c r="Q935" s="9" t="str">
        <f>IF($A935="","",$A935&amp;"-"&amp;'Template Setup'!$C$16)</f>
        <v/>
      </c>
      <c r="R935" s="24" t="str">
        <f t="shared" si="57"/>
        <v/>
      </c>
      <c r="S935" s="24"/>
      <c r="T935" s="24" t="str">
        <f t="shared" si="58"/>
        <v/>
      </c>
      <c r="U935" s="6" t="str">
        <f t="shared" si="60"/>
        <v/>
      </c>
    </row>
    <row r="936" spans="1:21">
      <c r="A936" s="11"/>
      <c r="B936" s="11"/>
      <c r="C936" s="11"/>
      <c r="D936" s="11" t="str">
        <f>IF($A936="","",_xlfn.TEXTJOIN(", ",TRUE,IF($G936&gt;0,'Template Setup'!$C$4,""),IF($H936&gt;0,'Template Setup'!$C$5,""),IF($I936&gt;0,'Template Setup'!$C$6,""),IF($J936&gt;0,'Template Setup'!$C$7,""),IF($K936&gt;0,'Template Setup'!$C$8,"")))</f>
        <v/>
      </c>
      <c r="E936" s="6" t="str" cm="1">
        <f t="array" ref="E936">IF($A936="","",_xlfn.LET(_xlpm.sheets,CHOOSE({1,2,3,4,5},'Template Setup'!$C$4,'Template Setup'!$C$5,'Template Setup'!$C$6,'Template Setup'!$C$7,'Template Setup'!$C$8),_xlpm.nums,CHOOSE({1,2,3,4,5},$L936,$M936,$N936,$O936,$P936),_xlpm.qtys,CHOOSE({1,2,3,4,5},$G936,$H936,$I936,$J936,$K936),_xlpm.validNums,_xlfn._xlws.FILTER(_xlpm.nums,_xlpm.qtys&gt;0),_xlpm.validSheets,_xlfn._xlws.FILTER(_xlpm.sheets,_xlpm.qtys&gt;0),_xlpm.mx,IFERROR(MAX(_xlpm.validNums),0),IF(_xlpm.mx=0,"",INDEX(_xlpm.validSheets,MATCH(_xlpm.mx,_xlpm.validNums,0))&amp;" (+"&amp;$R936&amp;")")))</f>
        <v/>
      </c>
      <c r="F936" s="11" t="str">
        <f t="shared" si="59"/>
        <v/>
      </c>
      <c r="G936" s="12" t="str">
        <f ca="1">IF($A936="","",IFERROR(SUMIF(INDIRECT("'"&amp;'Template Setup'!$C$4&amp;"'!C:C"),$A936,INDIRECT("'"&amp;'Template Setup'!$C$4&amp;"'!A:A")),0))</f>
        <v/>
      </c>
      <c r="H936" s="12" t="str">
        <f ca="1">IF($A936="","",IFERROR(SUMIF(INDIRECT("'"&amp;'Template Setup'!$C$5&amp;"'!C:C"),$A936,INDIRECT("'"&amp;'Template Setup'!$C$5&amp;"'!A:A")),0))</f>
        <v/>
      </c>
      <c r="I936" s="12" t="str">
        <f ca="1">IF($A936="","",IFERROR(SUMIF(INDIRECT("'"&amp;'Template Setup'!$C$6&amp;"'!C:C"),$A936,INDIRECT("'"&amp;'Template Setup'!$C$6&amp;"'!A:A")),0))</f>
        <v/>
      </c>
      <c r="J936" s="12" t="str">
        <f ca="1">IF($A936="","",IFERROR(SUMIF(INDIRECT("'"&amp;'Template Setup'!$C$7&amp;"'!C:C"),$A936,INDIRECT("'"&amp;'Template Setup'!$C$7&amp;"'!A:A")),0))</f>
        <v/>
      </c>
      <c r="K936" s="12" t="str">
        <f ca="1">IF($A936="","",IFERROR(SUMIF(INDIRECT("'"&amp;'Template Setup'!$C$8&amp;"'!C:C"),$A936,INDIRECT("'"&amp;'Template Setup'!$C$8&amp;"'!A:A")),0))</f>
        <v/>
      </c>
      <c r="L936" s="11" t="str">
        <f>IF($A936="","",IFERROR(VALUE(MID(TRIM('Template Setup'!$C$4),FIND("-",TRIM('Template Setup'!$C$4))+1,10)),0))</f>
        <v/>
      </c>
      <c r="M936" s="11" t="str">
        <f>IF($A936="","",IFERROR(VALUE(MID(TRIM('Template Setup'!$C$5),FIND("-",TRIM('Template Setup'!$C$5))+1,10)),0))</f>
        <v/>
      </c>
      <c r="N936" s="11" t="str">
        <f>IF($A936="","",IFERROR(VALUE(MID(TRIM('Template Setup'!$C$6),FIND("-",TRIM('Template Setup'!$C$6))+1,10)),0))</f>
        <v/>
      </c>
      <c r="O936" s="11" t="str">
        <f>IF($A936="","",IFERROR(VALUE(MID(TRIM('Template Setup'!$C$7),FIND("-",TRIM('Template Setup'!$C$7))+1,10)),0))</f>
        <v/>
      </c>
      <c r="P936" s="11" t="str">
        <f>IF($A936="","",IFERROR(VALUE(MID(TRIM('Template Setup'!$C$8),FIND("-",TRIM('Template Setup'!$C$8))+1,10)),0))</f>
        <v/>
      </c>
      <c r="Q936" s="9" t="str">
        <f>IF($A936="","",$A936&amp;"-"&amp;'Template Setup'!$C$16)</f>
        <v/>
      </c>
      <c r="R936" s="24" t="str">
        <f t="shared" si="57"/>
        <v/>
      </c>
      <c r="S936" s="24"/>
      <c r="T936" s="24" t="str">
        <f t="shared" si="58"/>
        <v/>
      </c>
      <c r="U936" s="6" t="str">
        <f t="shared" si="60"/>
        <v/>
      </c>
    </row>
    <row r="937" spans="1:21">
      <c r="A937" s="11"/>
      <c r="B937" s="11"/>
      <c r="C937" s="11"/>
      <c r="D937" s="11" t="str">
        <f>IF($A937="","",_xlfn.TEXTJOIN(", ",TRUE,IF($G937&gt;0,'Template Setup'!$C$4,""),IF($H937&gt;0,'Template Setup'!$C$5,""),IF($I937&gt;0,'Template Setup'!$C$6,""),IF($J937&gt;0,'Template Setup'!$C$7,""),IF($K937&gt;0,'Template Setup'!$C$8,"")))</f>
        <v/>
      </c>
      <c r="E937" s="6" t="str" cm="1">
        <f t="array" ref="E937">IF($A937="","",_xlfn.LET(_xlpm.sheets,CHOOSE({1,2,3,4,5},'Template Setup'!$C$4,'Template Setup'!$C$5,'Template Setup'!$C$6,'Template Setup'!$C$7,'Template Setup'!$C$8),_xlpm.nums,CHOOSE({1,2,3,4,5},$L937,$M937,$N937,$O937,$P937),_xlpm.qtys,CHOOSE({1,2,3,4,5},$G937,$H937,$I937,$J937,$K937),_xlpm.validNums,_xlfn._xlws.FILTER(_xlpm.nums,_xlpm.qtys&gt;0),_xlpm.validSheets,_xlfn._xlws.FILTER(_xlpm.sheets,_xlpm.qtys&gt;0),_xlpm.mx,IFERROR(MAX(_xlpm.validNums),0),IF(_xlpm.mx=0,"",INDEX(_xlpm.validSheets,MATCH(_xlpm.mx,_xlpm.validNums,0))&amp;" (+"&amp;$R937&amp;")")))</f>
        <v/>
      </c>
      <c r="F937" s="11" t="str">
        <f t="shared" si="59"/>
        <v/>
      </c>
      <c r="G937" s="12" t="str">
        <f ca="1">IF($A937="","",IFERROR(SUMIF(INDIRECT("'"&amp;'Template Setup'!$C$4&amp;"'!C:C"),$A937,INDIRECT("'"&amp;'Template Setup'!$C$4&amp;"'!A:A")),0))</f>
        <v/>
      </c>
      <c r="H937" s="12" t="str">
        <f ca="1">IF($A937="","",IFERROR(SUMIF(INDIRECT("'"&amp;'Template Setup'!$C$5&amp;"'!C:C"),$A937,INDIRECT("'"&amp;'Template Setup'!$C$5&amp;"'!A:A")),0))</f>
        <v/>
      </c>
      <c r="I937" s="12" t="str">
        <f ca="1">IF($A937="","",IFERROR(SUMIF(INDIRECT("'"&amp;'Template Setup'!$C$6&amp;"'!C:C"),$A937,INDIRECT("'"&amp;'Template Setup'!$C$6&amp;"'!A:A")),0))</f>
        <v/>
      </c>
      <c r="J937" s="12" t="str">
        <f ca="1">IF($A937="","",IFERROR(SUMIF(INDIRECT("'"&amp;'Template Setup'!$C$7&amp;"'!C:C"),$A937,INDIRECT("'"&amp;'Template Setup'!$C$7&amp;"'!A:A")),0))</f>
        <v/>
      </c>
      <c r="K937" s="12" t="str">
        <f ca="1">IF($A937="","",IFERROR(SUMIF(INDIRECT("'"&amp;'Template Setup'!$C$8&amp;"'!C:C"),$A937,INDIRECT("'"&amp;'Template Setup'!$C$8&amp;"'!A:A")),0))</f>
        <v/>
      </c>
      <c r="L937" s="11" t="str">
        <f>IF($A937="","",IFERROR(VALUE(MID(TRIM('Template Setup'!$C$4),FIND("-",TRIM('Template Setup'!$C$4))+1,10)),0))</f>
        <v/>
      </c>
      <c r="M937" s="11" t="str">
        <f>IF($A937="","",IFERROR(VALUE(MID(TRIM('Template Setup'!$C$5),FIND("-",TRIM('Template Setup'!$C$5))+1,10)),0))</f>
        <v/>
      </c>
      <c r="N937" s="11" t="str">
        <f>IF($A937="","",IFERROR(VALUE(MID(TRIM('Template Setup'!$C$6),FIND("-",TRIM('Template Setup'!$C$6))+1,10)),0))</f>
        <v/>
      </c>
      <c r="O937" s="11" t="str">
        <f>IF($A937="","",IFERROR(VALUE(MID(TRIM('Template Setup'!$C$7),FIND("-",TRIM('Template Setup'!$C$7))+1,10)),0))</f>
        <v/>
      </c>
      <c r="P937" s="11" t="str">
        <f>IF($A937="","",IFERROR(VALUE(MID(TRIM('Template Setup'!$C$8),FIND("-",TRIM('Template Setup'!$C$8))+1,10)),0))</f>
        <v/>
      </c>
      <c r="Q937" s="9" t="str">
        <f>IF($A937="","",$A937&amp;"-"&amp;'Template Setup'!$C$16)</f>
        <v/>
      </c>
      <c r="R937" s="24" t="str">
        <f t="shared" si="57"/>
        <v/>
      </c>
      <c r="S937" s="24"/>
      <c r="T937" s="24" t="str">
        <f t="shared" si="58"/>
        <v/>
      </c>
      <c r="U937" s="6" t="str">
        <f t="shared" si="60"/>
        <v/>
      </c>
    </row>
    <row r="938" spans="1:21">
      <c r="A938" s="11"/>
      <c r="B938" s="11"/>
      <c r="C938" s="11"/>
      <c r="D938" s="11" t="str">
        <f>IF($A938="","",_xlfn.TEXTJOIN(", ",TRUE,IF($G938&gt;0,'Template Setup'!$C$4,""),IF($H938&gt;0,'Template Setup'!$C$5,""),IF($I938&gt;0,'Template Setup'!$C$6,""),IF($J938&gt;0,'Template Setup'!$C$7,""),IF($K938&gt;0,'Template Setup'!$C$8,"")))</f>
        <v/>
      </c>
      <c r="E938" s="6" t="str" cm="1">
        <f t="array" ref="E938">IF($A938="","",_xlfn.LET(_xlpm.sheets,CHOOSE({1,2,3,4,5},'Template Setup'!$C$4,'Template Setup'!$C$5,'Template Setup'!$C$6,'Template Setup'!$C$7,'Template Setup'!$C$8),_xlpm.nums,CHOOSE({1,2,3,4,5},$L938,$M938,$N938,$O938,$P938),_xlpm.qtys,CHOOSE({1,2,3,4,5},$G938,$H938,$I938,$J938,$K938),_xlpm.validNums,_xlfn._xlws.FILTER(_xlpm.nums,_xlpm.qtys&gt;0),_xlpm.validSheets,_xlfn._xlws.FILTER(_xlpm.sheets,_xlpm.qtys&gt;0),_xlpm.mx,IFERROR(MAX(_xlpm.validNums),0),IF(_xlpm.mx=0,"",INDEX(_xlpm.validSheets,MATCH(_xlpm.mx,_xlpm.validNums,0))&amp;" (+"&amp;$R938&amp;")")))</f>
        <v/>
      </c>
      <c r="F938" s="11" t="str">
        <f t="shared" si="59"/>
        <v/>
      </c>
      <c r="G938" s="12" t="str">
        <f ca="1">IF($A938="","",IFERROR(SUMIF(INDIRECT("'"&amp;'Template Setup'!$C$4&amp;"'!C:C"),$A938,INDIRECT("'"&amp;'Template Setup'!$C$4&amp;"'!A:A")),0))</f>
        <v/>
      </c>
      <c r="H938" s="12" t="str">
        <f ca="1">IF($A938="","",IFERROR(SUMIF(INDIRECT("'"&amp;'Template Setup'!$C$5&amp;"'!C:C"),$A938,INDIRECT("'"&amp;'Template Setup'!$C$5&amp;"'!A:A")),0))</f>
        <v/>
      </c>
      <c r="I938" s="12" t="str">
        <f ca="1">IF($A938="","",IFERROR(SUMIF(INDIRECT("'"&amp;'Template Setup'!$C$6&amp;"'!C:C"),$A938,INDIRECT("'"&amp;'Template Setup'!$C$6&amp;"'!A:A")),0))</f>
        <v/>
      </c>
      <c r="J938" s="12" t="str">
        <f ca="1">IF($A938="","",IFERROR(SUMIF(INDIRECT("'"&amp;'Template Setup'!$C$7&amp;"'!C:C"),$A938,INDIRECT("'"&amp;'Template Setup'!$C$7&amp;"'!A:A")),0))</f>
        <v/>
      </c>
      <c r="K938" s="12" t="str">
        <f ca="1">IF($A938="","",IFERROR(SUMIF(INDIRECT("'"&amp;'Template Setup'!$C$8&amp;"'!C:C"),$A938,INDIRECT("'"&amp;'Template Setup'!$C$8&amp;"'!A:A")),0))</f>
        <v/>
      </c>
      <c r="L938" s="11" t="str">
        <f>IF($A938="","",IFERROR(VALUE(MID(TRIM('Template Setup'!$C$4),FIND("-",TRIM('Template Setup'!$C$4))+1,10)),0))</f>
        <v/>
      </c>
      <c r="M938" s="11" t="str">
        <f>IF($A938="","",IFERROR(VALUE(MID(TRIM('Template Setup'!$C$5),FIND("-",TRIM('Template Setup'!$C$5))+1,10)),0))</f>
        <v/>
      </c>
      <c r="N938" s="11" t="str">
        <f>IF($A938="","",IFERROR(VALUE(MID(TRIM('Template Setup'!$C$6),FIND("-",TRIM('Template Setup'!$C$6))+1,10)),0))</f>
        <v/>
      </c>
      <c r="O938" s="11" t="str">
        <f>IF($A938="","",IFERROR(VALUE(MID(TRIM('Template Setup'!$C$7),FIND("-",TRIM('Template Setup'!$C$7))+1,10)),0))</f>
        <v/>
      </c>
      <c r="P938" s="11" t="str">
        <f>IF($A938="","",IFERROR(VALUE(MID(TRIM('Template Setup'!$C$8),FIND("-",TRIM('Template Setup'!$C$8))+1,10)),0))</f>
        <v/>
      </c>
      <c r="Q938" s="9" t="str">
        <f>IF($A938="","",$A938&amp;"-"&amp;'Template Setup'!$C$16)</f>
        <v/>
      </c>
      <c r="R938" s="24" t="str">
        <f t="shared" si="57"/>
        <v/>
      </c>
      <c r="S938" s="24"/>
      <c r="T938" s="24" t="str">
        <f t="shared" si="58"/>
        <v/>
      </c>
      <c r="U938" s="6" t="str">
        <f t="shared" si="60"/>
        <v/>
      </c>
    </row>
    <row r="939" spans="1:21">
      <c r="A939" s="11"/>
      <c r="B939" s="11"/>
      <c r="C939" s="11"/>
      <c r="D939" s="11" t="str">
        <f>IF($A939="","",_xlfn.TEXTJOIN(", ",TRUE,IF($G939&gt;0,'Template Setup'!$C$4,""),IF($H939&gt;0,'Template Setup'!$C$5,""),IF($I939&gt;0,'Template Setup'!$C$6,""),IF($J939&gt;0,'Template Setup'!$C$7,""),IF($K939&gt;0,'Template Setup'!$C$8,"")))</f>
        <v/>
      </c>
      <c r="E939" s="6" t="str" cm="1">
        <f t="array" ref="E939">IF($A939="","",_xlfn.LET(_xlpm.sheets,CHOOSE({1,2,3,4,5},'Template Setup'!$C$4,'Template Setup'!$C$5,'Template Setup'!$C$6,'Template Setup'!$C$7,'Template Setup'!$C$8),_xlpm.nums,CHOOSE({1,2,3,4,5},$L939,$M939,$N939,$O939,$P939),_xlpm.qtys,CHOOSE({1,2,3,4,5},$G939,$H939,$I939,$J939,$K939),_xlpm.validNums,_xlfn._xlws.FILTER(_xlpm.nums,_xlpm.qtys&gt;0),_xlpm.validSheets,_xlfn._xlws.FILTER(_xlpm.sheets,_xlpm.qtys&gt;0),_xlpm.mx,IFERROR(MAX(_xlpm.validNums),0),IF(_xlpm.mx=0,"",INDEX(_xlpm.validSheets,MATCH(_xlpm.mx,_xlpm.validNums,0))&amp;" (+"&amp;$R939&amp;")")))</f>
        <v/>
      </c>
      <c r="F939" s="11" t="str">
        <f t="shared" si="59"/>
        <v/>
      </c>
      <c r="G939" s="12" t="str">
        <f ca="1">IF($A939="","",IFERROR(SUMIF(INDIRECT("'"&amp;'Template Setup'!$C$4&amp;"'!C:C"),$A939,INDIRECT("'"&amp;'Template Setup'!$C$4&amp;"'!A:A")),0))</f>
        <v/>
      </c>
      <c r="H939" s="12" t="str">
        <f ca="1">IF($A939="","",IFERROR(SUMIF(INDIRECT("'"&amp;'Template Setup'!$C$5&amp;"'!C:C"),$A939,INDIRECT("'"&amp;'Template Setup'!$C$5&amp;"'!A:A")),0))</f>
        <v/>
      </c>
      <c r="I939" s="12" t="str">
        <f ca="1">IF($A939="","",IFERROR(SUMIF(INDIRECT("'"&amp;'Template Setup'!$C$6&amp;"'!C:C"),$A939,INDIRECT("'"&amp;'Template Setup'!$C$6&amp;"'!A:A")),0))</f>
        <v/>
      </c>
      <c r="J939" s="12" t="str">
        <f ca="1">IF($A939="","",IFERROR(SUMIF(INDIRECT("'"&amp;'Template Setup'!$C$7&amp;"'!C:C"),$A939,INDIRECT("'"&amp;'Template Setup'!$C$7&amp;"'!A:A")),0))</f>
        <v/>
      </c>
      <c r="K939" s="12" t="str">
        <f ca="1">IF($A939="","",IFERROR(SUMIF(INDIRECT("'"&amp;'Template Setup'!$C$8&amp;"'!C:C"),$A939,INDIRECT("'"&amp;'Template Setup'!$C$8&amp;"'!A:A")),0))</f>
        <v/>
      </c>
      <c r="L939" s="11" t="str">
        <f>IF($A939="","",IFERROR(VALUE(MID(TRIM('Template Setup'!$C$4),FIND("-",TRIM('Template Setup'!$C$4))+1,10)),0))</f>
        <v/>
      </c>
      <c r="M939" s="11" t="str">
        <f>IF($A939="","",IFERROR(VALUE(MID(TRIM('Template Setup'!$C$5),FIND("-",TRIM('Template Setup'!$C$5))+1,10)),0))</f>
        <v/>
      </c>
      <c r="N939" s="11" t="str">
        <f>IF($A939="","",IFERROR(VALUE(MID(TRIM('Template Setup'!$C$6),FIND("-",TRIM('Template Setup'!$C$6))+1,10)),0))</f>
        <v/>
      </c>
      <c r="O939" s="11" t="str">
        <f>IF($A939="","",IFERROR(VALUE(MID(TRIM('Template Setup'!$C$7),FIND("-",TRIM('Template Setup'!$C$7))+1,10)),0))</f>
        <v/>
      </c>
      <c r="P939" s="11" t="str">
        <f>IF($A939="","",IFERROR(VALUE(MID(TRIM('Template Setup'!$C$8),FIND("-",TRIM('Template Setup'!$C$8))+1,10)),0))</f>
        <v/>
      </c>
      <c r="Q939" s="9" t="str">
        <f>IF($A939="","",$A939&amp;"-"&amp;'Template Setup'!$C$16)</f>
        <v/>
      </c>
      <c r="R939" s="24" t="str">
        <f t="shared" si="57"/>
        <v/>
      </c>
      <c r="S939" s="24"/>
      <c r="T939" s="24" t="str">
        <f t="shared" si="58"/>
        <v/>
      </c>
      <c r="U939" s="6" t="str">
        <f t="shared" si="60"/>
        <v/>
      </c>
    </row>
    <row r="940" spans="1:21">
      <c r="A940" s="11"/>
      <c r="B940" s="11"/>
      <c r="C940" s="11"/>
      <c r="D940" s="11" t="str">
        <f>IF($A940="","",_xlfn.TEXTJOIN(", ",TRUE,IF($G940&gt;0,'Template Setup'!$C$4,""),IF($H940&gt;0,'Template Setup'!$C$5,""),IF($I940&gt;0,'Template Setup'!$C$6,""),IF($J940&gt;0,'Template Setup'!$C$7,""),IF($K940&gt;0,'Template Setup'!$C$8,"")))</f>
        <v/>
      </c>
      <c r="E940" s="6" t="str" cm="1">
        <f t="array" ref="E940">IF($A940="","",_xlfn.LET(_xlpm.sheets,CHOOSE({1,2,3,4,5},'Template Setup'!$C$4,'Template Setup'!$C$5,'Template Setup'!$C$6,'Template Setup'!$C$7,'Template Setup'!$C$8),_xlpm.nums,CHOOSE({1,2,3,4,5},$L940,$M940,$N940,$O940,$P940),_xlpm.qtys,CHOOSE({1,2,3,4,5},$G940,$H940,$I940,$J940,$K940),_xlpm.validNums,_xlfn._xlws.FILTER(_xlpm.nums,_xlpm.qtys&gt;0),_xlpm.validSheets,_xlfn._xlws.FILTER(_xlpm.sheets,_xlpm.qtys&gt;0),_xlpm.mx,IFERROR(MAX(_xlpm.validNums),0),IF(_xlpm.mx=0,"",INDEX(_xlpm.validSheets,MATCH(_xlpm.mx,_xlpm.validNums,0))&amp;" (+"&amp;$R940&amp;")")))</f>
        <v/>
      </c>
      <c r="F940" s="11" t="str">
        <f t="shared" si="59"/>
        <v/>
      </c>
      <c r="G940" s="12" t="str">
        <f ca="1">IF($A940="","",IFERROR(SUMIF(INDIRECT("'"&amp;'Template Setup'!$C$4&amp;"'!C:C"),$A940,INDIRECT("'"&amp;'Template Setup'!$C$4&amp;"'!A:A")),0))</f>
        <v/>
      </c>
      <c r="H940" s="12" t="str">
        <f ca="1">IF($A940="","",IFERROR(SUMIF(INDIRECT("'"&amp;'Template Setup'!$C$5&amp;"'!C:C"),$A940,INDIRECT("'"&amp;'Template Setup'!$C$5&amp;"'!A:A")),0))</f>
        <v/>
      </c>
      <c r="I940" s="12" t="str">
        <f ca="1">IF($A940="","",IFERROR(SUMIF(INDIRECT("'"&amp;'Template Setup'!$C$6&amp;"'!C:C"),$A940,INDIRECT("'"&amp;'Template Setup'!$C$6&amp;"'!A:A")),0))</f>
        <v/>
      </c>
      <c r="J940" s="12" t="str">
        <f ca="1">IF($A940="","",IFERROR(SUMIF(INDIRECT("'"&amp;'Template Setup'!$C$7&amp;"'!C:C"),$A940,INDIRECT("'"&amp;'Template Setup'!$C$7&amp;"'!A:A")),0))</f>
        <v/>
      </c>
      <c r="K940" s="12" t="str">
        <f ca="1">IF($A940="","",IFERROR(SUMIF(INDIRECT("'"&amp;'Template Setup'!$C$8&amp;"'!C:C"),$A940,INDIRECT("'"&amp;'Template Setup'!$C$8&amp;"'!A:A")),0))</f>
        <v/>
      </c>
      <c r="L940" s="11" t="str">
        <f>IF($A940="","",IFERROR(VALUE(MID(TRIM('Template Setup'!$C$4),FIND("-",TRIM('Template Setup'!$C$4))+1,10)),0))</f>
        <v/>
      </c>
      <c r="M940" s="11" t="str">
        <f>IF($A940="","",IFERROR(VALUE(MID(TRIM('Template Setup'!$C$5),FIND("-",TRIM('Template Setup'!$C$5))+1,10)),0))</f>
        <v/>
      </c>
      <c r="N940" s="11" t="str">
        <f>IF($A940="","",IFERROR(VALUE(MID(TRIM('Template Setup'!$C$6),FIND("-",TRIM('Template Setup'!$C$6))+1,10)),0))</f>
        <v/>
      </c>
      <c r="O940" s="11" t="str">
        <f>IF($A940="","",IFERROR(VALUE(MID(TRIM('Template Setup'!$C$7),FIND("-",TRIM('Template Setup'!$C$7))+1,10)),0))</f>
        <v/>
      </c>
      <c r="P940" s="11" t="str">
        <f>IF($A940="","",IFERROR(VALUE(MID(TRIM('Template Setup'!$C$8),FIND("-",TRIM('Template Setup'!$C$8))+1,10)),0))</f>
        <v/>
      </c>
      <c r="Q940" s="9" t="str">
        <f>IF($A940="","",$A940&amp;"-"&amp;'Template Setup'!$C$16)</f>
        <v/>
      </c>
      <c r="R940" s="24" t="str">
        <f t="shared" si="57"/>
        <v/>
      </c>
      <c r="S940" s="24"/>
      <c r="T940" s="24" t="str">
        <f t="shared" si="58"/>
        <v/>
      </c>
      <c r="U940" s="6" t="str">
        <f t="shared" si="60"/>
        <v/>
      </c>
    </row>
    <row r="941" spans="1:21">
      <c r="A941" s="11"/>
      <c r="B941" s="11"/>
      <c r="C941" s="11"/>
      <c r="D941" s="11" t="str">
        <f>IF($A941="","",_xlfn.TEXTJOIN(", ",TRUE,IF($G941&gt;0,'Template Setup'!$C$4,""),IF($H941&gt;0,'Template Setup'!$C$5,""),IF($I941&gt;0,'Template Setup'!$C$6,""),IF($J941&gt;0,'Template Setup'!$C$7,""),IF($K941&gt;0,'Template Setup'!$C$8,"")))</f>
        <v/>
      </c>
      <c r="E941" s="6" t="str" cm="1">
        <f t="array" ref="E941">IF($A941="","",_xlfn.LET(_xlpm.sheets,CHOOSE({1,2,3,4,5},'Template Setup'!$C$4,'Template Setup'!$C$5,'Template Setup'!$C$6,'Template Setup'!$C$7,'Template Setup'!$C$8),_xlpm.nums,CHOOSE({1,2,3,4,5},$L941,$M941,$N941,$O941,$P941),_xlpm.qtys,CHOOSE({1,2,3,4,5},$G941,$H941,$I941,$J941,$K941),_xlpm.validNums,_xlfn._xlws.FILTER(_xlpm.nums,_xlpm.qtys&gt;0),_xlpm.validSheets,_xlfn._xlws.FILTER(_xlpm.sheets,_xlpm.qtys&gt;0),_xlpm.mx,IFERROR(MAX(_xlpm.validNums),0),IF(_xlpm.mx=0,"",INDEX(_xlpm.validSheets,MATCH(_xlpm.mx,_xlpm.validNums,0))&amp;" (+"&amp;$R941&amp;")")))</f>
        <v/>
      </c>
      <c r="F941" s="11" t="str">
        <f t="shared" si="59"/>
        <v/>
      </c>
      <c r="G941" s="12" t="str">
        <f ca="1">IF($A941="","",IFERROR(SUMIF(INDIRECT("'"&amp;'Template Setup'!$C$4&amp;"'!C:C"),$A941,INDIRECT("'"&amp;'Template Setup'!$C$4&amp;"'!A:A")),0))</f>
        <v/>
      </c>
      <c r="H941" s="12" t="str">
        <f ca="1">IF($A941="","",IFERROR(SUMIF(INDIRECT("'"&amp;'Template Setup'!$C$5&amp;"'!C:C"),$A941,INDIRECT("'"&amp;'Template Setup'!$C$5&amp;"'!A:A")),0))</f>
        <v/>
      </c>
      <c r="I941" s="12" t="str">
        <f ca="1">IF($A941="","",IFERROR(SUMIF(INDIRECT("'"&amp;'Template Setup'!$C$6&amp;"'!C:C"),$A941,INDIRECT("'"&amp;'Template Setup'!$C$6&amp;"'!A:A")),0))</f>
        <v/>
      </c>
      <c r="J941" s="12" t="str">
        <f ca="1">IF($A941="","",IFERROR(SUMIF(INDIRECT("'"&amp;'Template Setup'!$C$7&amp;"'!C:C"),$A941,INDIRECT("'"&amp;'Template Setup'!$C$7&amp;"'!A:A")),0))</f>
        <v/>
      </c>
      <c r="K941" s="12" t="str">
        <f ca="1">IF($A941="","",IFERROR(SUMIF(INDIRECT("'"&amp;'Template Setup'!$C$8&amp;"'!C:C"),$A941,INDIRECT("'"&amp;'Template Setup'!$C$8&amp;"'!A:A")),0))</f>
        <v/>
      </c>
      <c r="L941" s="11" t="str">
        <f>IF($A941="","",IFERROR(VALUE(MID(TRIM('Template Setup'!$C$4),FIND("-",TRIM('Template Setup'!$C$4))+1,10)),0))</f>
        <v/>
      </c>
      <c r="M941" s="11" t="str">
        <f>IF($A941="","",IFERROR(VALUE(MID(TRIM('Template Setup'!$C$5),FIND("-",TRIM('Template Setup'!$C$5))+1,10)),0))</f>
        <v/>
      </c>
      <c r="N941" s="11" t="str">
        <f>IF($A941="","",IFERROR(VALUE(MID(TRIM('Template Setup'!$C$6),FIND("-",TRIM('Template Setup'!$C$6))+1,10)),0))</f>
        <v/>
      </c>
      <c r="O941" s="11" t="str">
        <f>IF($A941="","",IFERROR(VALUE(MID(TRIM('Template Setup'!$C$7),FIND("-",TRIM('Template Setup'!$C$7))+1,10)),0))</f>
        <v/>
      </c>
      <c r="P941" s="11" t="str">
        <f>IF($A941="","",IFERROR(VALUE(MID(TRIM('Template Setup'!$C$8),FIND("-",TRIM('Template Setup'!$C$8))+1,10)),0))</f>
        <v/>
      </c>
      <c r="Q941" s="9" t="str">
        <f>IF($A941="","",$A941&amp;"-"&amp;'Template Setup'!$C$16)</f>
        <v/>
      </c>
      <c r="R941" s="24" t="str">
        <f t="shared" si="57"/>
        <v/>
      </c>
      <c r="S941" s="24"/>
      <c r="T941" s="24" t="str">
        <f t="shared" si="58"/>
        <v/>
      </c>
      <c r="U941" s="6" t="str">
        <f t="shared" si="60"/>
        <v/>
      </c>
    </row>
    <row r="942" spans="1:21">
      <c r="A942" s="11"/>
      <c r="B942" s="11"/>
      <c r="C942" s="11"/>
      <c r="D942" s="11" t="str">
        <f>IF($A942="","",_xlfn.TEXTJOIN(", ",TRUE,IF($G942&gt;0,'Template Setup'!$C$4,""),IF($H942&gt;0,'Template Setup'!$C$5,""),IF($I942&gt;0,'Template Setup'!$C$6,""),IF($J942&gt;0,'Template Setup'!$C$7,""),IF($K942&gt;0,'Template Setup'!$C$8,"")))</f>
        <v/>
      </c>
      <c r="E942" s="6" t="str" cm="1">
        <f t="array" ref="E942">IF($A942="","",_xlfn.LET(_xlpm.sheets,CHOOSE({1,2,3,4,5},'Template Setup'!$C$4,'Template Setup'!$C$5,'Template Setup'!$C$6,'Template Setup'!$C$7,'Template Setup'!$C$8),_xlpm.nums,CHOOSE({1,2,3,4,5},$L942,$M942,$N942,$O942,$P942),_xlpm.qtys,CHOOSE({1,2,3,4,5},$G942,$H942,$I942,$J942,$K942),_xlpm.validNums,_xlfn._xlws.FILTER(_xlpm.nums,_xlpm.qtys&gt;0),_xlpm.validSheets,_xlfn._xlws.FILTER(_xlpm.sheets,_xlpm.qtys&gt;0),_xlpm.mx,IFERROR(MAX(_xlpm.validNums),0),IF(_xlpm.mx=0,"",INDEX(_xlpm.validSheets,MATCH(_xlpm.mx,_xlpm.validNums,0))&amp;" (+"&amp;$R942&amp;")")))</f>
        <v/>
      </c>
      <c r="F942" s="11" t="str">
        <f t="shared" si="59"/>
        <v/>
      </c>
      <c r="G942" s="12" t="str">
        <f ca="1">IF($A942="","",IFERROR(SUMIF(INDIRECT("'"&amp;'Template Setup'!$C$4&amp;"'!C:C"),$A942,INDIRECT("'"&amp;'Template Setup'!$C$4&amp;"'!A:A")),0))</f>
        <v/>
      </c>
      <c r="H942" s="12" t="str">
        <f ca="1">IF($A942="","",IFERROR(SUMIF(INDIRECT("'"&amp;'Template Setup'!$C$5&amp;"'!C:C"),$A942,INDIRECT("'"&amp;'Template Setup'!$C$5&amp;"'!A:A")),0))</f>
        <v/>
      </c>
      <c r="I942" s="12" t="str">
        <f ca="1">IF($A942="","",IFERROR(SUMIF(INDIRECT("'"&amp;'Template Setup'!$C$6&amp;"'!C:C"),$A942,INDIRECT("'"&amp;'Template Setup'!$C$6&amp;"'!A:A")),0))</f>
        <v/>
      </c>
      <c r="J942" s="12" t="str">
        <f ca="1">IF($A942="","",IFERROR(SUMIF(INDIRECT("'"&amp;'Template Setup'!$C$7&amp;"'!C:C"),$A942,INDIRECT("'"&amp;'Template Setup'!$C$7&amp;"'!A:A")),0))</f>
        <v/>
      </c>
      <c r="K942" s="12" t="str">
        <f ca="1">IF($A942="","",IFERROR(SUMIF(INDIRECT("'"&amp;'Template Setup'!$C$8&amp;"'!C:C"),$A942,INDIRECT("'"&amp;'Template Setup'!$C$8&amp;"'!A:A")),0))</f>
        <v/>
      </c>
      <c r="L942" s="11" t="str">
        <f>IF($A942="","",IFERROR(VALUE(MID(TRIM('Template Setup'!$C$4),FIND("-",TRIM('Template Setup'!$C$4))+1,10)),0))</f>
        <v/>
      </c>
      <c r="M942" s="11" t="str">
        <f>IF($A942="","",IFERROR(VALUE(MID(TRIM('Template Setup'!$C$5),FIND("-",TRIM('Template Setup'!$C$5))+1,10)),0))</f>
        <v/>
      </c>
      <c r="N942" s="11" t="str">
        <f>IF($A942="","",IFERROR(VALUE(MID(TRIM('Template Setup'!$C$6),FIND("-",TRIM('Template Setup'!$C$6))+1,10)),0))</f>
        <v/>
      </c>
      <c r="O942" s="11" t="str">
        <f>IF($A942="","",IFERROR(VALUE(MID(TRIM('Template Setup'!$C$7),FIND("-",TRIM('Template Setup'!$C$7))+1,10)),0))</f>
        <v/>
      </c>
      <c r="P942" s="11" t="str">
        <f>IF($A942="","",IFERROR(VALUE(MID(TRIM('Template Setup'!$C$8),FIND("-",TRIM('Template Setup'!$C$8))+1,10)),0))</f>
        <v/>
      </c>
      <c r="Q942" s="9" t="str">
        <f>IF($A942="","",$A942&amp;"-"&amp;'Template Setup'!$C$16)</f>
        <v/>
      </c>
      <c r="R942" s="24" t="str">
        <f t="shared" si="57"/>
        <v/>
      </c>
      <c r="S942" s="24"/>
      <c r="T942" s="24" t="str">
        <f t="shared" si="58"/>
        <v/>
      </c>
      <c r="U942" s="6" t="str">
        <f t="shared" si="60"/>
        <v/>
      </c>
    </row>
    <row r="943" spans="1:21">
      <c r="A943" s="11"/>
      <c r="B943" s="11"/>
      <c r="C943" s="11"/>
      <c r="D943" s="11" t="str">
        <f>IF($A943="","",_xlfn.TEXTJOIN(", ",TRUE,IF($G943&gt;0,'Template Setup'!$C$4,""),IF($H943&gt;0,'Template Setup'!$C$5,""),IF($I943&gt;0,'Template Setup'!$C$6,""),IF($J943&gt;0,'Template Setup'!$C$7,""),IF($K943&gt;0,'Template Setup'!$C$8,"")))</f>
        <v/>
      </c>
      <c r="E943" s="6" t="str" cm="1">
        <f t="array" ref="E943">IF($A943="","",_xlfn.LET(_xlpm.sheets,CHOOSE({1,2,3,4,5},'Template Setup'!$C$4,'Template Setup'!$C$5,'Template Setup'!$C$6,'Template Setup'!$C$7,'Template Setup'!$C$8),_xlpm.nums,CHOOSE({1,2,3,4,5},$L943,$M943,$N943,$O943,$P943),_xlpm.qtys,CHOOSE({1,2,3,4,5},$G943,$H943,$I943,$J943,$K943),_xlpm.validNums,_xlfn._xlws.FILTER(_xlpm.nums,_xlpm.qtys&gt;0),_xlpm.validSheets,_xlfn._xlws.FILTER(_xlpm.sheets,_xlpm.qtys&gt;0),_xlpm.mx,IFERROR(MAX(_xlpm.validNums),0),IF(_xlpm.mx=0,"",INDEX(_xlpm.validSheets,MATCH(_xlpm.mx,_xlpm.validNums,0))&amp;" (+"&amp;$R943&amp;")")))</f>
        <v/>
      </c>
      <c r="F943" s="11" t="str">
        <f t="shared" si="59"/>
        <v/>
      </c>
      <c r="G943" s="12" t="str">
        <f ca="1">IF($A943="","",IFERROR(SUMIF(INDIRECT("'"&amp;'Template Setup'!$C$4&amp;"'!C:C"),$A943,INDIRECT("'"&amp;'Template Setup'!$C$4&amp;"'!A:A")),0))</f>
        <v/>
      </c>
      <c r="H943" s="12" t="str">
        <f ca="1">IF($A943="","",IFERROR(SUMIF(INDIRECT("'"&amp;'Template Setup'!$C$5&amp;"'!C:C"),$A943,INDIRECT("'"&amp;'Template Setup'!$C$5&amp;"'!A:A")),0))</f>
        <v/>
      </c>
      <c r="I943" s="12" t="str">
        <f ca="1">IF($A943="","",IFERROR(SUMIF(INDIRECT("'"&amp;'Template Setup'!$C$6&amp;"'!C:C"),$A943,INDIRECT("'"&amp;'Template Setup'!$C$6&amp;"'!A:A")),0))</f>
        <v/>
      </c>
      <c r="J943" s="12" t="str">
        <f ca="1">IF($A943="","",IFERROR(SUMIF(INDIRECT("'"&amp;'Template Setup'!$C$7&amp;"'!C:C"),$A943,INDIRECT("'"&amp;'Template Setup'!$C$7&amp;"'!A:A")),0))</f>
        <v/>
      </c>
      <c r="K943" s="12" t="str">
        <f ca="1">IF($A943="","",IFERROR(SUMIF(INDIRECT("'"&amp;'Template Setup'!$C$8&amp;"'!C:C"),$A943,INDIRECT("'"&amp;'Template Setup'!$C$8&amp;"'!A:A")),0))</f>
        <v/>
      </c>
      <c r="L943" s="11" t="str">
        <f>IF($A943="","",IFERROR(VALUE(MID(TRIM('Template Setup'!$C$4),FIND("-",TRIM('Template Setup'!$C$4))+1,10)),0))</f>
        <v/>
      </c>
      <c r="M943" s="11" t="str">
        <f>IF($A943="","",IFERROR(VALUE(MID(TRIM('Template Setup'!$C$5),FIND("-",TRIM('Template Setup'!$C$5))+1,10)),0))</f>
        <v/>
      </c>
      <c r="N943" s="11" t="str">
        <f>IF($A943="","",IFERROR(VALUE(MID(TRIM('Template Setup'!$C$6),FIND("-",TRIM('Template Setup'!$C$6))+1,10)),0))</f>
        <v/>
      </c>
      <c r="O943" s="11" t="str">
        <f>IF($A943="","",IFERROR(VALUE(MID(TRIM('Template Setup'!$C$7),FIND("-",TRIM('Template Setup'!$C$7))+1,10)),0))</f>
        <v/>
      </c>
      <c r="P943" s="11" t="str">
        <f>IF($A943="","",IFERROR(VALUE(MID(TRIM('Template Setup'!$C$8),FIND("-",TRIM('Template Setup'!$C$8))+1,10)),0))</f>
        <v/>
      </c>
      <c r="Q943" s="9" t="str">
        <f>IF($A943="","",$A943&amp;"-"&amp;'Template Setup'!$C$16)</f>
        <v/>
      </c>
      <c r="R943" s="24" t="str">
        <f t="shared" si="57"/>
        <v/>
      </c>
      <c r="S943" s="24"/>
      <c r="T943" s="24" t="str">
        <f t="shared" si="58"/>
        <v/>
      </c>
      <c r="U943" s="6" t="str">
        <f t="shared" si="60"/>
        <v/>
      </c>
    </row>
    <row r="944" spans="1:21">
      <c r="A944" s="11"/>
      <c r="B944" s="11"/>
      <c r="C944" s="11"/>
      <c r="D944" s="11" t="str">
        <f>IF($A944="","",_xlfn.TEXTJOIN(", ",TRUE,IF($G944&gt;0,'Template Setup'!$C$4,""),IF($H944&gt;0,'Template Setup'!$C$5,""),IF($I944&gt;0,'Template Setup'!$C$6,""),IF($J944&gt;0,'Template Setup'!$C$7,""),IF($K944&gt;0,'Template Setup'!$C$8,"")))</f>
        <v/>
      </c>
      <c r="E944" s="6" t="str" cm="1">
        <f t="array" ref="E944">IF($A944="","",_xlfn.LET(_xlpm.sheets,CHOOSE({1,2,3,4,5},'Template Setup'!$C$4,'Template Setup'!$C$5,'Template Setup'!$C$6,'Template Setup'!$C$7,'Template Setup'!$C$8),_xlpm.nums,CHOOSE({1,2,3,4,5},$L944,$M944,$N944,$O944,$P944),_xlpm.qtys,CHOOSE({1,2,3,4,5},$G944,$H944,$I944,$J944,$K944),_xlpm.validNums,_xlfn._xlws.FILTER(_xlpm.nums,_xlpm.qtys&gt;0),_xlpm.validSheets,_xlfn._xlws.FILTER(_xlpm.sheets,_xlpm.qtys&gt;0),_xlpm.mx,IFERROR(MAX(_xlpm.validNums),0),IF(_xlpm.mx=0,"",INDEX(_xlpm.validSheets,MATCH(_xlpm.mx,_xlpm.validNums,0))&amp;" (+"&amp;$R944&amp;")")))</f>
        <v/>
      </c>
      <c r="F944" s="11" t="str">
        <f t="shared" si="59"/>
        <v/>
      </c>
      <c r="G944" s="12" t="str">
        <f ca="1">IF($A944="","",IFERROR(SUMIF(INDIRECT("'"&amp;'Template Setup'!$C$4&amp;"'!C:C"),$A944,INDIRECT("'"&amp;'Template Setup'!$C$4&amp;"'!A:A")),0))</f>
        <v/>
      </c>
      <c r="H944" s="12" t="str">
        <f ca="1">IF($A944="","",IFERROR(SUMIF(INDIRECT("'"&amp;'Template Setup'!$C$5&amp;"'!C:C"),$A944,INDIRECT("'"&amp;'Template Setup'!$C$5&amp;"'!A:A")),0))</f>
        <v/>
      </c>
      <c r="I944" s="12" t="str">
        <f ca="1">IF($A944="","",IFERROR(SUMIF(INDIRECT("'"&amp;'Template Setup'!$C$6&amp;"'!C:C"),$A944,INDIRECT("'"&amp;'Template Setup'!$C$6&amp;"'!A:A")),0))</f>
        <v/>
      </c>
      <c r="J944" s="12" t="str">
        <f ca="1">IF($A944="","",IFERROR(SUMIF(INDIRECT("'"&amp;'Template Setup'!$C$7&amp;"'!C:C"),$A944,INDIRECT("'"&amp;'Template Setup'!$C$7&amp;"'!A:A")),0))</f>
        <v/>
      </c>
      <c r="K944" s="12" t="str">
        <f ca="1">IF($A944="","",IFERROR(SUMIF(INDIRECT("'"&amp;'Template Setup'!$C$8&amp;"'!C:C"),$A944,INDIRECT("'"&amp;'Template Setup'!$C$8&amp;"'!A:A")),0))</f>
        <v/>
      </c>
      <c r="L944" s="11" t="str">
        <f>IF($A944="","",IFERROR(VALUE(MID(TRIM('Template Setup'!$C$4),FIND("-",TRIM('Template Setup'!$C$4))+1,10)),0))</f>
        <v/>
      </c>
      <c r="M944" s="11" t="str">
        <f>IF($A944="","",IFERROR(VALUE(MID(TRIM('Template Setup'!$C$5),FIND("-",TRIM('Template Setup'!$C$5))+1,10)),0))</f>
        <v/>
      </c>
      <c r="N944" s="11" t="str">
        <f>IF($A944="","",IFERROR(VALUE(MID(TRIM('Template Setup'!$C$6),FIND("-",TRIM('Template Setup'!$C$6))+1,10)),0))</f>
        <v/>
      </c>
      <c r="O944" s="11" t="str">
        <f>IF($A944="","",IFERROR(VALUE(MID(TRIM('Template Setup'!$C$7),FIND("-",TRIM('Template Setup'!$C$7))+1,10)),0))</f>
        <v/>
      </c>
      <c r="P944" s="11" t="str">
        <f>IF($A944="","",IFERROR(VALUE(MID(TRIM('Template Setup'!$C$8),FIND("-",TRIM('Template Setup'!$C$8))+1,10)),0))</f>
        <v/>
      </c>
      <c r="Q944" s="9" t="str">
        <f>IF($A944="","",$A944&amp;"-"&amp;'Template Setup'!$C$16)</f>
        <v/>
      </c>
      <c r="R944" s="24" t="str">
        <f t="shared" si="57"/>
        <v/>
      </c>
      <c r="S944" s="24"/>
      <c r="T944" s="24" t="str">
        <f t="shared" si="58"/>
        <v/>
      </c>
      <c r="U944" s="6" t="str">
        <f t="shared" si="60"/>
        <v/>
      </c>
    </row>
    <row r="945" spans="1:21">
      <c r="A945" s="11"/>
      <c r="B945" s="11"/>
      <c r="C945" s="11"/>
      <c r="D945" s="11" t="str">
        <f>IF($A945="","",_xlfn.TEXTJOIN(", ",TRUE,IF($G945&gt;0,'Template Setup'!$C$4,""),IF($H945&gt;0,'Template Setup'!$C$5,""),IF($I945&gt;0,'Template Setup'!$C$6,""),IF($J945&gt;0,'Template Setup'!$C$7,""),IF($K945&gt;0,'Template Setup'!$C$8,"")))</f>
        <v/>
      </c>
      <c r="E945" s="6" t="str" cm="1">
        <f t="array" ref="E945">IF($A945="","",_xlfn.LET(_xlpm.sheets,CHOOSE({1,2,3,4,5},'Template Setup'!$C$4,'Template Setup'!$C$5,'Template Setup'!$C$6,'Template Setup'!$C$7,'Template Setup'!$C$8),_xlpm.nums,CHOOSE({1,2,3,4,5},$L945,$M945,$N945,$O945,$P945),_xlpm.qtys,CHOOSE({1,2,3,4,5},$G945,$H945,$I945,$J945,$K945),_xlpm.validNums,_xlfn._xlws.FILTER(_xlpm.nums,_xlpm.qtys&gt;0),_xlpm.validSheets,_xlfn._xlws.FILTER(_xlpm.sheets,_xlpm.qtys&gt;0),_xlpm.mx,IFERROR(MAX(_xlpm.validNums),0),IF(_xlpm.mx=0,"",INDEX(_xlpm.validSheets,MATCH(_xlpm.mx,_xlpm.validNums,0))&amp;" (+"&amp;$R945&amp;")")))</f>
        <v/>
      </c>
      <c r="F945" s="11" t="str">
        <f t="shared" si="59"/>
        <v/>
      </c>
      <c r="G945" s="12" t="str">
        <f ca="1">IF($A945="","",IFERROR(SUMIF(INDIRECT("'"&amp;'Template Setup'!$C$4&amp;"'!C:C"),$A945,INDIRECT("'"&amp;'Template Setup'!$C$4&amp;"'!A:A")),0))</f>
        <v/>
      </c>
      <c r="H945" s="12" t="str">
        <f ca="1">IF($A945="","",IFERROR(SUMIF(INDIRECT("'"&amp;'Template Setup'!$C$5&amp;"'!C:C"),$A945,INDIRECT("'"&amp;'Template Setup'!$C$5&amp;"'!A:A")),0))</f>
        <v/>
      </c>
      <c r="I945" s="12" t="str">
        <f ca="1">IF($A945="","",IFERROR(SUMIF(INDIRECT("'"&amp;'Template Setup'!$C$6&amp;"'!C:C"),$A945,INDIRECT("'"&amp;'Template Setup'!$C$6&amp;"'!A:A")),0))</f>
        <v/>
      </c>
      <c r="J945" s="12" t="str">
        <f ca="1">IF($A945="","",IFERROR(SUMIF(INDIRECT("'"&amp;'Template Setup'!$C$7&amp;"'!C:C"),$A945,INDIRECT("'"&amp;'Template Setup'!$C$7&amp;"'!A:A")),0))</f>
        <v/>
      </c>
      <c r="K945" s="12" t="str">
        <f ca="1">IF($A945="","",IFERROR(SUMIF(INDIRECT("'"&amp;'Template Setup'!$C$8&amp;"'!C:C"),$A945,INDIRECT("'"&amp;'Template Setup'!$C$8&amp;"'!A:A")),0))</f>
        <v/>
      </c>
      <c r="L945" s="11" t="str">
        <f>IF($A945="","",IFERROR(VALUE(MID(TRIM('Template Setup'!$C$4),FIND("-",TRIM('Template Setup'!$C$4))+1,10)),0))</f>
        <v/>
      </c>
      <c r="M945" s="11" t="str">
        <f>IF($A945="","",IFERROR(VALUE(MID(TRIM('Template Setup'!$C$5),FIND("-",TRIM('Template Setup'!$C$5))+1,10)),0))</f>
        <v/>
      </c>
      <c r="N945" s="11" t="str">
        <f>IF($A945="","",IFERROR(VALUE(MID(TRIM('Template Setup'!$C$6),FIND("-",TRIM('Template Setup'!$C$6))+1,10)),0))</f>
        <v/>
      </c>
      <c r="O945" s="11" t="str">
        <f>IF($A945="","",IFERROR(VALUE(MID(TRIM('Template Setup'!$C$7),FIND("-",TRIM('Template Setup'!$C$7))+1,10)),0))</f>
        <v/>
      </c>
      <c r="P945" s="11" t="str">
        <f>IF($A945="","",IFERROR(VALUE(MID(TRIM('Template Setup'!$C$8),FIND("-",TRIM('Template Setup'!$C$8))+1,10)),0))</f>
        <v/>
      </c>
      <c r="Q945" s="9" t="str">
        <f>IF($A945="","",$A945&amp;"-"&amp;'Template Setup'!$C$16)</f>
        <v/>
      </c>
      <c r="R945" s="24" t="str">
        <f t="shared" si="57"/>
        <v/>
      </c>
      <c r="S945" s="24"/>
      <c r="T945" s="24" t="str">
        <f t="shared" si="58"/>
        <v/>
      </c>
      <c r="U945" s="6" t="str">
        <f t="shared" si="60"/>
        <v/>
      </c>
    </row>
    <row r="946" spans="1:21">
      <c r="A946" s="11"/>
      <c r="B946" s="11"/>
      <c r="C946" s="11"/>
      <c r="D946" s="11" t="str">
        <f>IF($A946="","",_xlfn.TEXTJOIN(", ",TRUE,IF($G946&gt;0,'Template Setup'!$C$4,""),IF($H946&gt;0,'Template Setup'!$C$5,""),IF($I946&gt;0,'Template Setup'!$C$6,""),IF($J946&gt;0,'Template Setup'!$C$7,""),IF($K946&gt;0,'Template Setup'!$C$8,"")))</f>
        <v/>
      </c>
      <c r="E946" s="6" t="str" cm="1">
        <f t="array" ref="E946">IF($A946="","",_xlfn.LET(_xlpm.sheets,CHOOSE({1,2,3,4,5},'Template Setup'!$C$4,'Template Setup'!$C$5,'Template Setup'!$C$6,'Template Setup'!$C$7,'Template Setup'!$C$8),_xlpm.nums,CHOOSE({1,2,3,4,5},$L946,$M946,$N946,$O946,$P946),_xlpm.qtys,CHOOSE({1,2,3,4,5},$G946,$H946,$I946,$J946,$K946),_xlpm.validNums,_xlfn._xlws.FILTER(_xlpm.nums,_xlpm.qtys&gt;0),_xlpm.validSheets,_xlfn._xlws.FILTER(_xlpm.sheets,_xlpm.qtys&gt;0),_xlpm.mx,IFERROR(MAX(_xlpm.validNums),0),IF(_xlpm.mx=0,"",INDEX(_xlpm.validSheets,MATCH(_xlpm.mx,_xlpm.validNums,0))&amp;" (+"&amp;$R946&amp;")")))</f>
        <v/>
      </c>
      <c r="F946" s="11" t="str">
        <f t="shared" si="59"/>
        <v/>
      </c>
      <c r="G946" s="12" t="str">
        <f ca="1">IF($A946="","",IFERROR(SUMIF(INDIRECT("'"&amp;'Template Setup'!$C$4&amp;"'!C:C"),$A946,INDIRECT("'"&amp;'Template Setup'!$C$4&amp;"'!A:A")),0))</f>
        <v/>
      </c>
      <c r="H946" s="12" t="str">
        <f ca="1">IF($A946="","",IFERROR(SUMIF(INDIRECT("'"&amp;'Template Setup'!$C$5&amp;"'!C:C"),$A946,INDIRECT("'"&amp;'Template Setup'!$C$5&amp;"'!A:A")),0))</f>
        <v/>
      </c>
      <c r="I946" s="12" t="str">
        <f ca="1">IF($A946="","",IFERROR(SUMIF(INDIRECT("'"&amp;'Template Setup'!$C$6&amp;"'!C:C"),$A946,INDIRECT("'"&amp;'Template Setup'!$C$6&amp;"'!A:A")),0))</f>
        <v/>
      </c>
      <c r="J946" s="12" t="str">
        <f ca="1">IF($A946="","",IFERROR(SUMIF(INDIRECT("'"&amp;'Template Setup'!$C$7&amp;"'!C:C"),$A946,INDIRECT("'"&amp;'Template Setup'!$C$7&amp;"'!A:A")),0))</f>
        <v/>
      </c>
      <c r="K946" s="12" t="str">
        <f ca="1">IF($A946="","",IFERROR(SUMIF(INDIRECT("'"&amp;'Template Setup'!$C$8&amp;"'!C:C"),$A946,INDIRECT("'"&amp;'Template Setup'!$C$8&amp;"'!A:A")),0))</f>
        <v/>
      </c>
      <c r="L946" s="11" t="str">
        <f>IF($A946="","",IFERROR(VALUE(MID(TRIM('Template Setup'!$C$4),FIND("-",TRIM('Template Setup'!$C$4))+1,10)),0))</f>
        <v/>
      </c>
      <c r="M946" s="11" t="str">
        <f>IF($A946="","",IFERROR(VALUE(MID(TRIM('Template Setup'!$C$5),FIND("-",TRIM('Template Setup'!$C$5))+1,10)),0))</f>
        <v/>
      </c>
      <c r="N946" s="11" t="str">
        <f>IF($A946="","",IFERROR(VALUE(MID(TRIM('Template Setup'!$C$6),FIND("-",TRIM('Template Setup'!$C$6))+1,10)),0))</f>
        <v/>
      </c>
      <c r="O946" s="11" t="str">
        <f>IF($A946="","",IFERROR(VALUE(MID(TRIM('Template Setup'!$C$7),FIND("-",TRIM('Template Setup'!$C$7))+1,10)),0))</f>
        <v/>
      </c>
      <c r="P946" s="11" t="str">
        <f>IF($A946="","",IFERROR(VALUE(MID(TRIM('Template Setup'!$C$8),FIND("-",TRIM('Template Setup'!$C$8))+1,10)),0))</f>
        <v/>
      </c>
      <c r="Q946" s="9" t="str">
        <f>IF($A946="","",$A946&amp;"-"&amp;'Template Setup'!$C$16)</f>
        <v/>
      </c>
      <c r="R946" s="24" t="str">
        <f t="shared" si="57"/>
        <v/>
      </c>
      <c r="S946" s="24"/>
      <c r="T946" s="24" t="str">
        <f t="shared" si="58"/>
        <v/>
      </c>
      <c r="U946" s="6" t="str">
        <f t="shared" si="60"/>
        <v/>
      </c>
    </row>
    <row r="947" spans="1:21">
      <c r="A947" s="11"/>
      <c r="B947" s="11"/>
      <c r="C947" s="11"/>
      <c r="D947" s="11" t="str">
        <f>IF($A947="","",_xlfn.TEXTJOIN(", ",TRUE,IF($G947&gt;0,'Template Setup'!$C$4,""),IF($H947&gt;0,'Template Setup'!$C$5,""),IF($I947&gt;0,'Template Setup'!$C$6,""),IF($J947&gt;0,'Template Setup'!$C$7,""),IF($K947&gt;0,'Template Setup'!$C$8,"")))</f>
        <v/>
      </c>
      <c r="E947" s="6" t="str" cm="1">
        <f t="array" ref="E947">IF($A947="","",_xlfn.LET(_xlpm.sheets,CHOOSE({1,2,3,4,5},'Template Setup'!$C$4,'Template Setup'!$C$5,'Template Setup'!$C$6,'Template Setup'!$C$7,'Template Setup'!$C$8),_xlpm.nums,CHOOSE({1,2,3,4,5},$L947,$M947,$N947,$O947,$P947),_xlpm.qtys,CHOOSE({1,2,3,4,5},$G947,$H947,$I947,$J947,$K947),_xlpm.validNums,_xlfn._xlws.FILTER(_xlpm.nums,_xlpm.qtys&gt;0),_xlpm.validSheets,_xlfn._xlws.FILTER(_xlpm.sheets,_xlpm.qtys&gt;0),_xlpm.mx,IFERROR(MAX(_xlpm.validNums),0),IF(_xlpm.mx=0,"",INDEX(_xlpm.validSheets,MATCH(_xlpm.mx,_xlpm.validNums,0))&amp;" (+"&amp;$R947&amp;")")))</f>
        <v/>
      </c>
      <c r="F947" s="11" t="str">
        <f t="shared" si="59"/>
        <v/>
      </c>
      <c r="G947" s="12" t="str">
        <f ca="1">IF($A947="","",IFERROR(SUMIF(INDIRECT("'"&amp;'Template Setup'!$C$4&amp;"'!C:C"),$A947,INDIRECT("'"&amp;'Template Setup'!$C$4&amp;"'!A:A")),0))</f>
        <v/>
      </c>
      <c r="H947" s="12" t="str">
        <f ca="1">IF($A947="","",IFERROR(SUMIF(INDIRECT("'"&amp;'Template Setup'!$C$5&amp;"'!C:C"),$A947,INDIRECT("'"&amp;'Template Setup'!$C$5&amp;"'!A:A")),0))</f>
        <v/>
      </c>
      <c r="I947" s="12" t="str">
        <f ca="1">IF($A947="","",IFERROR(SUMIF(INDIRECT("'"&amp;'Template Setup'!$C$6&amp;"'!C:C"),$A947,INDIRECT("'"&amp;'Template Setup'!$C$6&amp;"'!A:A")),0))</f>
        <v/>
      </c>
      <c r="J947" s="12" t="str">
        <f ca="1">IF($A947="","",IFERROR(SUMIF(INDIRECT("'"&amp;'Template Setup'!$C$7&amp;"'!C:C"),$A947,INDIRECT("'"&amp;'Template Setup'!$C$7&amp;"'!A:A")),0))</f>
        <v/>
      </c>
      <c r="K947" s="12" t="str">
        <f ca="1">IF($A947="","",IFERROR(SUMIF(INDIRECT("'"&amp;'Template Setup'!$C$8&amp;"'!C:C"),$A947,INDIRECT("'"&amp;'Template Setup'!$C$8&amp;"'!A:A")),0))</f>
        <v/>
      </c>
      <c r="L947" s="11" t="str">
        <f>IF($A947="","",IFERROR(VALUE(MID(TRIM('Template Setup'!$C$4),FIND("-",TRIM('Template Setup'!$C$4))+1,10)),0))</f>
        <v/>
      </c>
      <c r="M947" s="11" t="str">
        <f>IF($A947="","",IFERROR(VALUE(MID(TRIM('Template Setup'!$C$5),FIND("-",TRIM('Template Setup'!$C$5))+1,10)),0))</f>
        <v/>
      </c>
      <c r="N947" s="11" t="str">
        <f>IF($A947="","",IFERROR(VALUE(MID(TRIM('Template Setup'!$C$6),FIND("-",TRIM('Template Setup'!$C$6))+1,10)),0))</f>
        <v/>
      </c>
      <c r="O947" s="11" t="str">
        <f>IF($A947="","",IFERROR(VALUE(MID(TRIM('Template Setup'!$C$7),FIND("-",TRIM('Template Setup'!$C$7))+1,10)),0))</f>
        <v/>
      </c>
      <c r="P947" s="11" t="str">
        <f>IF($A947="","",IFERROR(VALUE(MID(TRIM('Template Setup'!$C$8),FIND("-",TRIM('Template Setup'!$C$8))+1,10)),0))</f>
        <v/>
      </c>
      <c r="Q947" s="9" t="str">
        <f>IF($A947="","",$A947&amp;"-"&amp;'Template Setup'!$C$16)</f>
        <v/>
      </c>
      <c r="R947" s="24" t="str">
        <f t="shared" si="57"/>
        <v/>
      </c>
      <c r="S947" s="24"/>
      <c r="T947" s="24" t="str">
        <f t="shared" si="58"/>
        <v/>
      </c>
      <c r="U947" s="6" t="str">
        <f t="shared" si="60"/>
        <v/>
      </c>
    </row>
    <row r="948" spans="1:21">
      <c r="A948" s="11"/>
      <c r="B948" s="11"/>
      <c r="C948" s="11"/>
      <c r="D948" s="11" t="str">
        <f>IF($A948="","",_xlfn.TEXTJOIN(", ",TRUE,IF($G948&gt;0,'Template Setup'!$C$4,""),IF($H948&gt;0,'Template Setup'!$C$5,""),IF($I948&gt;0,'Template Setup'!$C$6,""),IF($J948&gt;0,'Template Setup'!$C$7,""),IF($K948&gt;0,'Template Setup'!$C$8,"")))</f>
        <v/>
      </c>
      <c r="E948" s="6" t="str" cm="1">
        <f t="array" ref="E948">IF($A948="","",_xlfn.LET(_xlpm.sheets,CHOOSE({1,2,3,4,5},'Template Setup'!$C$4,'Template Setup'!$C$5,'Template Setup'!$C$6,'Template Setup'!$C$7,'Template Setup'!$C$8),_xlpm.nums,CHOOSE({1,2,3,4,5},$L948,$M948,$N948,$O948,$P948),_xlpm.qtys,CHOOSE({1,2,3,4,5},$G948,$H948,$I948,$J948,$K948),_xlpm.validNums,_xlfn._xlws.FILTER(_xlpm.nums,_xlpm.qtys&gt;0),_xlpm.validSheets,_xlfn._xlws.FILTER(_xlpm.sheets,_xlpm.qtys&gt;0),_xlpm.mx,IFERROR(MAX(_xlpm.validNums),0),IF(_xlpm.mx=0,"",INDEX(_xlpm.validSheets,MATCH(_xlpm.mx,_xlpm.validNums,0))&amp;" (+"&amp;$R948&amp;")")))</f>
        <v/>
      </c>
      <c r="F948" s="11" t="str">
        <f t="shared" si="59"/>
        <v/>
      </c>
      <c r="G948" s="12" t="str">
        <f ca="1">IF($A948="","",IFERROR(SUMIF(INDIRECT("'"&amp;'Template Setup'!$C$4&amp;"'!C:C"),$A948,INDIRECT("'"&amp;'Template Setup'!$C$4&amp;"'!A:A")),0))</f>
        <v/>
      </c>
      <c r="H948" s="12" t="str">
        <f ca="1">IF($A948="","",IFERROR(SUMIF(INDIRECT("'"&amp;'Template Setup'!$C$5&amp;"'!C:C"),$A948,INDIRECT("'"&amp;'Template Setup'!$C$5&amp;"'!A:A")),0))</f>
        <v/>
      </c>
      <c r="I948" s="12" t="str">
        <f ca="1">IF($A948="","",IFERROR(SUMIF(INDIRECT("'"&amp;'Template Setup'!$C$6&amp;"'!C:C"),$A948,INDIRECT("'"&amp;'Template Setup'!$C$6&amp;"'!A:A")),0))</f>
        <v/>
      </c>
      <c r="J948" s="12" t="str">
        <f ca="1">IF($A948="","",IFERROR(SUMIF(INDIRECT("'"&amp;'Template Setup'!$C$7&amp;"'!C:C"),$A948,INDIRECT("'"&amp;'Template Setup'!$C$7&amp;"'!A:A")),0))</f>
        <v/>
      </c>
      <c r="K948" s="12" t="str">
        <f ca="1">IF($A948="","",IFERROR(SUMIF(INDIRECT("'"&amp;'Template Setup'!$C$8&amp;"'!C:C"),$A948,INDIRECT("'"&amp;'Template Setup'!$C$8&amp;"'!A:A")),0))</f>
        <v/>
      </c>
      <c r="L948" s="11" t="str">
        <f>IF($A948="","",IFERROR(VALUE(MID(TRIM('Template Setup'!$C$4),FIND("-",TRIM('Template Setup'!$C$4))+1,10)),0))</f>
        <v/>
      </c>
      <c r="M948" s="11" t="str">
        <f>IF($A948="","",IFERROR(VALUE(MID(TRIM('Template Setup'!$C$5),FIND("-",TRIM('Template Setup'!$C$5))+1,10)),0))</f>
        <v/>
      </c>
      <c r="N948" s="11" t="str">
        <f>IF($A948="","",IFERROR(VALUE(MID(TRIM('Template Setup'!$C$6),FIND("-",TRIM('Template Setup'!$C$6))+1,10)),0))</f>
        <v/>
      </c>
      <c r="O948" s="11" t="str">
        <f>IF($A948="","",IFERROR(VALUE(MID(TRIM('Template Setup'!$C$7),FIND("-",TRIM('Template Setup'!$C$7))+1,10)),0))</f>
        <v/>
      </c>
      <c r="P948" s="11" t="str">
        <f>IF($A948="","",IFERROR(VALUE(MID(TRIM('Template Setup'!$C$8),FIND("-",TRIM('Template Setup'!$C$8))+1,10)),0))</f>
        <v/>
      </c>
      <c r="Q948" s="9" t="str">
        <f>IF($A948="","",$A948&amp;"-"&amp;'Template Setup'!$C$16)</f>
        <v/>
      </c>
      <c r="R948" s="24" t="str">
        <f t="shared" si="57"/>
        <v/>
      </c>
      <c r="S948" s="24"/>
      <c r="T948" s="24" t="str">
        <f t="shared" si="58"/>
        <v/>
      </c>
      <c r="U948" s="6" t="str">
        <f t="shared" si="60"/>
        <v/>
      </c>
    </row>
    <row r="949" spans="1:21">
      <c r="A949" s="11"/>
      <c r="B949" s="11"/>
      <c r="C949" s="11"/>
      <c r="D949" s="11" t="str">
        <f>IF($A949="","",_xlfn.TEXTJOIN(", ",TRUE,IF($G949&gt;0,'Template Setup'!$C$4,""),IF($H949&gt;0,'Template Setup'!$C$5,""),IF($I949&gt;0,'Template Setup'!$C$6,""),IF($J949&gt;0,'Template Setup'!$C$7,""),IF($K949&gt;0,'Template Setup'!$C$8,"")))</f>
        <v/>
      </c>
      <c r="E949" s="6" t="str" cm="1">
        <f t="array" ref="E949">IF($A949="","",_xlfn.LET(_xlpm.sheets,CHOOSE({1,2,3,4,5},'Template Setup'!$C$4,'Template Setup'!$C$5,'Template Setup'!$C$6,'Template Setup'!$C$7,'Template Setup'!$C$8),_xlpm.nums,CHOOSE({1,2,3,4,5},$L949,$M949,$N949,$O949,$P949),_xlpm.qtys,CHOOSE({1,2,3,4,5},$G949,$H949,$I949,$J949,$K949),_xlpm.validNums,_xlfn._xlws.FILTER(_xlpm.nums,_xlpm.qtys&gt;0),_xlpm.validSheets,_xlfn._xlws.FILTER(_xlpm.sheets,_xlpm.qtys&gt;0),_xlpm.mx,IFERROR(MAX(_xlpm.validNums),0),IF(_xlpm.mx=0,"",INDEX(_xlpm.validSheets,MATCH(_xlpm.mx,_xlpm.validNums,0))&amp;" (+"&amp;$R949&amp;")")))</f>
        <v/>
      </c>
      <c r="F949" s="11" t="str">
        <f t="shared" si="59"/>
        <v/>
      </c>
      <c r="G949" s="12" t="str">
        <f ca="1">IF($A949="","",IFERROR(SUMIF(INDIRECT("'"&amp;'Template Setup'!$C$4&amp;"'!C:C"),$A949,INDIRECT("'"&amp;'Template Setup'!$C$4&amp;"'!A:A")),0))</f>
        <v/>
      </c>
      <c r="H949" s="12" t="str">
        <f ca="1">IF($A949="","",IFERROR(SUMIF(INDIRECT("'"&amp;'Template Setup'!$C$5&amp;"'!C:C"),$A949,INDIRECT("'"&amp;'Template Setup'!$C$5&amp;"'!A:A")),0))</f>
        <v/>
      </c>
      <c r="I949" s="12" t="str">
        <f ca="1">IF($A949="","",IFERROR(SUMIF(INDIRECT("'"&amp;'Template Setup'!$C$6&amp;"'!C:C"),$A949,INDIRECT("'"&amp;'Template Setup'!$C$6&amp;"'!A:A")),0))</f>
        <v/>
      </c>
      <c r="J949" s="12" t="str">
        <f ca="1">IF($A949="","",IFERROR(SUMIF(INDIRECT("'"&amp;'Template Setup'!$C$7&amp;"'!C:C"),$A949,INDIRECT("'"&amp;'Template Setup'!$C$7&amp;"'!A:A")),0))</f>
        <v/>
      </c>
      <c r="K949" s="12" t="str">
        <f ca="1">IF($A949="","",IFERROR(SUMIF(INDIRECT("'"&amp;'Template Setup'!$C$8&amp;"'!C:C"),$A949,INDIRECT("'"&amp;'Template Setup'!$C$8&amp;"'!A:A")),0))</f>
        <v/>
      </c>
      <c r="L949" s="11" t="str">
        <f>IF($A949="","",IFERROR(VALUE(MID(TRIM('Template Setup'!$C$4),FIND("-",TRIM('Template Setup'!$C$4))+1,10)),0))</f>
        <v/>
      </c>
      <c r="M949" s="11" t="str">
        <f>IF($A949="","",IFERROR(VALUE(MID(TRIM('Template Setup'!$C$5),FIND("-",TRIM('Template Setup'!$C$5))+1,10)),0))</f>
        <v/>
      </c>
      <c r="N949" s="11" t="str">
        <f>IF($A949="","",IFERROR(VALUE(MID(TRIM('Template Setup'!$C$6),FIND("-",TRIM('Template Setup'!$C$6))+1,10)),0))</f>
        <v/>
      </c>
      <c r="O949" s="11" t="str">
        <f>IF($A949="","",IFERROR(VALUE(MID(TRIM('Template Setup'!$C$7),FIND("-",TRIM('Template Setup'!$C$7))+1,10)),0))</f>
        <v/>
      </c>
      <c r="P949" s="11" t="str">
        <f>IF($A949="","",IFERROR(VALUE(MID(TRIM('Template Setup'!$C$8),FIND("-",TRIM('Template Setup'!$C$8))+1,10)),0))</f>
        <v/>
      </c>
      <c r="Q949" s="9" t="str">
        <f>IF($A949="","",$A949&amp;"-"&amp;'Template Setup'!$C$16)</f>
        <v/>
      </c>
      <c r="R949" s="24" t="str">
        <f t="shared" si="57"/>
        <v/>
      </c>
      <c r="S949" s="24"/>
      <c r="T949" s="24" t="str">
        <f t="shared" si="58"/>
        <v/>
      </c>
      <c r="U949" s="6" t="str">
        <f t="shared" si="60"/>
        <v/>
      </c>
    </row>
    <row r="950" spans="1:21">
      <c r="A950" s="11"/>
      <c r="B950" s="11"/>
      <c r="C950" s="11"/>
      <c r="D950" s="11" t="str">
        <f>IF($A950="","",_xlfn.TEXTJOIN(", ",TRUE,IF($G950&gt;0,'Template Setup'!$C$4,""),IF($H950&gt;0,'Template Setup'!$C$5,""),IF($I950&gt;0,'Template Setup'!$C$6,""),IF($J950&gt;0,'Template Setup'!$C$7,""),IF($K950&gt;0,'Template Setup'!$C$8,"")))</f>
        <v/>
      </c>
      <c r="E950" s="6" t="str" cm="1">
        <f t="array" ref="E950">IF($A950="","",_xlfn.LET(_xlpm.sheets,CHOOSE({1,2,3,4,5},'Template Setup'!$C$4,'Template Setup'!$C$5,'Template Setup'!$C$6,'Template Setup'!$C$7,'Template Setup'!$C$8),_xlpm.nums,CHOOSE({1,2,3,4,5},$L950,$M950,$N950,$O950,$P950),_xlpm.qtys,CHOOSE({1,2,3,4,5},$G950,$H950,$I950,$J950,$K950),_xlpm.validNums,_xlfn._xlws.FILTER(_xlpm.nums,_xlpm.qtys&gt;0),_xlpm.validSheets,_xlfn._xlws.FILTER(_xlpm.sheets,_xlpm.qtys&gt;0),_xlpm.mx,IFERROR(MAX(_xlpm.validNums),0),IF(_xlpm.mx=0,"",INDEX(_xlpm.validSheets,MATCH(_xlpm.mx,_xlpm.validNums,0))&amp;" (+"&amp;$R950&amp;")")))</f>
        <v/>
      </c>
      <c r="F950" s="11" t="str">
        <f t="shared" si="59"/>
        <v/>
      </c>
      <c r="G950" s="12" t="str">
        <f ca="1">IF($A950="","",IFERROR(SUMIF(INDIRECT("'"&amp;'Template Setup'!$C$4&amp;"'!C:C"),$A950,INDIRECT("'"&amp;'Template Setup'!$C$4&amp;"'!A:A")),0))</f>
        <v/>
      </c>
      <c r="H950" s="12" t="str">
        <f ca="1">IF($A950="","",IFERROR(SUMIF(INDIRECT("'"&amp;'Template Setup'!$C$5&amp;"'!C:C"),$A950,INDIRECT("'"&amp;'Template Setup'!$C$5&amp;"'!A:A")),0))</f>
        <v/>
      </c>
      <c r="I950" s="12" t="str">
        <f ca="1">IF($A950="","",IFERROR(SUMIF(INDIRECT("'"&amp;'Template Setup'!$C$6&amp;"'!C:C"),$A950,INDIRECT("'"&amp;'Template Setup'!$C$6&amp;"'!A:A")),0))</f>
        <v/>
      </c>
      <c r="J950" s="12" t="str">
        <f ca="1">IF($A950="","",IFERROR(SUMIF(INDIRECT("'"&amp;'Template Setup'!$C$7&amp;"'!C:C"),$A950,INDIRECT("'"&amp;'Template Setup'!$C$7&amp;"'!A:A")),0))</f>
        <v/>
      </c>
      <c r="K950" s="12" t="str">
        <f ca="1">IF($A950="","",IFERROR(SUMIF(INDIRECT("'"&amp;'Template Setup'!$C$8&amp;"'!C:C"),$A950,INDIRECT("'"&amp;'Template Setup'!$C$8&amp;"'!A:A")),0))</f>
        <v/>
      </c>
      <c r="L950" s="11" t="str">
        <f>IF($A950="","",IFERROR(VALUE(MID(TRIM('Template Setup'!$C$4),FIND("-",TRIM('Template Setup'!$C$4))+1,10)),0))</f>
        <v/>
      </c>
      <c r="M950" s="11" t="str">
        <f>IF($A950="","",IFERROR(VALUE(MID(TRIM('Template Setup'!$C$5),FIND("-",TRIM('Template Setup'!$C$5))+1,10)),0))</f>
        <v/>
      </c>
      <c r="N950" s="11" t="str">
        <f>IF($A950="","",IFERROR(VALUE(MID(TRIM('Template Setup'!$C$6),FIND("-",TRIM('Template Setup'!$C$6))+1,10)),0))</f>
        <v/>
      </c>
      <c r="O950" s="11" t="str">
        <f>IF($A950="","",IFERROR(VALUE(MID(TRIM('Template Setup'!$C$7),FIND("-",TRIM('Template Setup'!$C$7))+1,10)),0))</f>
        <v/>
      </c>
      <c r="P950" s="11" t="str">
        <f>IF($A950="","",IFERROR(VALUE(MID(TRIM('Template Setup'!$C$8),FIND("-",TRIM('Template Setup'!$C$8))+1,10)),0))</f>
        <v/>
      </c>
      <c r="Q950" s="9" t="str">
        <f>IF($A950="","",$A950&amp;"-"&amp;'Template Setup'!$C$16)</f>
        <v/>
      </c>
      <c r="R950" s="24" t="str">
        <f t="shared" si="57"/>
        <v/>
      </c>
      <c r="S950" s="24"/>
      <c r="T950" s="24" t="str">
        <f t="shared" si="58"/>
        <v/>
      </c>
      <c r="U950" s="6" t="str">
        <f t="shared" si="60"/>
        <v/>
      </c>
    </row>
    <row r="951" spans="1:21">
      <c r="A951" s="11"/>
      <c r="B951" s="11"/>
      <c r="C951" s="11"/>
      <c r="D951" s="11" t="str">
        <f>IF($A951="","",_xlfn.TEXTJOIN(", ",TRUE,IF($G951&gt;0,'Template Setup'!$C$4,""),IF($H951&gt;0,'Template Setup'!$C$5,""),IF($I951&gt;0,'Template Setup'!$C$6,""),IF($J951&gt;0,'Template Setup'!$C$7,""),IF($K951&gt;0,'Template Setup'!$C$8,"")))</f>
        <v/>
      </c>
      <c r="E951" s="6" t="str" cm="1">
        <f t="array" ref="E951">IF($A951="","",_xlfn.LET(_xlpm.sheets,CHOOSE({1,2,3,4,5},'Template Setup'!$C$4,'Template Setup'!$C$5,'Template Setup'!$C$6,'Template Setup'!$C$7,'Template Setup'!$C$8),_xlpm.nums,CHOOSE({1,2,3,4,5},$L951,$M951,$N951,$O951,$P951),_xlpm.qtys,CHOOSE({1,2,3,4,5},$G951,$H951,$I951,$J951,$K951),_xlpm.validNums,_xlfn._xlws.FILTER(_xlpm.nums,_xlpm.qtys&gt;0),_xlpm.validSheets,_xlfn._xlws.FILTER(_xlpm.sheets,_xlpm.qtys&gt;0),_xlpm.mx,IFERROR(MAX(_xlpm.validNums),0),IF(_xlpm.mx=0,"",INDEX(_xlpm.validSheets,MATCH(_xlpm.mx,_xlpm.validNums,0))&amp;" (+"&amp;$R951&amp;")")))</f>
        <v/>
      </c>
      <c r="F951" s="11" t="str">
        <f t="shared" si="59"/>
        <v/>
      </c>
      <c r="G951" s="12" t="str">
        <f ca="1">IF($A951="","",IFERROR(SUMIF(INDIRECT("'"&amp;'Template Setup'!$C$4&amp;"'!C:C"),$A951,INDIRECT("'"&amp;'Template Setup'!$C$4&amp;"'!A:A")),0))</f>
        <v/>
      </c>
      <c r="H951" s="12" t="str">
        <f ca="1">IF($A951="","",IFERROR(SUMIF(INDIRECT("'"&amp;'Template Setup'!$C$5&amp;"'!C:C"),$A951,INDIRECT("'"&amp;'Template Setup'!$C$5&amp;"'!A:A")),0))</f>
        <v/>
      </c>
      <c r="I951" s="12" t="str">
        <f ca="1">IF($A951="","",IFERROR(SUMIF(INDIRECT("'"&amp;'Template Setup'!$C$6&amp;"'!C:C"),$A951,INDIRECT("'"&amp;'Template Setup'!$C$6&amp;"'!A:A")),0))</f>
        <v/>
      </c>
      <c r="J951" s="12" t="str">
        <f ca="1">IF($A951="","",IFERROR(SUMIF(INDIRECT("'"&amp;'Template Setup'!$C$7&amp;"'!C:C"),$A951,INDIRECT("'"&amp;'Template Setup'!$C$7&amp;"'!A:A")),0))</f>
        <v/>
      </c>
      <c r="K951" s="12" t="str">
        <f ca="1">IF($A951="","",IFERROR(SUMIF(INDIRECT("'"&amp;'Template Setup'!$C$8&amp;"'!C:C"),$A951,INDIRECT("'"&amp;'Template Setup'!$C$8&amp;"'!A:A")),0))</f>
        <v/>
      </c>
      <c r="L951" s="11" t="str">
        <f>IF($A951="","",IFERROR(VALUE(MID(TRIM('Template Setup'!$C$4),FIND("-",TRIM('Template Setup'!$C$4))+1,10)),0))</f>
        <v/>
      </c>
      <c r="M951" s="11" t="str">
        <f>IF($A951="","",IFERROR(VALUE(MID(TRIM('Template Setup'!$C$5),FIND("-",TRIM('Template Setup'!$C$5))+1,10)),0))</f>
        <v/>
      </c>
      <c r="N951" s="11" t="str">
        <f>IF($A951="","",IFERROR(VALUE(MID(TRIM('Template Setup'!$C$6),FIND("-",TRIM('Template Setup'!$C$6))+1,10)),0))</f>
        <v/>
      </c>
      <c r="O951" s="11" t="str">
        <f>IF($A951="","",IFERROR(VALUE(MID(TRIM('Template Setup'!$C$7),FIND("-",TRIM('Template Setup'!$C$7))+1,10)),0))</f>
        <v/>
      </c>
      <c r="P951" s="11" t="str">
        <f>IF($A951="","",IFERROR(VALUE(MID(TRIM('Template Setup'!$C$8),FIND("-",TRIM('Template Setup'!$C$8))+1,10)),0))</f>
        <v/>
      </c>
      <c r="Q951" s="9" t="str">
        <f>IF($A951="","",$A951&amp;"-"&amp;'Template Setup'!$C$16)</f>
        <v/>
      </c>
      <c r="R951" s="24" t="str">
        <f t="shared" si="57"/>
        <v/>
      </c>
      <c r="S951" s="24"/>
      <c r="T951" s="24" t="str">
        <f t="shared" si="58"/>
        <v/>
      </c>
      <c r="U951" s="6" t="str">
        <f t="shared" si="60"/>
        <v/>
      </c>
    </row>
    <row r="952" spans="1:21">
      <c r="A952" s="11"/>
      <c r="B952" s="11"/>
      <c r="C952" s="11"/>
      <c r="D952" s="11" t="str">
        <f>IF($A952="","",_xlfn.TEXTJOIN(", ",TRUE,IF($G952&gt;0,'Template Setup'!$C$4,""),IF($H952&gt;0,'Template Setup'!$C$5,""),IF($I952&gt;0,'Template Setup'!$C$6,""),IF($J952&gt;0,'Template Setup'!$C$7,""),IF($K952&gt;0,'Template Setup'!$C$8,"")))</f>
        <v/>
      </c>
      <c r="E952" s="6" t="str" cm="1">
        <f t="array" ref="E952">IF($A952="","",_xlfn.LET(_xlpm.sheets,CHOOSE({1,2,3,4,5},'Template Setup'!$C$4,'Template Setup'!$C$5,'Template Setup'!$C$6,'Template Setup'!$C$7,'Template Setup'!$C$8),_xlpm.nums,CHOOSE({1,2,3,4,5},$L952,$M952,$N952,$O952,$P952),_xlpm.qtys,CHOOSE({1,2,3,4,5},$G952,$H952,$I952,$J952,$K952),_xlpm.validNums,_xlfn._xlws.FILTER(_xlpm.nums,_xlpm.qtys&gt;0),_xlpm.validSheets,_xlfn._xlws.FILTER(_xlpm.sheets,_xlpm.qtys&gt;0),_xlpm.mx,IFERROR(MAX(_xlpm.validNums),0),IF(_xlpm.mx=0,"",INDEX(_xlpm.validSheets,MATCH(_xlpm.mx,_xlpm.validNums,0))&amp;" (+"&amp;$R952&amp;")")))</f>
        <v/>
      </c>
      <c r="F952" s="11" t="str">
        <f t="shared" si="59"/>
        <v/>
      </c>
      <c r="G952" s="12" t="str">
        <f ca="1">IF($A952="","",IFERROR(SUMIF(INDIRECT("'"&amp;'Template Setup'!$C$4&amp;"'!C:C"),$A952,INDIRECT("'"&amp;'Template Setup'!$C$4&amp;"'!A:A")),0))</f>
        <v/>
      </c>
      <c r="H952" s="12" t="str">
        <f ca="1">IF($A952="","",IFERROR(SUMIF(INDIRECT("'"&amp;'Template Setup'!$C$5&amp;"'!C:C"),$A952,INDIRECT("'"&amp;'Template Setup'!$C$5&amp;"'!A:A")),0))</f>
        <v/>
      </c>
      <c r="I952" s="12" t="str">
        <f ca="1">IF($A952="","",IFERROR(SUMIF(INDIRECT("'"&amp;'Template Setup'!$C$6&amp;"'!C:C"),$A952,INDIRECT("'"&amp;'Template Setup'!$C$6&amp;"'!A:A")),0))</f>
        <v/>
      </c>
      <c r="J952" s="12" t="str">
        <f ca="1">IF($A952="","",IFERROR(SUMIF(INDIRECT("'"&amp;'Template Setup'!$C$7&amp;"'!C:C"),$A952,INDIRECT("'"&amp;'Template Setup'!$C$7&amp;"'!A:A")),0))</f>
        <v/>
      </c>
      <c r="K952" s="12" t="str">
        <f ca="1">IF($A952="","",IFERROR(SUMIF(INDIRECT("'"&amp;'Template Setup'!$C$8&amp;"'!C:C"),$A952,INDIRECT("'"&amp;'Template Setup'!$C$8&amp;"'!A:A")),0))</f>
        <v/>
      </c>
      <c r="L952" s="11" t="str">
        <f>IF($A952="","",IFERROR(VALUE(MID(TRIM('Template Setup'!$C$4),FIND("-",TRIM('Template Setup'!$C$4))+1,10)),0))</f>
        <v/>
      </c>
      <c r="M952" s="11" t="str">
        <f>IF($A952="","",IFERROR(VALUE(MID(TRIM('Template Setup'!$C$5),FIND("-",TRIM('Template Setup'!$C$5))+1,10)),0))</f>
        <v/>
      </c>
      <c r="N952" s="11" t="str">
        <f>IF($A952="","",IFERROR(VALUE(MID(TRIM('Template Setup'!$C$6),FIND("-",TRIM('Template Setup'!$C$6))+1,10)),0))</f>
        <v/>
      </c>
      <c r="O952" s="11" t="str">
        <f>IF($A952="","",IFERROR(VALUE(MID(TRIM('Template Setup'!$C$7),FIND("-",TRIM('Template Setup'!$C$7))+1,10)),0))</f>
        <v/>
      </c>
      <c r="P952" s="11" t="str">
        <f>IF($A952="","",IFERROR(VALUE(MID(TRIM('Template Setup'!$C$8),FIND("-",TRIM('Template Setup'!$C$8))+1,10)),0))</f>
        <v/>
      </c>
      <c r="Q952" s="9" t="str">
        <f>IF($A952="","",$A952&amp;"-"&amp;'Template Setup'!$C$16)</f>
        <v/>
      </c>
      <c r="R952" s="24" t="str">
        <f t="shared" si="57"/>
        <v/>
      </c>
      <c r="S952" s="24"/>
      <c r="T952" s="24" t="str">
        <f t="shared" si="58"/>
        <v/>
      </c>
      <c r="U952" s="6" t="str">
        <f t="shared" si="60"/>
        <v/>
      </c>
    </row>
    <row r="953" spans="1:21">
      <c r="A953" s="11"/>
      <c r="B953" s="11"/>
      <c r="C953" s="11"/>
      <c r="D953" s="11" t="str">
        <f>IF($A953="","",_xlfn.TEXTJOIN(", ",TRUE,IF($G953&gt;0,'Template Setup'!$C$4,""),IF($H953&gt;0,'Template Setup'!$C$5,""),IF($I953&gt;0,'Template Setup'!$C$6,""),IF($J953&gt;0,'Template Setup'!$C$7,""),IF($K953&gt;0,'Template Setup'!$C$8,"")))</f>
        <v/>
      </c>
      <c r="E953" s="6" t="str" cm="1">
        <f t="array" ref="E953">IF($A953="","",_xlfn.LET(_xlpm.sheets,CHOOSE({1,2,3,4,5},'Template Setup'!$C$4,'Template Setup'!$C$5,'Template Setup'!$C$6,'Template Setup'!$C$7,'Template Setup'!$C$8),_xlpm.nums,CHOOSE({1,2,3,4,5},$L953,$M953,$N953,$O953,$P953),_xlpm.qtys,CHOOSE({1,2,3,4,5},$G953,$H953,$I953,$J953,$K953),_xlpm.validNums,_xlfn._xlws.FILTER(_xlpm.nums,_xlpm.qtys&gt;0),_xlpm.validSheets,_xlfn._xlws.FILTER(_xlpm.sheets,_xlpm.qtys&gt;0),_xlpm.mx,IFERROR(MAX(_xlpm.validNums),0),IF(_xlpm.mx=0,"",INDEX(_xlpm.validSheets,MATCH(_xlpm.mx,_xlpm.validNums,0))&amp;" (+"&amp;$R953&amp;")")))</f>
        <v/>
      </c>
      <c r="F953" s="11" t="str">
        <f t="shared" si="59"/>
        <v/>
      </c>
      <c r="G953" s="12" t="str">
        <f ca="1">IF($A953="","",IFERROR(SUMIF(INDIRECT("'"&amp;'Template Setup'!$C$4&amp;"'!C:C"),$A953,INDIRECT("'"&amp;'Template Setup'!$C$4&amp;"'!A:A")),0))</f>
        <v/>
      </c>
      <c r="H953" s="12" t="str">
        <f ca="1">IF($A953="","",IFERROR(SUMIF(INDIRECT("'"&amp;'Template Setup'!$C$5&amp;"'!C:C"),$A953,INDIRECT("'"&amp;'Template Setup'!$C$5&amp;"'!A:A")),0))</f>
        <v/>
      </c>
      <c r="I953" s="12" t="str">
        <f ca="1">IF($A953="","",IFERROR(SUMIF(INDIRECT("'"&amp;'Template Setup'!$C$6&amp;"'!C:C"),$A953,INDIRECT("'"&amp;'Template Setup'!$C$6&amp;"'!A:A")),0))</f>
        <v/>
      </c>
      <c r="J953" s="12" t="str">
        <f ca="1">IF($A953="","",IFERROR(SUMIF(INDIRECT("'"&amp;'Template Setup'!$C$7&amp;"'!C:C"),$A953,INDIRECT("'"&amp;'Template Setup'!$C$7&amp;"'!A:A")),0))</f>
        <v/>
      </c>
      <c r="K953" s="12" t="str">
        <f ca="1">IF($A953="","",IFERROR(SUMIF(INDIRECT("'"&amp;'Template Setup'!$C$8&amp;"'!C:C"),$A953,INDIRECT("'"&amp;'Template Setup'!$C$8&amp;"'!A:A")),0))</f>
        <v/>
      </c>
      <c r="L953" s="11" t="str">
        <f>IF($A953="","",IFERROR(VALUE(MID(TRIM('Template Setup'!$C$4),FIND("-",TRIM('Template Setup'!$C$4))+1,10)),0))</f>
        <v/>
      </c>
      <c r="M953" s="11" t="str">
        <f>IF($A953="","",IFERROR(VALUE(MID(TRIM('Template Setup'!$C$5),FIND("-",TRIM('Template Setup'!$C$5))+1,10)),0))</f>
        <v/>
      </c>
      <c r="N953" s="11" t="str">
        <f>IF($A953="","",IFERROR(VALUE(MID(TRIM('Template Setup'!$C$6),FIND("-",TRIM('Template Setup'!$C$6))+1,10)),0))</f>
        <v/>
      </c>
      <c r="O953" s="11" t="str">
        <f>IF($A953="","",IFERROR(VALUE(MID(TRIM('Template Setup'!$C$7),FIND("-",TRIM('Template Setup'!$C$7))+1,10)),0))</f>
        <v/>
      </c>
      <c r="P953" s="11" t="str">
        <f>IF($A953="","",IFERROR(VALUE(MID(TRIM('Template Setup'!$C$8),FIND("-",TRIM('Template Setup'!$C$8))+1,10)),0))</f>
        <v/>
      </c>
      <c r="Q953" s="9" t="str">
        <f>IF($A953="","",$A953&amp;"-"&amp;'Template Setup'!$C$16)</f>
        <v/>
      </c>
      <c r="R953" s="24" t="str">
        <f t="shared" si="57"/>
        <v/>
      </c>
      <c r="S953" s="24"/>
      <c r="T953" s="24" t="str">
        <f t="shared" si="58"/>
        <v/>
      </c>
      <c r="U953" s="6" t="str">
        <f t="shared" si="60"/>
        <v/>
      </c>
    </row>
    <row r="954" spans="1:21">
      <c r="A954" s="11"/>
      <c r="B954" s="11"/>
      <c r="C954" s="11"/>
      <c r="D954" s="11" t="str">
        <f>IF($A954="","",_xlfn.TEXTJOIN(", ",TRUE,IF($G954&gt;0,'Template Setup'!$C$4,""),IF($H954&gt;0,'Template Setup'!$C$5,""),IF($I954&gt;0,'Template Setup'!$C$6,""),IF($J954&gt;0,'Template Setup'!$C$7,""),IF($K954&gt;0,'Template Setup'!$C$8,"")))</f>
        <v/>
      </c>
      <c r="E954" s="6" t="str" cm="1">
        <f t="array" ref="E954">IF($A954="","",_xlfn.LET(_xlpm.sheets,CHOOSE({1,2,3,4,5},'Template Setup'!$C$4,'Template Setup'!$C$5,'Template Setup'!$C$6,'Template Setup'!$C$7,'Template Setup'!$C$8),_xlpm.nums,CHOOSE({1,2,3,4,5},$L954,$M954,$N954,$O954,$P954),_xlpm.qtys,CHOOSE({1,2,3,4,5},$G954,$H954,$I954,$J954,$K954),_xlpm.validNums,_xlfn._xlws.FILTER(_xlpm.nums,_xlpm.qtys&gt;0),_xlpm.validSheets,_xlfn._xlws.FILTER(_xlpm.sheets,_xlpm.qtys&gt;0),_xlpm.mx,IFERROR(MAX(_xlpm.validNums),0),IF(_xlpm.mx=0,"",INDEX(_xlpm.validSheets,MATCH(_xlpm.mx,_xlpm.validNums,0))&amp;" (+"&amp;$R954&amp;")")))</f>
        <v/>
      </c>
      <c r="F954" s="11" t="str">
        <f t="shared" si="59"/>
        <v/>
      </c>
      <c r="G954" s="12" t="str">
        <f ca="1">IF($A954="","",IFERROR(SUMIF(INDIRECT("'"&amp;'Template Setup'!$C$4&amp;"'!C:C"),$A954,INDIRECT("'"&amp;'Template Setup'!$C$4&amp;"'!A:A")),0))</f>
        <v/>
      </c>
      <c r="H954" s="12" t="str">
        <f ca="1">IF($A954="","",IFERROR(SUMIF(INDIRECT("'"&amp;'Template Setup'!$C$5&amp;"'!C:C"),$A954,INDIRECT("'"&amp;'Template Setup'!$C$5&amp;"'!A:A")),0))</f>
        <v/>
      </c>
      <c r="I954" s="12" t="str">
        <f ca="1">IF($A954="","",IFERROR(SUMIF(INDIRECT("'"&amp;'Template Setup'!$C$6&amp;"'!C:C"),$A954,INDIRECT("'"&amp;'Template Setup'!$C$6&amp;"'!A:A")),0))</f>
        <v/>
      </c>
      <c r="J954" s="12" t="str">
        <f ca="1">IF($A954="","",IFERROR(SUMIF(INDIRECT("'"&amp;'Template Setup'!$C$7&amp;"'!C:C"),$A954,INDIRECT("'"&amp;'Template Setup'!$C$7&amp;"'!A:A")),0))</f>
        <v/>
      </c>
      <c r="K954" s="12" t="str">
        <f ca="1">IF($A954="","",IFERROR(SUMIF(INDIRECT("'"&amp;'Template Setup'!$C$8&amp;"'!C:C"),$A954,INDIRECT("'"&amp;'Template Setup'!$C$8&amp;"'!A:A")),0))</f>
        <v/>
      </c>
      <c r="L954" s="11" t="str">
        <f>IF($A954="","",IFERROR(VALUE(MID(TRIM('Template Setup'!$C$4),FIND("-",TRIM('Template Setup'!$C$4))+1,10)),0))</f>
        <v/>
      </c>
      <c r="M954" s="11" t="str">
        <f>IF($A954="","",IFERROR(VALUE(MID(TRIM('Template Setup'!$C$5),FIND("-",TRIM('Template Setup'!$C$5))+1,10)),0))</f>
        <v/>
      </c>
      <c r="N954" s="11" t="str">
        <f>IF($A954="","",IFERROR(VALUE(MID(TRIM('Template Setup'!$C$6),FIND("-",TRIM('Template Setup'!$C$6))+1,10)),0))</f>
        <v/>
      </c>
      <c r="O954" s="11" t="str">
        <f>IF($A954="","",IFERROR(VALUE(MID(TRIM('Template Setup'!$C$7),FIND("-",TRIM('Template Setup'!$C$7))+1,10)),0))</f>
        <v/>
      </c>
      <c r="P954" s="11" t="str">
        <f>IF($A954="","",IFERROR(VALUE(MID(TRIM('Template Setup'!$C$8),FIND("-",TRIM('Template Setup'!$C$8))+1,10)),0))</f>
        <v/>
      </c>
      <c r="Q954" s="9" t="str">
        <f>IF($A954="","",$A954&amp;"-"&amp;'Template Setup'!$C$16)</f>
        <v/>
      </c>
      <c r="R954" s="24" t="str">
        <f t="shared" si="57"/>
        <v/>
      </c>
      <c r="S954" s="24"/>
      <c r="T954" s="24" t="str">
        <f t="shared" si="58"/>
        <v/>
      </c>
      <c r="U954" s="6" t="str">
        <f t="shared" si="60"/>
        <v/>
      </c>
    </row>
    <row r="955" spans="1:21">
      <c r="A955" s="11"/>
      <c r="B955" s="11"/>
      <c r="C955" s="11"/>
      <c r="D955" s="11" t="str">
        <f>IF($A955="","",_xlfn.TEXTJOIN(", ",TRUE,IF($G955&gt;0,'Template Setup'!$C$4,""),IF($H955&gt;0,'Template Setup'!$C$5,""),IF($I955&gt;0,'Template Setup'!$C$6,""),IF($J955&gt;0,'Template Setup'!$C$7,""),IF($K955&gt;0,'Template Setup'!$C$8,"")))</f>
        <v/>
      </c>
      <c r="E955" s="6" t="str" cm="1">
        <f t="array" ref="E955">IF($A955="","",_xlfn.LET(_xlpm.sheets,CHOOSE({1,2,3,4,5},'Template Setup'!$C$4,'Template Setup'!$C$5,'Template Setup'!$C$6,'Template Setup'!$C$7,'Template Setup'!$C$8),_xlpm.nums,CHOOSE({1,2,3,4,5},$L955,$M955,$N955,$O955,$P955),_xlpm.qtys,CHOOSE({1,2,3,4,5},$G955,$H955,$I955,$J955,$K955),_xlpm.validNums,_xlfn._xlws.FILTER(_xlpm.nums,_xlpm.qtys&gt;0),_xlpm.validSheets,_xlfn._xlws.FILTER(_xlpm.sheets,_xlpm.qtys&gt;0),_xlpm.mx,IFERROR(MAX(_xlpm.validNums),0),IF(_xlpm.mx=0,"",INDEX(_xlpm.validSheets,MATCH(_xlpm.mx,_xlpm.validNums,0))&amp;" (+"&amp;$R955&amp;")")))</f>
        <v/>
      </c>
      <c r="F955" s="11" t="str">
        <f t="shared" si="59"/>
        <v/>
      </c>
      <c r="G955" s="12" t="str">
        <f ca="1">IF($A955="","",IFERROR(SUMIF(INDIRECT("'"&amp;'Template Setup'!$C$4&amp;"'!C:C"),$A955,INDIRECT("'"&amp;'Template Setup'!$C$4&amp;"'!A:A")),0))</f>
        <v/>
      </c>
      <c r="H955" s="12" t="str">
        <f ca="1">IF($A955="","",IFERROR(SUMIF(INDIRECT("'"&amp;'Template Setup'!$C$5&amp;"'!C:C"),$A955,INDIRECT("'"&amp;'Template Setup'!$C$5&amp;"'!A:A")),0))</f>
        <v/>
      </c>
      <c r="I955" s="12" t="str">
        <f ca="1">IF($A955="","",IFERROR(SUMIF(INDIRECT("'"&amp;'Template Setup'!$C$6&amp;"'!C:C"),$A955,INDIRECT("'"&amp;'Template Setup'!$C$6&amp;"'!A:A")),0))</f>
        <v/>
      </c>
      <c r="J955" s="12" t="str">
        <f ca="1">IF($A955="","",IFERROR(SUMIF(INDIRECT("'"&amp;'Template Setup'!$C$7&amp;"'!C:C"),$A955,INDIRECT("'"&amp;'Template Setup'!$C$7&amp;"'!A:A")),0))</f>
        <v/>
      </c>
      <c r="K955" s="12" t="str">
        <f ca="1">IF($A955="","",IFERROR(SUMIF(INDIRECT("'"&amp;'Template Setup'!$C$8&amp;"'!C:C"),$A955,INDIRECT("'"&amp;'Template Setup'!$C$8&amp;"'!A:A")),0))</f>
        <v/>
      </c>
      <c r="L955" s="11" t="str">
        <f>IF($A955="","",IFERROR(VALUE(MID(TRIM('Template Setup'!$C$4),FIND("-",TRIM('Template Setup'!$C$4))+1,10)),0))</f>
        <v/>
      </c>
      <c r="M955" s="11" t="str">
        <f>IF($A955="","",IFERROR(VALUE(MID(TRIM('Template Setup'!$C$5),FIND("-",TRIM('Template Setup'!$C$5))+1,10)),0))</f>
        <v/>
      </c>
      <c r="N955" s="11" t="str">
        <f>IF($A955="","",IFERROR(VALUE(MID(TRIM('Template Setup'!$C$6),FIND("-",TRIM('Template Setup'!$C$6))+1,10)),0))</f>
        <v/>
      </c>
      <c r="O955" s="11" t="str">
        <f>IF($A955="","",IFERROR(VALUE(MID(TRIM('Template Setup'!$C$7),FIND("-",TRIM('Template Setup'!$C$7))+1,10)),0))</f>
        <v/>
      </c>
      <c r="P955" s="11" t="str">
        <f>IF($A955="","",IFERROR(VALUE(MID(TRIM('Template Setup'!$C$8),FIND("-",TRIM('Template Setup'!$C$8))+1,10)),0))</f>
        <v/>
      </c>
      <c r="Q955" s="9" t="str">
        <f>IF($A955="","",$A955&amp;"-"&amp;'Template Setup'!$C$16)</f>
        <v/>
      </c>
      <c r="R955" s="24" t="str">
        <f t="shared" si="57"/>
        <v/>
      </c>
      <c r="S955" s="24"/>
      <c r="T955" s="24" t="str">
        <f t="shared" si="58"/>
        <v/>
      </c>
      <c r="U955" s="6" t="str">
        <f t="shared" si="60"/>
        <v/>
      </c>
    </row>
    <row r="956" spans="1:21">
      <c r="A956" s="11"/>
      <c r="B956" s="11"/>
      <c r="C956" s="11"/>
      <c r="D956" s="11" t="str">
        <f>IF($A956="","",_xlfn.TEXTJOIN(", ",TRUE,IF($G956&gt;0,'Template Setup'!$C$4,""),IF($H956&gt;0,'Template Setup'!$C$5,""),IF($I956&gt;0,'Template Setup'!$C$6,""),IF($J956&gt;0,'Template Setup'!$C$7,""),IF($K956&gt;0,'Template Setup'!$C$8,"")))</f>
        <v/>
      </c>
      <c r="E956" s="6" t="str" cm="1">
        <f t="array" ref="E956">IF($A956="","",_xlfn.LET(_xlpm.sheets,CHOOSE({1,2,3,4,5},'Template Setup'!$C$4,'Template Setup'!$C$5,'Template Setup'!$C$6,'Template Setup'!$C$7,'Template Setup'!$C$8),_xlpm.nums,CHOOSE({1,2,3,4,5},$L956,$M956,$N956,$O956,$P956),_xlpm.qtys,CHOOSE({1,2,3,4,5},$G956,$H956,$I956,$J956,$K956),_xlpm.validNums,_xlfn._xlws.FILTER(_xlpm.nums,_xlpm.qtys&gt;0),_xlpm.validSheets,_xlfn._xlws.FILTER(_xlpm.sheets,_xlpm.qtys&gt;0),_xlpm.mx,IFERROR(MAX(_xlpm.validNums),0),IF(_xlpm.mx=0,"",INDEX(_xlpm.validSheets,MATCH(_xlpm.mx,_xlpm.validNums,0))&amp;" (+"&amp;$R956&amp;")")))</f>
        <v/>
      </c>
      <c r="F956" s="11" t="str">
        <f t="shared" si="59"/>
        <v/>
      </c>
      <c r="G956" s="12" t="str">
        <f ca="1">IF($A956="","",IFERROR(SUMIF(INDIRECT("'"&amp;'Template Setup'!$C$4&amp;"'!C:C"),$A956,INDIRECT("'"&amp;'Template Setup'!$C$4&amp;"'!A:A")),0))</f>
        <v/>
      </c>
      <c r="H956" s="12" t="str">
        <f ca="1">IF($A956="","",IFERROR(SUMIF(INDIRECT("'"&amp;'Template Setup'!$C$5&amp;"'!C:C"),$A956,INDIRECT("'"&amp;'Template Setup'!$C$5&amp;"'!A:A")),0))</f>
        <v/>
      </c>
      <c r="I956" s="12" t="str">
        <f ca="1">IF($A956="","",IFERROR(SUMIF(INDIRECT("'"&amp;'Template Setup'!$C$6&amp;"'!C:C"),$A956,INDIRECT("'"&amp;'Template Setup'!$C$6&amp;"'!A:A")),0))</f>
        <v/>
      </c>
      <c r="J956" s="12" t="str">
        <f ca="1">IF($A956="","",IFERROR(SUMIF(INDIRECT("'"&amp;'Template Setup'!$C$7&amp;"'!C:C"),$A956,INDIRECT("'"&amp;'Template Setup'!$C$7&amp;"'!A:A")),0))</f>
        <v/>
      </c>
      <c r="K956" s="12" t="str">
        <f ca="1">IF($A956="","",IFERROR(SUMIF(INDIRECT("'"&amp;'Template Setup'!$C$8&amp;"'!C:C"),$A956,INDIRECT("'"&amp;'Template Setup'!$C$8&amp;"'!A:A")),0))</f>
        <v/>
      </c>
      <c r="L956" s="11" t="str">
        <f>IF($A956="","",IFERROR(VALUE(MID(TRIM('Template Setup'!$C$4),FIND("-",TRIM('Template Setup'!$C$4))+1,10)),0))</f>
        <v/>
      </c>
      <c r="M956" s="11" t="str">
        <f>IF($A956="","",IFERROR(VALUE(MID(TRIM('Template Setup'!$C$5),FIND("-",TRIM('Template Setup'!$C$5))+1,10)),0))</f>
        <v/>
      </c>
      <c r="N956" s="11" t="str">
        <f>IF($A956="","",IFERROR(VALUE(MID(TRIM('Template Setup'!$C$6),FIND("-",TRIM('Template Setup'!$C$6))+1,10)),0))</f>
        <v/>
      </c>
      <c r="O956" s="11" t="str">
        <f>IF($A956="","",IFERROR(VALUE(MID(TRIM('Template Setup'!$C$7),FIND("-",TRIM('Template Setup'!$C$7))+1,10)),0))</f>
        <v/>
      </c>
      <c r="P956" s="11" t="str">
        <f>IF($A956="","",IFERROR(VALUE(MID(TRIM('Template Setup'!$C$8),FIND("-",TRIM('Template Setup'!$C$8))+1,10)),0))</f>
        <v/>
      </c>
      <c r="Q956" s="9" t="str">
        <f>IF($A956="","",$A956&amp;"-"&amp;'Template Setup'!$C$16)</f>
        <v/>
      </c>
      <c r="R956" s="24" t="str">
        <f t="shared" si="57"/>
        <v/>
      </c>
      <c r="S956" s="24"/>
      <c r="T956" s="24" t="str">
        <f t="shared" si="58"/>
        <v/>
      </c>
      <c r="U956" s="6" t="str">
        <f t="shared" si="60"/>
        <v/>
      </c>
    </row>
    <row r="957" spans="1:21">
      <c r="A957" s="11"/>
      <c r="B957" s="11"/>
      <c r="C957" s="11"/>
      <c r="D957" s="11" t="str">
        <f>IF($A957="","",_xlfn.TEXTJOIN(", ",TRUE,IF($G957&gt;0,'Template Setup'!$C$4,""),IF($H957&gt;0,'Template Setup'!$C$5,""),IF($I957&gt;0,'Template Setup'!$C$6,""),IF($J957&gt;0,'Template Setup'!$C$7,""),IF($K957&gt;0,'Template Setup'!$C$8,"")))</f>
        <v/>
      </c>
      <c r="E957" s="6" t="str" cm="1">
        <f t="array" ref="E957">IF($A957="","",_xlfn.LET(_xlpm.sheets,CHOOSE({1,2,3,4,5},'Template Setup'!$C$4,'Template Setup'!$C$5,'Template Setup'!$C$6,'Template Setup'!$C$7,'Template Setup'!$C$8),_xlpm.nums,CHOOSE({1,2,3,4,5},$L957,$M957,$N957,$O957,$P957),_xlpm.qtys,CHOOSE({1,2,3,4,5},$G957,$H957,$I957,$J957,$K957),_xlpm.validNums,_xlfn._xlws.FILTER(_xlpm.nums,_xlpm.qtys&gt;0),_xlpm.validSheets,_xlfn._xlws.FILTER(_xlpm.sheets,_xlpm.qtys&gt;0),_xlpm.mx,IFERROR(MAX(_xlpm.validNums),0),IF(_xlpm.mx=0,"",INDEX(_xlpm.validSheets,MATCH(_xlpm.mx,_xlpm.validNums,0))&amp;" (+"&amp;$R957&amp;")")))</f>
        <v/>
      </c>
      <c r="F957" s="11" t="str">
        <f t="shared" si="59"/>
        <v/>
      </c>
      <c r="G957" s="12" t="str">
        <f ca="1">IF($A957="","",IFERROR(SUMIF(INDIRECT("'"&amp;'Template Setup'!$C$4&amp;"'!C:C"),$A957,INDIRECT("'"&amp;'Template Setup'!$C$4&amp;"'!A:A")),0))</f>
        <v/>
      </c>
      <c r="H957" s="12" t="str">
        <f ca="1">IF($A957="","",IFERROR(SUMIF(INDIRECT("'"&amp;'Template Setup'!$C$5&amp;"'!C:C"),$A957,INDIRECT("'"&amp;'Template Setup'!$C$5&amp;"'!A:A")),0))</f>
        <v/>
      </c>
      <c r="I957" s="12" t="str">
        <f ca="1">IF($A957="","",IFERROR(SUMIF(INDIRECT("'"&amp;'Template Setup'!$C$6&amp;"'!C:C"),$A957,INDIRECT("'"&amp;'Template Setup'!$C$6&amp;"'!A:A")),0))</f>
        <v/>
      </c>
      <c r="J957" s="12" t="str">
        <f ca="1">IF($A957="","",IFERROR(SUMIF(INDIRECT("'"&amp;'Template Setup'!$C$7&amp;"'!C:C"),$A957,INDIRECT("'"&amp;'Template Setup'!$C$7&amp;"'!A:A")),0))</f>
        <v/>
      </c>
      <c r="K957" s="12" t="str">
        <f ca="1">IF($A957="","",IFERROR(SUMIF(INDIRECT("'"&amp;'Template Setup'!$C$8&amp;"'!C:C"),$A957,INDIRECT("'"&amp;'Template Setup'!$C$8&amp;"'!A:A")),0))</f>
        <v/>
      </c>
      <c r="L957" s="11" t="str">
        <f>IF($A957="","",IFERROR(VALUE(MID(TRIM('Template Setup'!$C$4),FIND("-",TRIM('Template Setup'!$C$4))+1,10)),0))</f>
        <v/>
      </c>
      <c r="M957" s="11" t="str">
        <f>IF($A957="","",IFERROR(VALUE(MID(TRIM('Template Setup'!$C$5),FIND("-",TRIM('Template Setup'!$C$5))+1,10)),0))</f>
        <v/>
      </c>
      <c r="N957" s="11" t="str">
        <f>IF($A957="","",IFERROR(VALUE(MID(TRIM('Template Setup'!$C$6),FIND("-",TRIM('Template Setup'!$C$6))+1,10)),0))</f>
        <v/>
      </c>
      <c r="O957" s="11" t="str">
        <f>IF($A957="","",IFERROR(VALUE(MID(TRIM('Template Setup'!$C$7),FIND("-",TRIM('Template Setup'!$C$7))+1,10)),0))</f>
        <v/>
      </c>
      <c r="P957" s="11" t="str">
        <f>IF($A957="","",IFERROR(VALUE(MID(TRIM('Template Setup'!$C$8),FIND("-",TRIM('Template Setup'!$C$8))+1,10)),0))</f>
        <v/>
      </c>
      <c r="Q957" s="9" t="str">
        <f>IF($A957="","",$A957&amp;"-"&amp;'Template Setup'!$C$16)</f>
        <v/>
      </c>
      <c r="R957" s="24" t="str">
        <f t="shared" si="57"/>
        <v/>
      </c>
      <c r="S957" s="24"/>
      <c r="T957" s="24" t="str">
        <f t="shared" si="58"/>
        <v/>
      </c>
      <c r="U957" s="6" t="str">
        <f t="shared" si="60"/>
        <v/>
      </c>
    </row>
    <row r="958" spans="1:21">
      <c r="A958" s="11"/>
      <c r="B958" s="11"/>
      <c r="C958" s="11"/>
      <c r="D958" s="11" t="str">
        <f>IF($A958="","",_xlfn.TEXTJOIN(", ",TRUE,IF($G958&gt;0,'Template Setup'!$C$4,""),IF($H958&gt;0,'Template Setup'!$C$5,""),IF($I958&gt;0,'Template Setup'!$C$6,""),IF($J958&gt;0,'Template Setup'!$C$7,""),IF($K958&gt;0,'Template Setup'!$C$8,"")))</f>
        <v/>
      </c>
      <c r="E958" s="6" t="str" cm="1">
        <f t="array" ref="E958">IF($A958="","",_xlfn.LET(_xlpm.sheets,CHOOSE({1,2,3,4,5},'Template Setup'!$C$4,'Template Setup'!$C$5,'Template Setup'!$C$6,'Template Setup'!$C$7,'Template Setup'!$C$8),_xlpm.nums,CHOOSE({1,2,3,4,5},$L958,$M958,$N958,$O958,$P958),_xlpm.qtys,CHOOSE({1,2,3,4,5},$G958,$H958,$I958,$J958,$K958),_xlpm.validNums,_xlfn._xlws.FILTER(_xlpm.nums,_xlpm.qtys&gt;0),_xlpm.validSheets,_xlfn._xlws.FILTER(_xlpm.sheets,_xlpm.qtys&gt;0),_xlpm.mx,IFERROR(MAX(_xlpm.validNums),0),IF(_xlpm.mx=0,"",INDEX(_xlpm.validSheets,MATCH(_xlpm.mx,_xlpm.validNums,0))&amp;" (+"&amp;$R958&amp;")")))</f>
        <v/>
      </c>
      <c r="F958" s="11" t="str">
        <f t="shared" si="59"/>
        <v/>
      </c>
      <c r="G958" s="12" t="str">
        <f ca="1">IF($A958="","",IFERROR(SUMIF(INDIRECT("'"&amp;'Template Setup'!$C$4&amp;"'!C:C"),$A958,INDIRECT("'"&amp;'Template Setup'!$C$4&amp;"'!A:A")),0))</f>
        <v/>
      </c>
      <c r="H958" s="12" t="str">
        <f ca="1">IF($A958="","",IFERROR(SUMIF(INDIRECT("'"&amp;'Template Setup'!$C$5&amp;"'!C:C"),$A958,INDIRECT("'"&amp;'Template Setup'!$C$5&amp;"'!A:A")),0))</f>
        <v/>
      </c>
      <c r="I958" s="12" t="str">
        <f ca="1">IF($A958="","",IFERROR(SUMIF(INDIRECT("'"&amp;'Template Setup'!$C$6&amp;"'!C:C"),$A958,INDIRECT("'"&amp;'Template Setup'!$C$6&amp;"'!A:A")),0))</f>
        <v/>
      </c>
      <c r="J958" s="12" t="str">
        <f ca="1">IF($A958="","",IFERROR(SUMIF(INDIRECT("'"&amp;'Template Setup'!$C$7&amp;"'!C:C"),$A958,INDIRECT("'"&amp;'Template Setup'!$C$7&amp;"'!A:A")),0))</f>
        <v/>
      </c>
      <c r="K958" s="12" t="str">
        <f ca="1">IF($A958="","",IFERROR(SUMIF(INDIRECT("'"&amp;'Template Setup'!$C$8&amp;"'!C:C"),$A958,INDIRECT("'"&amp;'Template Setup'!$C$8&amp;"'!A:A")),0))</f>
        <v/>
      </c>
      <c r="L958" s="11" t="str">
        <f>IF($A958="","",IFERROR(VALUE(MID(TRIM('Template Setup'!$C$4),FIND("-",TRIM('Template Setup'!$C$4))+1,10)),0))</f>
        <v/>
      </c>
      <c r="M958" s="11" t="str">
        <f>IF($A958="","",IFERROR(VALUE(MID(TRIM('Template Setup'!$C$5),FIND("-",TRIM('Template Setup'!$C$5))+1,10)),0))</f>
        <v/>
      </c>
      <c r="N958" s="11" t="str">
        <f>IF($A958="","",IFERROR(VALUE(MID(TRIM('Template Setup'!$C$6),FIND("-",TRIM('Template Setup'!$C$6))+1,10)),0))</f>
        <v/>
      </c>
      <c r="O958" s="11" t="str">
        <f>IF($A958="","",IFERROR(VALUE(MID(TRIM('Template Setup'!$C$7),FIND("-",TRIM('Template Setup'!$C$7))+1,10)),0))</f>
        <v/>
      </c>
      <c r="P958" s="11" t="str">
        <f>IF($A958="","",IFERROR(VALUE(MID(TRIM('Template Setup'!$C$8),FIND("-",TRIM('Template Setup'!$C$8))+1,10)),0))</f>
        <v/>
      </c>
      <c r="Q958" s="9" t="str">
        <f>IF($A958="","",$A958&amp;"-"&amp;'Template Setup'!$C$16)</f>
        <v/>
      </c>
      <c r="R958" s="24" t="str">
        <f t="shared" si="57"/>
        <v/>
      </c>
      <c r="S958" s="24"/>
      <c r="T958" s="24" t="str">
        <f t="shared" si="58"/>
        <v/>
      </c>
      <c r="U958" s="6" t="str">
        <f t="shared" si="60"/>
        <v/>
      </c>
    </row>
    <row r="959" spans="1:21">
      <c r="A959" s="11"/>
      <c r="B959" s="11"/>
      <c r="C959" s="11"/>
      <c r="D959" s="11" t="str">
        <f>IF($A959="","",_xlfn.TEXTJOIN(", ",TRUE,IF($G959&gt;0,'Template Setup'!$C$4,""),IF($H959&gt;0,'Template Setup'!$C$5,""),IF($I959&gt;0,'Template Setup'!$C$6,""),IF($J959&gt;0,'Template Setup'!$C$7,""),IF($K959&gt;0,'Template Setup'!$C$8,"")))</f>
        <v/>
      </c>
      <c r="E959" s="6" t="str" cm="1">
        <f t="array" ref="E959">IF($A959="","",_xlfn.LET(_xlpm.sheets,CHOOSE({1,2,3,4,5},'Template Setup'!$C$4,'Template Setup'!$C$5,'Template Setup'!$C$6,'Template Setup'!$C$7,'Template Setup'!$C$8),_xlpm.nums,CHOOSE({1,2,3,4,5},$L959,$M959,$N959,$O959,$P959),_xlpm.qtys,CHOOSE({1,2,3,4,5},$G959,$H959,$I959,$J959,$K959),_xlpm.validNums,_xlfn._xlws.FILTER(_xlpm.nums,_xlpm.qtys&gt;0),_xlpm.validSheets,_xlfn._xlws.FILTER(_xlpm.sheets,_xlpm.qtys&gt;0),_xlpm.mx,IFERROR(MAX(_xlpm.validNums),0),IF(_xlpm.mx=0,"",INDEX(_xlpm.validSheets,MATCH(_xlpm.mx,_xlpm.validNums,0))&amp;" (+"&amp;$R959&amp;")")))</f>
        <v/>
      </c>
      <c r="F959" s="11" t="str">
        <f t="shared" si="59"/>
        <v/>
      </c>
      <c r="G959" s="12" t="str">
        <f ca="1">IF($A959="","",IFERROR(SUMIF(INDIRECT("'"&amp;'Template Setup'!$C$4&amp;"'!C:C"),$A959,INDIRECT("'"&amp;'Template Setup'!$C$4&amp;"'!A:A")),0))</f>
        <v/>
      </c>
      <c r="H959" s="12" t="str">
        <f ca="1">IF($A959="","",IFERROR(SUMIF(INDIRECT("'"&amp;'Template Setup'!$C$5&amp;"'!C:C"),$A959,INDIRECT("'"&amp;'Template Setup'!$C$5&amp;"'!A:A")),0))</f>
        <v/>
      </c>
      <c r="I959" s="12" t="str">
        <f ca="1">IF($A959="","",IFERROR(SUMIF(INDIRECT("'"&amp;'Template Setup'!$C$6&amp;"'!C:C"),$A959,INDIRECT("'"&amp;'Template Setup'!$C$6&amp;"'!A:A")),0))</f>
        <v/>
      </c>
      <c r="J959" s="12" t="str">
        <f ca="1">IF($A959="","",IFERROR(SUMIF(INDIRECT("'"&amp;'Template Setup'!$C$7&amp;"'!C:C"),$A959,INDIRECT("'"&amp;'Template Setup'!$C$7&amp;"'!A:A")),0))</f>
        <v/>
      </c>
      <c r="K959" s="12" t="str">
        <f ca="1">IF($A959="","",IFERROR(SUMIF(INDIRECT("'"&amp;'Template Setup'!$C$8&amp;"'!C:C"),$A959,INDIRECT("'"&amp;'Template Setup'!$C$8&amp;"'!A:A")),0))</f>
        <v/>
      </c>
      <c r="L959" s="11" t="str">
        <f>IF($A959="","",IFERROR(VALUE(MID(TRIM('Template Setup'!$C$4),FIND("-",TRIM('Template Setup'!$C$4))+1,10)),0))</f>
        <v/>
      </c>
      <c r="M959" s="11" t="str">
        <f>IF($A959="","",IFERROR(VALUE(MID(TRIM('Template Setup'!$C$5),FIND("-",TRIM('Template Setup'!$C$5))+1,10)),0))</f>
        <v/>
      </c>
      <c r="N959" s="11" t="str">
        <f>IF($A959="","",IFERROR(VALUE(MID(TRIM('Template Setup'!$C$6),FIND("-",TRIM('Template Setup'!$C$6))+1,10)),0))</f>
        <v/>
      </c>
      <c r="O959" s="11" t="str">
        <f>IF($A959="","",IFERROR(VALUE(MID(TRIM('Template Setup'!$C$7),FIND("-",TRIM('Template Setup'!$C$7))+1,10)),0))</f>
        <v/>
      </c>
      <c r="P959" s="11" t="str">
        <f>IF($A959="","",IFERROR(VALUE(MID(TRIM('Template Setup'!$C$8),FIND("-",TRIM('Template Setup'!$C$8))+1,10)),0))</f>
        <v/>
      </c>
      <c r="Q959" s="9" t="str">
        <f>IF($A959="","",$A959&amp;"-"&amp;'Template Setup'!$C$16)</f>
        <v/>
      </c>
      <c r="R959" s="24" t="str">
        <f t="shared" si="57"/>
        <v/>
      </c>
      <c r="S959" s="24"/>
      <c r="T959" s="24" t="str">
        <f t="shared" si="58"/>
        <v/>
      </c>
      <c r="U959" s="6" t="str">
        <f t="shared" si="60"/>
        <v/>
      </c>
    </row>
    <row r="960" spans="1:21">
      <c r="A960" s="11"/>
      <c r="B960" s="11"/>
      <c r="C960" s="11"/>
      <c r="D960" s="11" t="str">
        <f>IF($A960="","",_xlfn.TEXTJOIN(", ",TRUE,IF($G960&gt;0,'Template Setup'!$C$4,""),IF($H960&gt;0,'Template Setup'!$C$5,""),IF($I960&gt;0,'Template Setup'!$C$6,""),IF($J960&gt;0,'Template Setup'!$C$7,""),IF($K960&gt;0,'Template Setup'!$C$8,"")))</f>
        <v/>
      </c>
      <c r="E960" s="6" t="str" cm="1">
        <f t="array" ref="E960">IF($A960="","",_xlfn.LET(_xlpm.sheets,CHOOSE({1,2,3,4,5},'Template Setup'!$C$4,'Template Setup'!$C$5,'Template Setup'!$C$6,'Template Setup'!$C$7,'Template Setup'!$C$8),_xlpm.nums,CHOOSE({1,2,3,4,5},$L960,$M960,$N960,$O960,$P960),_xlpm.qtys,CHOOSE({1,2,3,4,5},$G960,$H960,$I960,$J960,$K960),_xlpm.validNums,_xlfn._xlws.FILTER(_xlpm.nums,_xlpm.qtys&gt;0),_xlpm.validSheets,_xlfn._xlws.FILTER(_xlpm.sheets,_xlpm.qtys&gt;0),_xlpm.mx,IFERROR(MAX(_xlpm.validNums),0),IF(_xlpm.mx=0,"",INDEX(_xlpm.validSheets,MATCH(_xlpm.mx,_xlpm.validNums,0))&amp;" (+"&amp;$R960&amp;")")))</f>
        <v/>
      </c>
      <c r="F960" s="11" t="str">
        <f t="shared" si="59"/>
        <v/>
      </c>
      <c r="G960" s="12" t="str">
        <f ca="1">IF($A960="","",IFERROR(SUMIF(INDIRECT("'"&amp;'Template Setup'!$C$4&amp;"'!C:C"),$A960,INDIRECT("'"&amp;'Template Setup'!$C$4&amp;"'!A:A")),0))</f>
        <v/>
      </c>
      <c r="H960" s="12" t="str">
        <f ca="1">IF($A960="","",IFERROR(SUMIF(INDIRECT("'"&amp;'Template Setup'!$C$5&amp;"'!C:C"),$A960,INDIRECT("'"&amp;'Template Setup'!$C$5&amp;"'!A:A")),0))</f>
        <v/>
      </c>
      <c r="I960" s="12" t="str">
        <f ca="1">IF($A960="","",IFERROR(SUMIF(INDIRECT("'"&amp;'Template Setup'!$C$6&amp;"'!C:C"),$A960,INDIRECT("'"&amp;'Template Setup'!$C$6&amp;"'!A:A")),0))</f>
        <v/>
      </c>
      <c r="J960" s="12" t="str">
        <f ca="1">IF($A960="","",IFERROR(SUMIF(INDIRECT("'"&amp;'Template Setup'!$C$7&amp;"'!C:C"),$A960,INDIRECT("'"&amp;'Template Setup'!$C$7&amp;"'!A:A")),0))</f>
        <v/>
      </c>
      <c r="K960" s="12" t="str">
        <f ca="1">IF($A960="","",IFERROR(SUMIF(INDIRECT("'"&amp;'Template Setup'!$C$8&amp;"'!C:C"),$A960,INDIRECT("'"&amp;'Template Setup'!$C$8&amp;"'!A:A")),0))</f>
        <v/>
      </c>
      <c r="L960" s="11" t="str">
        <f>IF($A960="","",IFERROR(VALUE(MID(TRIM('Template Setup'!$C$4),FIND("-",TRIM('Template Setup'!$C$4))+1,10)),0))</f>
        <v/>
      </c>
      <c r="M960" s="11" t="str">
        <f>IF($A960="","",IFERROR(VALUE(MID(TRIM('Template Setup'!$C$5),FIND("-",TRIM('Template Setup'!$C$5))+1,10)),0))</f>
        <v/>
      </c>
      <c r="N960" s="11" t="str">
        <f>IF($A960="","",IFERROR(VALUE(MID(TRIM('Template Setup'!$C$6),FIND("-",TRIM('Template Setup'!$C$6))+1,10)),0))</f>
        <v/>
      </c>
      <c r="O960" s="11" t="str">
        <f>IF($A960="","",IFERROR(VALUE(MID(TRIM('Template Setup'!$C$7),FIND("-",TRIM('Template Setup'!$C$7))+1,10)),0))</f>
        <v/>
      </c>
      <c r="P960" s="11" t="str">
        <f>IF($A960="","",IFERROR(VALUE(MID(TRIM('Template Setup'!$C$8),FIND("-",TRIM('Template Setup'!$C$8))+1,10)),0))</f>
        <v/>
      </c>
      <c r="Q960" s="9" t="str">
        <f>IF($A960="","",$A960&amp;"-"&amp;'Template Setup'!$C$16)</f>
        <v/>
      </c>
      <c r="R960" s="24" t="str">
        <f t="shared" si="57"/>
        <v/>
      </c>
      <c r="S960" s="24"/>
      <c r="T960" s="24" t="str">
        <f t="shared" si="58"/>
        <v/>
      </c>
      <c r="U960" s="6" t="str">
        <f t="shared" si="60"/>
        <v/>
      </c>
    </row>
    <row r="961" spans="1:21">
      <c r="A961" s="11"/>
      <c r="B961" s="11"/>
      <c r="C961" s="11"/>
      <c r="D961" s="11" t="str">
        <f>IF($A961="","",_xlfn.TEXTJOIN(", ",TRUE,IF($G961&gt;0,'Template Setup'!$C$4,""),IF($H961&gt;0,'Template Setup'!$C$5,""),IF($I961&gt;0,'Template Setup'!$C$6,""),IF($J961&gt;0,'Template Setup'!$C$7,""),IF($K961&gt;0,'Template Setup'!$C$8,"")))</f>
        <v/>
      </c>
      <c r="E961" s="6" t="str" cm="1">
        <f t="array" ref="E961">IF($A961="","",_xlfn.LET(_xlpm.sheets,CHOOSE({1,2,3,4,5},'Template Setup'!$C$4,'Template Setup'!$C$5,'Template Setup'!$C$6,'Template Setup'!$C$7,'Template Setup'!$C$8),_xlpm.nums,CHOOSE({1,2,3,4,5},$L961,$M961,$N961,$O961,$P961),_xlpm.qtys,CHOOSE({1,2,3,4,5},$G961,$H961,$I961,$J961,$K961),_xlpm.validNums,_xlfn._xlws.FILTER(_xlpm.nums,_xlpm.qtys&gt;0),_xlpm.validSheets,_xlfn._xlws.FILTER(_xlpm.sheets,_xlpm.qtys&gt;0),_xlpm.mx,IFERROR(MAX(_xlpm.validNums),0),IF(_xlpm.mx=0,"",INDEX(_xlpm.validSheets,MATCH(_xlpm.mx,_xlpm.validNums,0))&amp;" (+"&amp;$R961&amp;")")))</f>
        <v/>
      </c>
      <c r="F961" s="11" t="str">
        <f t="shared" si="59"/>
        <v/>
      </c>
      <c r="G961" s="12" t="str">
        <f ca="1">IF($A961="","",IFERROR(SUMIF(INDIRECT("'"&amp;'Template Setup'!$C$4&amp;"'!C:C"),$A961,INDIRECT("'"&amp;'Template Setup'!$C$4&amp;"'!A:A")),0))</f>
        <v/>
      </c>
      <c r="H961" s="12" t="str">
        <f ca="1">IF($A961="","",IFERROR(SUMIF(INDIRECT("'"&amp;'Template Setup'!$C$5&amp;"'!C:C"),$A961,INDIRECT("'"&amp;'Template Setup'!$C$5&amp;"'!A:A")),0))</f>
        <v/>
      </c>
      <c r="I961" s="12" t="str">
        <f ca="1">IF($A961="","",IFERROR(SUMIF(INDIRECT("'"&amp;'Template Setup'!$C$6&amp;"'!C:C"),$A961,INDIRECT("'"&amp;'Template Setup'!$C$6&amp;"'!A:A")),0))</f>
        <v/>
      </c>
      <c r="J961" s="12" t="str">
        <f ca="1">IF($A961="","",IFERROR(SUMIF(INDIRECT("'"&amp;'Template Setup'!$C$7&amp;"'!C:C"),$A961,INDIRECT("'"&amp;'Template Setup'!$C$7&amp;"'!A:A")),0))</f>
        <v/>
      </c>
      <c r="K961" s="12" t="str">
        <f ca="1">IF($A961="","",IFERROR(SUMIF(INDIRECT("'"&amp;'Template Setup'!$C$8&amp;"'!C:C"),$A961,INDIRECT("'"&amp;'Template Setup'!$C$8&amp;"'!A:A")),0))</f>
        <v/>
      </c>
      <c r="L961" s="11" t="str">
        <f>IF($A961="","",IFERROR(VALUE(MID(TRIM('Template Setup'!$C$4),FIND("-",TRIM('Template Setup'!$C$4))+1,10)),0))</f>
        <v/>
      </c>
      <c r="M961" s="11" t="str">
        <f>IF($A961="","",IFERROR(VALUE(MID(TRIM('Template Setup'!$C$5),FIND("-",TRIM('Template Setup'!$C$5))+1,10)),0))</f>
        <v/>
      </c>
      <c r="N961" s="11" t="str">
        <f>IF($A961="","",IFERROR(VALUE(MID(TRIM('Template Setup'!$C$6),FIND("-",TRIM('Template Setup'!$C$6))+1,10)),0))</f>
        <v/>
      </c>
      <c r="O961" s="11" t="str">
        <f>IF($A961="","",IFERROR(VALUE(MID(TRIM('Template Setup'!$C$7),FIND("-",TRIM('Template Setup'!$C$7))+1,10)),0))</f>
        <v/>
      </c>
      <c r="P961" s="11" t="str">
        <f>IF($A961="","",IFERROR(VALUE(MID(TRIM('Template Setup'!$C$8),FIND("-",TRIM('Template Setup'!$C$8))+1,10)),0))</f>
        <v/>
      </c>
      <c r="Q961" s="9" t="str">
        <f>IF($A961="","",$A961&amp;"-"&amp;'Template Setup'!$C$16)</f>
        <v/>
      </c>
      <c r="R961" s="24" t="str">
        <f t="shared" si="57"/>
        <v/>
      </c>
      <c r="S961" s="24"/>
      <c r="T961" s="24" t="str">
        <f t="shared" si="58"/>
        <v/>
      </c>
      <c r="U961" s="6" t="str">
        <f t="shared" si="60"/>
        <v/>
      </c>
    </row>
    <row r="962" spans="1:21">
      <c r="A962" s="11"/>
      <c r="B962" s="11"/>
      <c r="C962" s="11"/>
      <c r="D962" s="11" t="str">
        <f>IF($A962="","",_xlfn.TEXTJOIN(", ",TRUE,IF($G962&gt;0,'Template Setup'!$C$4,""),IF($H962&gt;0,'Template Setup'!$C$5,""),IF($I962&gt;0,'Template Setup'!$C$6,""),IF($J962&gt;0,'Template Setup'!$C$7,""),IF($K962&gt;0,'Template Setup'!$C$8,"")))</f>
        <v/>
      </c>
      <c r="E962" s="6" t="str" cm="1">
        <f t="array" ref="E962">IF($A962="","",_xlfn.LET(_xlpm.sheets,CHOOSE({1,2,3,4,5},'Template Setup'!$C$4,'Template Setup'!$C$5,'Template Setup'!$C$6,'Template Setup'!$C$7,'Template Setup'!$C$8),_xlpm.nums,CHOOSE({1,2,3,4,5},$L962,$M962,$N962,$O962,$P962),_xlpm.qtys,CHOOSE({1,2,3,4,5},$G962,$H962,$I962,$J962,$K962),_xlpm.validNums,_xlfn._xlws.FILTER(_xlpm.nums,_xlpm.qtys&gt;0),_xlpm.validSheets,_xlfn._xlws.FILTER(_xlpm.sheets,_xlpm.qtys&gt;0),_xlpm.mx,IFERROR(MAX(_xlpm.validNums),0),IF(_xlpm.mx=0,"",INDEX(_xlpm.validSheets,MATCH(_xlpm.mx,_xlpm.validNums,0))&amp;" (+"&amp;$R962&amp;")")))</f>
        <v/>
      </c>
      <c r="F962" s="11" t="str">
        <f t="shared" si="59"/>
        <v/>
      </c>
      <c r="G962" s="12" t="str">
        <f ca="1">IF($A962="","",IFERROR(SUMIF(INDIRECT("'"&amp;'Template Setup'!$C$4&amp;"'!C:C"),$A962,INDIRECT("'"&amp;'Template Setup'!$C$4&amp;"'!A:A")),0))</f>
        <v/>
      </c>
      <c r="H962" s="12" t="str">
        <f ca="1">IF($A962="","",IFERROR(SUMIF(INDIRECT("'"&amp;'Template Setup'!$C$5&amp;"'!C:C"),$A962,INDIRECT("'"&amp;'Template Setup'!$C$5&amp;"'!A:A")),0))</f>
        <v/>
      </c>
      <c r="I962" s="12" t="str">
        <f ca="1">IF($A962="","",IFERROR(SUMIF(INDIRECT("'"&amp;'Template Setup'!$C$6&amp;"'!C:C"),$A962,INDIRECT("'"&amp;'Template Setup'!$C$6&amp;"'!A:A")),0))</f>
        <v/>
      </c>
      <c r="J962" s="12" t="str">
        <f ca="1">IF($A962="","",IFERROR(SUMIF(INDIRECT("'"&amp;'Template Setup'!$C$7&amp;"'!C:C"),$A962,INDIRECT("'"&amp;'Template Setup'!$C$7&amp;"'!A:A")),0))</f>
        <v/>
      </c>
      <c r="K962" s="12" t="str">
        <f ca="1">IF($A962="","",IFERROR(SUMIF(INDIRECT("'"&amp;'Template Setup'!$C$8&amp;"'!C:C"),$A962,INDIRECT("'"&amp;'Template Setup'!$C$8&amp;"'!A:A")),0))</f>
        <v/>
      </c>
      <c r="L962" s="11" t="str">
        <f>IF($A962="","",IFERROR(VALUE(MID(TRIM('Template Setup'!$C$4),FIND("-",TRIM('Template Setup'!$C$4))+1,10)),0))</f>
        <v/>
      </c>
      <c r="M962" s="11" t="str">
        <f>IF($A962="","",IFERROR(VALUE(MID(TRIM('Template Setup'!$C$5),FIND("-",TRIM('Template Setup'!$C$5))+1,10)),0))</f>
        <v/>
      </c>
      <c r="N962" s="11" t="str">
        <f>IF($A962="","",IFERROR(VALUE(MID(TRIM('Template Setup'!$C$6),FIND("-",TRIM('Template Setup'!$C$6))+1,10)),0))</f>
        <v/>
      </c>
      <c r="O962" s="11" t="str">
        <f>IF($A962="","",IFERROR(VALUE(MID(TRIM('Template Setup'!$C$7),FIND("-",TRIM('Template Setup'!$C$7))+1,10)),0))</f>
        <v/>
      </c>
      <c r="P962" s="11" t="str">
        <f>IF($A962="","",IFERROR(VALUE(MID(TRIM('Template Setup'!$C$8),FIND("-",TRIM('Template Setup'!$C$8))+1,10)),0))</f>
        <v/>
      </c>
      <c r="Q962" s="9" t="str">
        <f>IF($A962="","",$A962&amp;"-"&amp;'Template Setup'!$C$16)</f>
        <v/>
      </c>
      <c r="R962" s="24" t="str">
        <f t="shared" ref="R962:R1000" si="61">IF($A962="","",SUM($G962:$K962))</f>
        <v/>
      </c>
      <c r="S962" s="24"/>
      <c r="T962" s="24" t="str">
        <f t="shared" ref="T962:T1025" si="62">IF($A962="","",IF(ISBLANK(S962),"",N(R962)+S962))</f>
        <v/>
      </c>
      <c r="U962" s="6" t="str">
        <f t="shared" si="60"/>
        <v/>
      </c>
    </row>
    <row r="963" spans="1:21">
      <c r="A963" s="11"/>
      <c r="B963" s="11"/>
      <c r="C963" s="11"/>
      <c r="D963" s="11" t="str">
        <f>IF($A963="","",_xlfn.TEXTJOIN(", ",TRUE,IF($G963&gt;0,'Template Setup'!$C$4,""),IF($H963&gt;0,'Template Setup'!$C$5,""),IF($I963&gt;0,'Template Setup'!$C$6,""),IF($J963&gt;0,'Template Setup'!$C$7,""),IF($K963&gt;0,'Template Setup'!$C$8,"")))</f>
        <v/>
      </c>
      <c r="E963" s="6" t="str" cm="1">
        <f t="array" ref="E963">IF($A963="","",_xlfn.LET(_xlpm.sheets,CHOOSE({1,2,3,4,5},'Template Setup'!$C$4,'Template Setup'!$C$5,'Template Setup'!$C$6,'Template Setup'!$C$7,'Template Setup'!$C$8),_xlpm.nums,CHOOSE({1,2,3,4,5},$L963,$M963,$N963,$O963,$P963),_xlpm.qtys,CHOOSE({1,2,3,4,5},$G963,$H963,$I963,$J963,$K963),_xlpm.validNums,_xlfn._xlws.FILTER(_xlpm.nums,_xlpm.qtys&gt;0),_xlpm.validSheets,_xlfn._xlws.FILTER(_xlpm.sheets,_xlpm.qtys&gt;0),_xlpm.mx,IFERROR(MAX(_xlpm.validNums),0),IF(_xlpm.mx=0,"",INDEX(_xlpm.validSheets,MATCH(_xlpm.mx,_xlpm.validNums,0))&amp;" (+"&amp;$R963&amp;")")))</f>
        <v/>
      </c>
      <c r="F963" s="11" t="str">
        <f t="shared" ref="F963:F1000" si="63">IF($E963="","","PACP-"&amp;LEFT($E963,FIND("-",$E963)-1)&amp;"-000"&amp;MID($E963,FIND("-",$E963)+1,3))</f>
        <v/>
      </c>
      <c r="G963" s="12" t="str">
        <f ca="1">IF($A963="","",IFERROR(SUMIF(INDIRECT("'"&amp;'Template Setup'!$C$4&amp;"'!C:C"),$A963,INDIRECT("'"&amp;'Template Setup'!$C$4&amp;"'!A:A")),0))</f>
        <v/>
      </c>
      <c r="H963" s="12" t="str">
        <f ca="1">IF($A963="","",IFERROR(SUMIF(INDIRECT("'"&amp;'Template Setup'!$C$5&amp;"'!C:C"),$A963,INDIRECT("'"&amp;'Template Setup'!$C$5&amp;"'!A:A")),0))</f>
        <v/>
      </c>
      <c r="I963" s="12" t="str">
        <f ca="1">IF($A963="","",IFERROR(SUMIF(INDIRECT("'"&amp;'Template Setup'!$C$6&amp;"'!C:C"),$A963,INDIRECT("'"&amp;'Template Setup'!$C$6&amp;"'!A:A")),0))</f>
        <v/>
      </c>
      <c r="J963" s="12" t="str">
        <f ca="1">IF($A963="","",IFERROR(SUMIF(INDIRECT("'"&amp;'Template Setup'!$C$7&amp;"'!C:C"),$A963,INDIRECT("'"&amp;'Template Setup'!$C$7&amp;"'!A:A")),0))</f>
        <v/>
      </c>
      <c r="K963" s="12" t="str">
        <f ca="1">IF($A963="","",IFERROR(SUMIF(INDIRECT("'"&amp;'Template Setup'!$C$8&amp;"'!C:C"),$A963,INDIRECT("'"&amp;'Template Setup'!$C$8&amp;"'!A:A")),0))</f>
        <v/>
      </c>
      <c r="L963" s="11" t="str">
        <f>IF($A963="","",IFERROR(VALUE(MID(TRIM('Template Setup'!$C$4),FIND("-",TRIM('Template Setup'!$C$4))+1,10)),0))</f>
        <v/>
      </c>
      <c r="M963" s="11" t="str">
        <f>IF($A963="","",IFERROR(VALUE(MID(TRIM('Template Setup'!$C$5),FIND("-",TRIM('Template Setup'!$C$5))+1,10)),0))</f>
        <v/>
      </c>
      <c r="N963" s="11" t="str">
        <f>IF($A963="","",IFERROR(VALUE(MID(TRIM('Template Setup'!$C$6),FIND("-",TRIM('Template Setup'!$C$6))+1,10)),0))</f>
        <v/>
      </c>
      <c r="O963" s="11" t="str">
        <f>IF($A963="","",IFERROR(VALUE(MID(TRIM('Template Setup'!$C$7),FIND("-",TRIM('Template Setup'!$C$7))+1,10)),0))</f>
        <v/>
      </c>
      <c r="P963" s="11" t="str">
        <f>IF($A963="","",IFERROR(VALUE(MID(TRIM('Template Setup'!$C$8),FIND("-",TRIM('Template Setup'!$C$8))+1,10)),0))</f>
        <v/>
      </c>
      <c r="Q963" s="9" t="str">
        <f>IF($A963="","",$A963&amp;"-"&amp;'Template Setup'!$C$16)</f>
        <v/>
      </c>
      <c r="R963" s="24" t="str">
        <f t="shared" si="61"/>
        <v/>
      </c>
      <c r="S963" s="24"/>
      <c r="T963" s="24" t="str">
        <f t="shared" si="62"/>
        <v/>
      </c>
      <c r="U963" s="6" t="str">
        <f t="shared" si="60"/>
        <v/>
      </c>
    </row>
    <row r="964" spans="1:21">
      <c r="A964" s="11"/>
      <c r="B964" s="11"/>
      <c r="C964" s="11"/>
      <c r="D964" s="11" t="str">
        <f>IF($A964="","",_xlfn.TEXTJOIN(", ",TRUE,IF($G964&gt;0,'Template Setup'!$C$4,""),IF($H964&gt;0,'Template Setup'!$C$5,""),IF($I964&gt;0,'Template Setup'!$C$6,""),IF($J964&gt;0,'Template Setup'!$C$7,""),IF($K964&gt;0,'Template Setup'!$C$8,"")))</f>
        <v/>
      </c>
      <c r="E964" s="6" t="str" cm="1">
        <f t="array" ref="E964">IF($A964="","",_xlfn.LET(_xlpm.sheets,CHOOSE({1,2,3,4,5},'Template Setup'!$C$4,'Template Setup'!$C$5,'Template Setup'!$C$6,'Template Setup'!$C$7,'Template Setup'!$C$8),_xlpm.nums,CHOOSE({1,2,3,4,5},$L964,$M964,$N964,$O964,$P964),_xlpm.qtys,CHOOSE({1,2,3,4,5},$G964,$H964,$I964,$J964,$K964),_xlpm.validNums,_xlfn._xlws.FILTER(_xlpm.nums,_xlpm.qtys&gt;0),_xlpm.validSheets,_xlfn._xlws.FILTER(_xlpm.sheets,_xlpm.qtys&gt;0),_xlpm.mx,IFERROR(MAX(_xlpm.validNums),0),IF(_xlpm.mx=0,"",INDEX(_xlpm.validSheets,MATCH(_xlpm.mx,_xlpm.validNums,0))&amp;" (+"&amp;$R964&amp;")")))</f>
        <v/>
      </c>
      <c r="F964" s="11" t="str">
        <f t="shared" si="63"/>
        <v/>
      </c>
      <c r="G964" s="12" t="str">
        <f ca="1">IF($A964="","",IFERROR(SUMIF(INDIRECT("'"&amp;'Template Setup'!$C$4&amp;"'!C:C"),$A964,INDIRECT("'"&amp;'Template Setup'!$C$4&amp;"'!A:A")),0))</f>
        <v/>
      </c>
      <c r="H964" s="12" t="str">
        <f ca="1">IF($A964="","",IFERROR(SUMIF(INDIRECT("'"&amp;'Template Setup'!$C$5&amp;"'!C:C"),$A964,INDIRECT("'"&amp;'Template Setup'!$C$5&amp;"'!A:A")),0))</f>
        <v/>
      </c>
      <c r="I964" s="12" t="str">
        <f ca="1">IF($A964="","",IFERROR(SUMIF(INDIRECT("'"&amp;'Template Setup'!$C$6&amp;"'!C:C"),$A964,INDIRECT("'"&amp;'Template Setup'!$C$6&amp;"'!A:A")),0))</f>
        <v/>
      </c>
      <c r="J964" s="12" t="str">
        <f ca="1">IF($A964="","",IFERROR(SUMIF(INDIRECT("'"&amp;'Template Setup'!$C$7&amp;"'!C:C"),$A964,INDIRECT("'"&amp;'Template Setup'!$C$7&amp;"'!A:A")),0))</f>
        <v/>
      </c>
      <c r="K964" s="12" t="str">
        <f ca="1">IF($A964="","",IFERROR(SUMIF(INDIRECT("'"&amp;'Template Setup'!$C$8&amp;"'!C:C"),$A964,INDIRECT("'"&amp;'Template Setup'!$C$8&amp;"'!A:A")),0))</f>
        <v/>
      </c>
      <c r="L964" s="11" t="str">
        <f>IF($A964="","",IFERROR(VALUE(MID(TRIM('Template Setup'!$C$4),FIND("-",TRIM('Template Setup'!$C$4))+1,10)),0))</f>
        <v/>
      </c>
      <c r="M964" s="11" t="str">
        <f>IF($A964="","",IFERROR(VALUE(MID(TRIM('Template Setup'!$C$5),FIND("-",TRIM('Template Setup'!$C$5))+1,10)),0))</f>
        <v/>
      </c>
      <c r="N964" s="11" t="str">
        <f>IF($A964="","",IFERROR(VALUE(MID(TRIM('Template Setup'!$C$6),FIND("-",TRIM('Template Setup'!$C$6))+1,10)),0))</f>
        <v/>
      </c>
      <c r="O964" s="11" t="str">
        <f>IF($A964="","",IFERROR(VALUE(MID(TRIM('Template Setup'!$C$7),FIND("-",TRIM('Template Setup'!$C$7))+1,10)),0))</f>
        <v/>
      </c>
      <c r="P964" s="11" t="str">
        <f>IF($A964="","",IFERROR(VALUE(MID(TRIM('Template Setup'!$C$8),FIND("-",TRIM('Template Setup'!$C$8))+1,10)),0))</f>
        <v/>
      </c>
      <c r="Q964" s="9" t="str">
        <f>IF($A964="","",$A964&amp;"-"&amp;'Template Setup'!$C$16)</f>
        <v/>
      </c>
      <c r="R964" s="24" t="str">
        <f t="shared" si="61"/>
        <v/>
      </c>
      <c r="S964" s="24"/>
      <c r="T964" s="24" t="str">
        <f t="shared" si="62"/>
        <v/>
      </c>
      <c r="U964" s="6" t="str">
        <f t="shared" si="60"/>
        <v/>
      </c>
    </row>
    <row r="965" spans="1:21">
      <c r="A965" s="11"/>
      <c r="B965" s="11"/>
      <c r="C965" s="11"/>
      <c r="D965" s="11" t="str">
        <f>IF($A965="","",_xlfn.TEXTJOIN(", ",TRUE,IF($G965&gt;0,'Template Setup'!$C$4,""),IF($H965&gt;0,'Template Setup'!$C$5,""),IF($I965&gt;0,'Template Setup'!$C$6,""),IF($J965&gt;0,'Template Setup'!$C$7,""),IF($K965&gt;0,'Template Setup'!$C$8,"")))</f>
        <v/>
      </c>
      <c r="E965" s="6" t="str" cm="1">
        <f t="array" ref="E965">IF($A965="","",_xlfn.LET(_xlpm.sheets,CHOOSE({1,2,3,4,5},'Template Setup'!$C$4,'Template Setup'!$C$5,'Template Setup'!$C$6,'Template Setup'!$C$7,'Template Setup'!$C$8),_xlpm.nums,CHOOSE({1,2,3,4,5},$L965,$M965,$N965,$O965,$P965),_xlpm.qtys,CHOOSE({1,2,3,4,5},$G965,$H965,$I965,$J965,$K965),_xlpm.validNums,_xlfn._xlws.FILTER(_xlpm.nums,_xlpm.qtys&gt;0),_xlpm.validSheets,_xlfn._xlws.FILTER(_xlpm.sheets,_xlpm.qtys&gt;0),_xlpm.mx,IFERROR(MAX(_xlpm.validNums),0),IF(_xlpm.mx=0,"",INDEX(_xlpm.validSheets,MATCH(_xlpm.mx,_xlpm.validNums,0))&amp;" (+"&amp;$R965&amp;")")))</f>
        <v/>
      </c>
      <c r="F965" s="11" t="str">
        <f t="shared" si="63"/>
        <v/>
      </c>
      <c r="G965" s="12" t="str">
        <f ca="1">IF($A965="","",IFERROR(SUMIF(INDIRECT("'"&amp;'Template Setup'!$C$4&amp;"'!C:C"),$A965,INDIRECT("'"&amp;'Template Setup'!$C$4&amp;"'!A:A")),0))</f>
        <v/>
      </c>
      <c r="H965" s="12" t="str">
        <f ca="1">IF($A965="","",IFERROR(SUMIF(INDIRECT("'"&amp;'Template Setup'!$C$5&amp;"'!C:C"),$A965,INDIRECT("'"&amp;'Template Setup'!$C$5&amp;"'!A:A")),0))</f>
        <v/>
      </c>
      <c r="I965" s="12" t="str">
        <f ca="1">IF($A965="","",IFERROR(SUMIF(INDIRECT("'"&amp;'Template Setup'!$C$6&amp;"'!C:C"),$A965,INDIRECT("'"&amp;'Template Setup'!$C$6&amp;"'!A:A")),0))</f>
        <v/>
      </c>
      <c r="J965" s="12" t="str">
        <f ca="1">IF($A965="","",IFERROR(SUMIF(INDIRECT("'"&amp;'Template Setup'!$C$7&amp;"'!C:C"),$A965,INDIRECT("'"&amp;'Template Setup'!$C$7&amp;"'!A:A")),0))</f>
        <v/>
      </c>
      <c r="K965" s="12" t="str">
        <f ca="1">IF($A965="","",IFERROR(SUMIF(INDIRECT("'"&amp;'Template Setup'!$C$8&amp;"'!C:C"),$A965,INDIRECT("'"&amp;'Template Setup'!$C$8&amp;"'!A:A")),0))</f>
        <v/>
      </c>
      <c r="L965" s="11" t="str">
        <f>IF($A965="","",IFERROR(VALUE(MID(TRIM('Template Setup'!$C$4),FIND("-",TRIM('Template Setup'!$C$4))+1,10)),0))</f>
        <v/>
      </c>
      <c r="M965" s="11" t="str">
        <f>IF($A965="","",IFERROR(VALUE(MID(TRIM('Template Setup'!$C$5),FIND("-",TRIM('Template Setup'!$C$5))+1,10)),0))</f>
        <v/>
      </c>
      <c r="N965" s="11" t="str">
        <f>IF($A965="","",IFERROR(VALUE(MID(TRIM('Template Setup'!$C$6),FIND("-",TRIM('Template Setup'!$C$6))+1,10)),0))</f>
        <v/>
      </c>
      <c r="O965" s="11" t="str">
        <f>IF($A965="","",IFERROR(VALUE(MID(TRIM('Template Setup'!$C$7),FIND("-",TRIM('Template Setup'!$C$7))+1,10)),0))</f>
        <v/>
      </c>
      <c r="P965" s="11" t="str">
        <f>IF($A965="","",IFERROR(VALUE(MID(TRIM('Template Setup'!$C$8),FIND("-",TRIM('Template Setup'!$C$8))+1,10)),0))</f>
        <v/>
      </c>
      <c r="Q965" s="9" t="str">
        <f>IF($A965="","",$A965&amp;"-"&amp;'Template Setup'!$C$16)</f>
        <v/>
      </c>
      <c r="R965" s="24" t="str">
        <f t="shared" si="61"/>
        <v/>
      </c>
      <c r="S965" s="24"/>
      <c r="T965" s="24" t="str">
        <f t="shared" si="62"/>
        <v/>
      </c>
      <c r="U965" s="6" t="str">
        <f t="shared" si="60"/>
        <v/>
      </c>
    </row>
    <row r="966" spans="1:21">
      <c r="A966" s="11"/>
      <c r="B966" s="11"/>
      <c r="C966" s="11"/>
      <c r="D966" s="11" t="str">
        <f>IF($A966="","",_xlfn.TEXTJOIN(", ",TRUE,IF($G966&gt;0,'Template Setup'!$C$4,""),IF($H966&gt;0,'Template Setup'!$C$5,""),IF($I966&gt;0,'Template Setup'!$C$6,""),IF($J966&gt;0,'Template Setup'!$C$7,""),IF($K966&gt;0,'Template Setup'!$C$8,"")))</f>
        <v/>
      </c>
      <c r="E966" s="6" t="str" cm="1">
        <f t="array" ref="E966">IF($A966="","",_xlfn.LET(_xlpm.sheets,CHOOSE({1,2,3,4,5},'Template Setup'!$C$4,'Template Setup'!$C$5,'Template Setup'!$C$6,'Template Setup'!$C$7,'Template Setup'!$C$8),_xlpm.nums,CHOOSE({1,2,3,4,5},$L966,$M966,$N966,$O966,$P966),_xlpm.qtys,CHOOSE({1,2,3,4,5},$G966,$H966,$I966,$J966,$K966),_xlpm.validNums,_xlfn._xlws.FILTER(_xlpm.nums,_xlpm.qtys&gt;0),_xlpm.validSheets,_xlfn._xlws.FILTER(_xlpm.sheets,_xlpm.qtys&gt;0),_xlpm.mx,IFERROR(MAX(_xlpm.validNums),0),IF(_xlpm.mx=0,"",INDEX(_xlpm.validSheets,MATCH(_xlpm.mx,_xlpm.validNums,0))&amp;" (+"&amp;$R966&amp;")")))</f>
        <v/>
      </c>
      <c r="F966" s="11" t="str">
        <f t="shared" si="63"/>
        <v/>
      </c>
      <c r="G966" s="12" t="str">
        <f ca="1">IF($A966="","",IFERROR(SUMIF(INDIRECT("'"&amp;'Template Setup'!$C$4&amp;"'!C:C"),$A966,INDIRECT("'"&amp;'Template Setup'!$C$4&amp;"'!A:A")),0))</f>
        <v/>
      </c>
      <c r="H966" s="12" t="str">
        <f ca="1">IF($A966="","",IFERROR(SUMIF(INDIRECT("'"&amp;'Template Setup'!$C$5&amp;"'!C:C"),$A966,INDIRECT("'"&amp;'Template Setup'!$C$5&amp;"'!A:A")),0))</f>
        <v/>
      </c>
      <c r="I966" s="12" t="str">
        <f ca="1">IF($A966="","",IFERROR(SUMIF(INDIRECT("'"&amp;'Template Setup'!$C$6&amp;"'!C:C"),$A966,INDIRECT("'"&amp;'Template Setup'!$C$6&amp;"'!A:A")),0))</f>
        <v/>
      </c>
      <c r="J966" s="12" t="str">
        <f ca="1">IF($A966="","",IFERROR(SUMIF(INDIRECT("'"&amp;'Template Setup'!$C$7&amp;"'!C:C"),$A966,INDIRECT("'"&amp;'Template Setup'!$C$7&amp;"'!A:A")),0))</f>
        <v/>
      </c>
      <c r="K966" s="12" t="str">
        <f ca="1">IF($A966="","",IFERROR(SUMIF(INDIRECT("'"&amp;'Template Setup'!$C$8&amp;"'!C:C"),$A966,INDIRECT("'"&amp;'Template Setup'!$C$8&amp;"'!A:A")),0))</f>
        <v/>
      </c>
      <c r="L966" s="11" t="str">
        <f>IF($A966="","",IFERROR(VALUE(MID(TRIM('Template Setup'!$C$4),FIND("-",TRIM('Template Setup'!$C$4))+1,10)),0))</f>
        <v/>
      </c>
      <c r="M966" s="11" t="str">
        <f>IF($A966="","",IFERROR(VALUE(MID(TRIM('Template Setup'!$C$5),FIND("-",TRIM('Template Setup'!$C$5))+1,10)),0))</f>
        <v/>
      </c>
      <c r="N966" s="11" t="str">
        <f>IF($A966="","",IFERROR(VALUE(MID(TRIM('Template Setup'!$C$6),FIND("-",TRIM('Template Setup'!$C$6))+1,10)),0))</f>
        <v/>
      </c>
      <c r="O966" s="11" t="str">
        <f>IF($A966="","",IFERROR(VALUE(MID(TRIM('Template Setup'!$C$7),FIND("-",TRIM('Template Setup'!$C$7))+1,10)),0))</f>
        <v/>
      </c>
      <c r="P966" s="11" t="str">
        <f>IF($A966="","",IFERROR(VALUE(MID(TRIM('Template Setup'!$C$8),FIND("-",TRIM('Template Setup'!$C$8))+1,10)),0))</f>
        <v/>
      </c>
      <c r="Q966" s="9" t="str">
        <f>IF($A966="","",$A966&amp;"-"&amp;'Template Setup'!$C$16)</f>
        <v/>
      </c>
      <c r="R966" s="24" t="str">
        <f t="shared" si="61"/>
        <v/>
      </c>
      <c r="S966" s="24"/>
      <c r="T966" s="24" t="str">
        <f t="shared" si="62"/>
        <v/>
      </c>
      <c r="U966" s="6" t="str">
        <f t="shared" si="60"/>
        <v/>
      </c>
    </row>
    <row r="967" spans="1:21">
      <c r="A967" s="11"/>
      <c r="B967" s="11"/>
      <c r="C967" s="11"/>
      <c r="D967" s="11" t="str">
        <f>IF($A967="","",_xlfn.TEXTJOIN(", ",TRUE,IF($G967&gt;0,'Template Setup'!$C$4,""),IF($H967&gt;0,'Template Setup'!$C$5,""),IF($I967&gt;0,'Template Setup'!$C$6,""),IF($J967&gt;0,'Template Setup'!$C$7,""),IF($K967&gt;0,'Template Setup'!$C$8,"")))</f>
        <v/>
      </c>
      <c r="E967" s="6" t="str" cm="1">
        <f t="array" ref="E967">IF($A967="","",_xlfn.LET(_xlpm.sheets,CHOOSE({1,2,3,4,5},'Template Setup'!$C$4,'Template Setup'!$C$5,'Template Setup'!$C$6,'Template Setup'!$C$7,'Template Setup'!$C$8),_xlpm.nums,CHOOSE({1,2,3,4,5},$L967,$M967,$N967,$O967,$P967),_xlpm.qtys,CHOOSE({1,2,3,4,5},$G967,$H967,$I967,$J967,$K967),_xlpm.validNums,_xlfn._xlws.FILTER(_xlpm.nums,_xlpm.qtys&gt;0),_xlpm.validSheets,_xlfn._xlws.FILTER(_xlpm.sheets,_xlpm.qtys&gt;0),_xlpm.mx,IFERROR(MAX(_xlpm.validNums),0),IF(_xlpm.mx=0,"",INDEX(_xlpm.validSheets,MATCH(_xlpm.mx,_xlpm.validNums,0))&amp;" (+"&amp;$R967&amp;")")))</f>
        <v/>
      </c>
      <c r="F967" s="11" t="str">
        <f t="shared" si="63"/>
        <v/>
      </c>
      <c r="G967" s="12" t="str">
        <f ca="1">IF($A967="","",IFERROR(SUMIF(INDIRECT("'"&amp;'Template Setup'!$C$4&amp;"'!C:C"),$A967,INDIRECT("'"&amp;'Template Setup'!$C$4&amp;"'!A:A")),0))</f>
        <v/>
      </c>
      <c r="H967" s="12" t="str">
        <f ca="1">IF($A967="","",IFERROR(SUMIF(INDIRECT("'"&amp;'Template Setup'!$C$5&amp;"'!C:C"),$A967,INDIRECT("'"&amp;'Template Setup'!$C$5&amp;"'!A:A")),0))</f>
        <v/>
      </c>
      <c r="I967" s="12" t="str">
        <f ca="1">IF($A967="","",IFERROR(SUMIF(INDIRECT("'"&amp;'Template Setup'!$C$6&amp;"'!C:C"),$A967,INDIRECT("'"&amp;'Template Setup'!$C$6&amp;"'!A:A")),0))</f>
        <v/>
      </c>
      <c r="J967" s="12" t="str">
        <f ca="1">IF($A967="","",IFERROR(SUMIF(INDIRECT("'"&amp;'Template Setup'!$C$7&amp;"'!C:C"),$A967,INDIRECT("'"&amp;'Template Setup'!$C$7&amp;"'!A:A")),0))</f>
        <v/>
      </c>
      <c r="K967" s="12" t="str">
        <f ca="1">IF($A967="","",IFERROR(SUMIF(INDIRECT("'"&amp;'Template Setup'!$C$8&amp;"'!C:C"),$A967,INDIRECT("'"&amp;'Template Setup'!$C$8&amp;"'!A:A")),0))</f>
        <v/>
      </c>
      <c r="L967" s="11" t="str">
        <f>IF($A967="","",IFERROR(VALUE(MID(TRIM('Template Setup'!$C$4),FIND("-",TRIM('Template Setup'!$C$4))+1,10)),0))</f>
        <v/>
      </c>
      <c r="M967" s="11" t="str">
        <f>IF($A967="","",IFERROR(VALUE(MID(TRIM('Template Setup'!$C$5),FIND("-",TRIM('Template Setup'!$C$5))+1,10)),0))</f>
        <v/>
      </c>
      <c r="N967" s="11" t="str">
        <f>IF($A967="","",IFERROR(VALUE(MID(TRIM('Template Setup'!$C$6),FIND("-",TRIM('Template Setup'!$C$6))+1,10)),0))</f>
        <v/>
      </c>
      <c r="O967" s="11" t="str">
        <f>IF($A967="","",IFERROR(VALUE(MID(TRIM('Template Setup'!$C$7),FIND("-",TRIM('Template Setup'!$C$7))+1,10)),0))</f>
        <v/>
      </c>
      <c r="P967" s="11" t="str">
        <f>IF($A967="","",IFERROR(VALUE(MID(TRIM('Template Setup'!$C$8),FIND("-",TRIM('Template Setup'!$C$8))+1,10)),0))</f>
        <v/>
      </c>
      <c r="Q967" s="9" t="str">
        <f>IF($A967="","",$A967&amp;"-"&amp;'Template Setup'!$C$16)</f>
        <v/>
      </c>
      <c r="R967" s="24" t="str">
        <f t="shared" si="61"/>
        <v/>
      </c>
      <c r="S967" s="24"/>
      <c r="T967" s="24" t="str">
        <f t="shared" si="62"/>
        <v/>
      </c>
      <c r="U967" s="6" t="str">
        <f t="shared" si="60"/>
        <v/>
      </c>
    </row>
    <row r="968" spans="1:21">
      <c r="A968" s="11"/>
      <c r="B968" s="11"/>
      <c r="C968" s="11"/>
      <c r="D968" s="11" t="str">
        <f>IF($A968="","",_xlfn.TEXTJOIN(", ",TRUE,IF($G968&gt;0,'Template Setup'!$C$4,""),IF($H968&gt;0,'Template Setup'!$C$5,""),IF($I968&gt;0,'Template Setup'!$C$6,""),IF($J968&gt;0,'Template Setup'!$C$7,""),IF($K968&gt;0,'Template Setup'!$C$8,"")))</f>
        <v/>
      </c>
      <c r="E968" s="6" t="str" cm="1">
        <f t="array" ref="E968">IF($A968="","",_xlfn.LET(_xlpm.sheets,CHOOSE({1,2,3,4,5},'Template Setup'!$C$4,'Template Setup'!$C$5,'Template Setup'!$C$6,'Template Setup'!$C$7,'Template Setup'!$C$8),_xlpm.nums,CHOOSE({1,2,3,4,5},$L968,$M968,$N968,$O968,$P968),_xlpm.qtys,CHOOSE({1,2,3,4,5},$G968,$H968,$I968,$J968,$K968),_xlpm.validNums,_xlfn._xlws.FILTER(_xlpm.nums,_xlpm.qtys&gt;0),_xlpm.validSheets,_xlfn._xlws.FILTER(_xlpm.sheets,_xlpm.qtys&gt;0),_xlpm.mx,IFERROR(MAX(_xlpm.validNums),0),IF(_xlpm.mx=0,"",INDEX(_xlpm.validSheets,MATCH(_xlpm.mx,_xlpm.validNums,0))&amp;" (+"&amp;$R968&amp;")")))</f>
        <v/>
      </c>
      <c r="F968" s="11" t="str">
        <f t="shared" si="63"/>
        <v/>
      </c>
      <c r="G968" s="12" t="str">
        <f ca="1">IF($A968="","",IFERROR(SUMIF(INDIRECT("'"&amp;'Template Setup'!$C$4&amp;"'!C:C"),$A968,INDIRECT("'"&amp;'Template Setup'!$C$4&amp;"'!A:A")),0))</f>
        <v/>
      </c>
      <c r="H968" s="12" t="str">
        <f ca="1">IF($A968="","",IFERROR(SUMIF(INDIRECT("'"&amp;'Template Setup'!$C$5&amp;"'!C:C"),$A968,INDIRECT("'"&amp;'Template Setup'!$C$5&amp;"'!A:A")),0))</f>
        <v/>
      </c>
      <c r="I968" s="12" t="str">
        <f ca="1">IF($A968="","",IFERROR(SUMIF(INDIRECT("'"&amp;'Template Setup'!$C$6&amp;"'!C:C"),$A968,INDIRECT("'"&amp;'Template Setup'!$C$6&amp;"'!A:A")),0))</f>
        <v/>
      </c>
      <c r="J968" s="12" t="str">
        <f ca="1">IF($A968="","",IFERROR(SUMIF(INDIRECT("'"&amp;'Template Setup'!$C$7&amp;"'!C:C"),$A968,INDIRECT("'"&amp;'Template Setup'!$C$7&amp;"'!A:A")),0))</f>
        <v/>
      </c>
      <c r="K968" s="12" t="str">
        <f ca="1">IF($A968="","",IFERROR(SUMIF(INDIRECT("'"&amp;'Template Setup'!$C$8&amp;"'!C:C"),$A968,INDIRECT("'"&amp;'Template Setup'!$C$8&amp;"'!A:A")),0))</f>
        <v/>
      </c>
      <c r="L968" s="11" t="str">
        <f>IF($A968="","",IFERROR(VALUE(MID(TRIM('Template Setup'!$C$4),FIND("-",TRIM('Template Setup'!$C$4))+1,10)),0))</f>
        <v/>
      </c>
      <c r="M968" s="11" t="str">
        <f>IF($A968="","",IFERROR(VALUE(MID(TRIM('Template Setup'!$C$5),FIND("-",TRIM('Template Setup'!$C$5))+1,10)),0))</f>
        <v/>
      </c>
      <c r="N968" s="11" t="str">
        <f>IF($A968="","",IFERROR(VALUE(MID(TRIM('Template Setup'!$C$6),FIND("-",TRIM('Template Setup'!$C$6))+1,10)),0))</f>
        <v/>
      </c>
      <c r="O968" s="11" t="str">
        <f>IF($A968="","",IFERROR(VALUE(MID(TRIM('Template Setup'!$C$7),FIND("-",TRIM('Template Setup'!$C$7))+1,10)),0))</f>
        <v/>
      </c>
      <c r="P968" s="11" t="str">
        <f>IF($A968="","",IFERROR(VALUE(MID(TRIM('Template Setup'!$C$8),FIND("-",TRIM('Template Setup'!$C$8))+1,10)),0))</f>
        <v/>
      </c>
      <c r="Q968" s="9" t="str">
        <f>IF($A968="","",$A968&amp;"-"&amp;'Template Setup'!$C$16)</f>
        <v/>
      </c>
      <c r="R968" s="24" t="str">
        <f t="shared" si="61"/>
        <v/>
      </c>
      <c r="S968" s="24"/>
      <c r="T968" s="24" t="str">
        <f t="shared" si="62"/>
        <v/>
      </c>
      <c r="U968" s="6" t="str">
        <f t="shared" si="60"/>
        <v/>
      </c>
    </row>
    <row r="969" spans="1:21">
      <c r="A969" s="11"/>
      <c r="B969" s="11"/>
      <c r="C969" s="11"/>
      <c r="D969" s="11" t="str">
        <f>IF($A969="","",_xlfn.TEXTJOIN(", ",TRUE,IF($G969&gt;0,'Template Setup'!$C$4,""),IF($H969&gt;0,'Template Setup'!$C$5,""),IF($I969&gt;0,'Template Setup'!$C$6,""),IF($J969&gt;0,'Template Setup'!$C$7,""),IF($K969&gt;0,'Template Setup'!$C$8,"")))</f>
        <v/>
      </c>
      <c r="E969" s="6" t="str" cm="1">
        <f t="array" ref="E969">IF($A969="","",_xlfn.LET(_xlpm.sheets,CHOOSE({1,2,3,4,5},'Template Setup'!$C$4,'Template Setup'!$C$5,'Template Setup'!$C$6,'Template Setup'!$C$7,'Template Setup'!$C$8),_xlpm.nums,CHOOSE({1,2,3,4,5},$L969,$M969,$N969,$O969,$P969),_xlpm.qtys,CHOOSE({1,2,3,4,5},$G969,$H969,$I969,$J969,$K969),_xlpm.validNums,_xlfn._xlws.FILTER(_xlpm.nums,_xlpm.qtys&gt;0),_xlpm.validSheets,_xlfn._xlws.FILTER(_xlpm.sheets,_xlpm.qtys&gt;0),_xlpm.mx,IFERROR(MAX(_xlpm.validNums),0),IF(_xlpm.mx=0,"",INDEX(_xlpm.validSheets,MATCH(_xlpm.mx,_xlpm.validNums,0))&amp;" (+"&amp;$R969&amp;")")))</f>
        <v/>
      </c>
      <c r="F969" s="11" t="str">
        <f t="shared" si="63"/>
        <v/>
      </c>
      <c r="G969" s="12" t="str">
        <f ca="1">IF($A969="","",IFERROR(SUMIF(INDIRECT("'"&amp;'Template Setup'!$C$4&amp;"'!C:C"),$A969,INDIRECT("'"&amp;'Template Setup'!$C$4&amp;"'!A:A")),0))</f>
        <v/>
      </c>
      <c r="H969" s="12" t="str">
        <f ca="1">IF($A969="","",IFERROR(SUMIF(INDIRECT("'"&amp;'Template Setup'!$C$5&amp;"'!C:C"),$A969,INDIRECT("'"&amp;'Template Setup'!$C$5&amp;"'!A:A")),0))</f>
        <v/>
      </c>
      <c r="I969" s="12" t="str">
        <f ca="1">IF($A969="","",IFERROR(SUMIF(INDIRECT("'"&amp;'Template Setup'!$C$6&amp;"'!C:C"),$A969,INDIRECT("'"&amp;'Template Setup'!$C$6&amp;"'!A:A")),0))</f>
        <v/>
      </c>
      <c r="J969" s="12" t="str">
        <f ca="1">IF($A969="","",IFERROR(SUMIF(INDIRECT("'"&amp;'Template Setup'!$C$7&amp;"'!C:C"),$A969,INDIRECT("'"&amp;'Template Setup'!$C$7&amp;"'!A:A")),0))</f>
        <v/>
      </c>
      <c r="K969" s="12" t="str">
        <f ca="1">IF($A969="","",IFERROR(SUMIF(INDIRECT("'"&amp;'Template Setup'!$C$8&amp;"'!C:C"),$A969,INDIRECT("'"&amp;'Template Setup'!$C$8&amp;"'!A:A")),0))</f>
        <v/>
      </c>
      <c r="L969" s="11" t="str">
        <f>IF($A969="","",IFERROR(VALUE(MID(TRIM('Template Setup'!$C$4),FIND("-",TRIM('Template Setup'!$C$4))+1,10)),0))</f>
        <v/>
      </c>
      <c r="M969" s="11" t="str">
        <f>IF($A969="","",IFERROR(VALUE(MID(TRIM('Template Setup'!$C$5),FIND("-",TRIM('Template Setup'!$C$5))+1,10)),0))</f>
        <v/>
      </c>
      <c r="N969" s="11" t="str">
        <f>IF($A969="","",IFERROR(VALUE(MID(TRIM('Template Setup'!$C$6),FIND("-",TRIM('Template Setup'!$C$6))+1,10)),0))</f>
        <v/>
      </c>
      <c r="O969" s="11" t="str">
        <f>IF($A969="","",IFERROR(VALUE(MID(TRIM('Template Setup'!$C$7),FIND("-",TRIM('Template Setup'!$C$7))+1,10)),0))</f>
        <v/>
      </c>
      <c r="P969" s="11" t="str">
        <f>IF($A969="","",IFERROR(VALUE(MID(TRIM('Template Setup'!$C$8),FIND("-",TRIM('Template Setup'!$C$8))+1,10)),0))</f>
        <v/>
      </c>
      <c r="Q969" s="9" t="str">
        <f>IF($A969="","",$A969&amp;"-"&amp;'Template Setup'!$C$16)</f>
        <v/>
      </c>
      <c r="R969" s="24" t="str">
        <f t="shared" si="61"/>
        <v/>
      </c>
      <c r="S969" s="24"/>
      <c r="T969" s="24" t="str">
        <f t="shared" si="62"/>
        <v/>
      </c>
      <c r="U969" s="6" t="str">
        <f t="shared" si="60"/>
        <v/>
      </c>
    </row>
    <row r="970" spans="1:21">
      <c r="A970" s="11"/>
      <c r="B970" s="11"/>
      <c r="C970" s="11"/>
      <c r="D970" s="11" t="str">
        <f>IF($A970="","",_xlfn.TEXTJOIN(", ",TRUE,IF($G970&gt;0,'Template Setup'!$C$4,""),IF($H970&gt;0,'Template Setup'!$C$5,""),IF($I970&gt;0,'Template Setup'!$C$6,""),IF($J970&gt;0,'Template Setup'!$C$7,""),IF($K970&gt;0,'Template Setup'!$C$8,"")))</f>
        <v/>
      </c>
      <c r="E970" s="6" t="str" cm="1">
        <f t="array" ref="E970">IF($A970="","",_xlfn.LET(_xlpm.sheets,CHOOSE({1,2,3,4,5},'Template Setup'!$C$4,'Template Setup'!$C$5,'Template Setup'!$C$6,'Template Setup'!$C$7,'Template Setup'!$C$8),_xlpm.nums,CHOOSE({1,2,3,4,5},$L970,$M970,$N970,$O970,$P970),_xlpm.qtys,CHOOSE({1,2,3,4,5},$G970,$H970,$I970,$J970,$K970),_xlpm.validNums,_xlfn._xlws.FILTER(_xlpm.nums,_xlpm.qtys&gt;0),_xlpm.validSheets,_xlfn._xlws.FILTER(_xlpm.sheets,_xlpm.qtys&gt;0),_xlpm.mx,IFERROR(MAX(_xlpm.validNums),0),IF(_xlpm.mx=0,"",INDEX(_xlpm.validSheets,MATCH(_xlpm.mx,_xlpm.validNums,0))&amp;" (+"&amp;$R970&amp;")")))</f>
        <v/>
      </c>
      <c r="F970" s="11" t="str">
        <f t="shared" si="63"/>
        <v/>
      </c>
      <c r="G970" s="12" t="str">
        <f ca="1">IF($A970="","",IFERROR(SUMIF(INDIRECT("'"&amp;'Template Setup'!$C$4&amp;"'!C:C"),$A970,INDIRECT("'"&amp;'Template Setup'!$C$4&amp;"'!A:A")),0))</f>
        <v/>
      </c>
      <c r="H970" s="12" t="str">
        <f ca="1">IF($A970="","",IFERROR(SUMIF(INDIRECT("'"&amp;'Template Setup'!$C$5&amp;"'!C:C"),$A970,INDIRECT("'"&amp;'Template Setup'!$C$5&amp;"'!A:A")),0))</f>
        <v/>
      </c>
      <c r="I970" s="12" t="str">
        <f ca="1">IF($A970="","",IFERROR(SUMIF(INDIRECT("'"&amp;'Template Setup'!$C$6&amp;"'!C:C"),$A970,INDIRECT("'"&amp;'Template Setup'!$C$6&amp;"'!A:A")),0))</f>
        <v/>
      </c>
      <c r="J970" s="12" t="str">
        <f ca="1">IF($A970="","",IFERROR(SUMIF(INDIRECT("'"&amp;'Template Setup'!$C$7&amp;"'!C:C"),$A970,INDIRECT("'"&amp;'Template Setup'!$C$7&amp;"'!A:A")),0))</f>
        <v/>
      </c>
      <c r="K970" s="12" t="str">
        <f ca="1">IF($A970="","",IFERROR(SUMIF(INDIRECT("'"&amp;'Template Setup'!$C$8&amp;"'!C:C"),$A970,INDIRECT("'"&amp;'Template Setup'!$C$8&amp;"'!A:A")),0))</f>
        <v/>
      </c>
      <c r="L970" s="11" t="str">
        <f>IF($A970="","",IFERROR(VALUE(MID(TRIM('Template Setup'!$C$4),FIND("-",TRIM('Template Setup'!$C$4))+1,10)),0))</f>
        <v/>
      </c>
      <c r="M970" s="11" t="str">
        <f>IF($A970="","",IFERROR(VALUE(MID(TRIM('Template Setup'!$C$5),FIND("-",TRIM('Template Setup'!$C$5))+1,10)),0))</f>
        <v/>
      </c>
      <c r="N970" s="11" t="str">
        <f>IF($A970="","",IFERROR(VALUE(MID(TRIM('Template Setup'!$C$6),FIND("-",TRIM('Template Setup'!$C$6))+1,10)),0))</f>
        <v/>
      </c>
      <c r="O970" s="11" t="str">
        <f>IF($A970="","",IFERROR(VALUE(MID(TRIM('Template Setup'!$C$7),FIND("-",TRIM('Template Setup'!$C$7))+1,10)),0))</f>
        <v/>
      </c>
      <c r="P970" s="11" t="str">
        <f>IF($A970="","",IFERROR(VALUE(MID(TRIM('Template Setup'!$C$8),FIND("-",TRIM('Template Setup'!$C$8))+1,10)),0))</f>
        <v/>
      </c>
      <c r="Q970" s="9" t="str">
        <f>IF($A970="","",$A970&amp;"-"&amp;'Template Setup'!$C$16)</f>
        <v/>
      </c>
      <c r="R970" s="24" t="str">
        <f t="shared" si="61"/>
        <v/>
      </c>
      <c r="S970" s="24"/>
      <c r="T970" s="24" t="str">
        <f t="shared" si="62"/>
        <v/>
      </c>
      <c r="U970" s="6" t="str">
        <f t="shared" si="60"/>
        <v/>
      </c>
    </row>
    <row r="971" spans="1:21">
      <c r="A971" s="11"/>
      <c r="B971" s="11"/>
      <c r="C971" s="11"/>
      <c r="D971" s="11" t="str">
        <f>IF($A971="","",_xlfn.TEXTJOIN(", ",TRUE,IF($G971&gt;0,'Template Setup'!$C$4,""),IF($H971&gt;0,'Template Setup'!$C$5,""),IF($I971&gt;0,'Template Setup'!$C$6,""),IF($J971&gt;0,'Template Setup'!$C$7,""),IF($K971&gt;0,'Template Setup'!$C$8,"")))</f>
        <v/>
      </c>
      <c r="E971" s="6" t="str" cm="1">
        <f t="array" ref="E971">IF($A971="","",_xlfn.LET(_xlpm.sheets,CHOOSE({1,2,3,4,5},'Template Setup'!$C$4,'Template Setup'!$C$5,'Template Setup'!$C$6,'Template Setup'!$C$7,'Template Setup'!$C$8),_xlpm.nums,CHOOSE({1,2,3,4,5},$L971,$M971,$N971,$O971,$P971),_xlpm.qtys,CHOOSE({1,2,3,4,5},$G971,$H971,$I971,$J971,$K971),_xlpm.validNums,_xlfn._xlws.FILTER(_xlpm.nums,_xlpm.qtys&gt;0),_xlpm.validSheets,_xlfn._xlws.FILTER(_xlpm.sheets,_xlpm.qtys&gt;0),_xlpm.mx,IFERROR(MAX(_xlpm.validNums),0),IF(_xlpm.mx=0,"",INDEX(_xlpm.validSheets,MATCH(_xlpm.mx,_xlpm.validNums,0))&amp;" (+"&amp;$R971&amp;")")))</f>
        <v/>
      </c>
      <c r="F971" s="11" t="str">
        <f t="shared" si="63"/>
        <v/>
      </c>
      <c r="G971" s="12" t="str">
        <f ca="1">IF($A971="","",IFERROR(SUMIF(INDIRECT("'"&amp;'Template Setup'!$C$4&amp;"'!C:C"),$A971,INDIRECT("'"&amp;'Template Setup'!$C$4&amp;"'!A:A")),0))</f>
        <v/>
      </c>
      <c r="H971" s="12" t="str">
        <f ca="1">IF($A971="","",IFERROR(SUMIF(INDIRECT("'"&amp;'Template Setup'!$C$5&amp;"'!C:C"),$A971,INDIRECT("'"&amp;'Template Setup'!$C$5&amp;"'!A:A")),0))</f>
        <v/>
      </c>
      <c r="I971" s="12" t="str">
        <f ca="1">IF($A971="","",IFERROR(SUMIF(INDIRECT("'"&amp;'Template Setup'!$C$6&amp;"'!C:C"),$A971,INDIRECT("'"&amp;'Template Setup'!$C$6&amp;"'!A:A")),0))</f>
        <v/>
      </c>
      <c r="J971" s="12" t="str">
        <f ca="1">IF($A971="","",IFERROR(SUMIF(INDIRECT("'"&amp;'Template Setup'!$C$7&amp;"'!C:C"),$A971,INDIRECT("'"&amp;'Template Setup'!$C$7&amp;"'!A:A")),0))</f>
        <v/>
      </c>
      <c r="K971" s="12" t="str">
        <f ca="1">IF($A971="","",IFERROR(SUMIF(INDIRECT("'"&amp;'Template Setup'!$C$8&amp;"'!C:C"),$A971,INDIRECT("'"&amp;'Template Setup'!$C$8&amp;"'!A:A")),0))</f>
        <v/>
      </c>
      <c r="L971" s="11" t="str">
        <f>IF($A971="","",IFERROR(VALUE(MID(TRIM('Template Setup'!$C$4),FIND("-",TRIM('Template Setup'!$C$4))+1,10)),0))</f>
        <v/>
      </c>
      <c r="M971" s="11" t="str">
        <f>IF($A971="","",IFERROR(VALUE(MID(TRIM('Template Setup'!$C$5),FIND("-",TRIM('Template Setup'!$C$5))+1,10)),0))</f>
        <v/>
      </c>
      <c r="N971" s="11" t="str">
        <f>IF($A971="","",IFERROR(VALUE(MID(TRIM('Template Setup'!$C$6),FIND("-",TRIM('Template Setup'!$C$6))+1,10)),0))</f>
        <v/>
      </c>
      <c r="O971" s="11" t="str">
        <f>IF($A971="","",IFERROR(VALUE(MID(TRIM('Template Setup'!$C$7),FIND("-",TRIM('Template Setup'!$C$7))+1,10)),0))</f>
        <v/>
      </c>
      <c r="P971" s="11" t="str">
        <f>IF($A971="","",IFERROR(VALUE(MID(TRIM('Template Setup'!$C$8),FIND("-",TRIM('Template Setup'!$C$8))+1,10)),0))</f>
        <v/>
      </c>
      <c r="Q971" s="9" t="str">
        <f>IF($A971="","",$A971&amp;"-"&amp;'Template Setup'!$C$16)</f>
        <v/>
      </c>
      <c r="R971" s="24" t="str">
        <f t="shared" si="61"/>
        <v/>
      </c>
      <c r="S971" s="24"/>
      <c r="T971" s="24" t="str">
        <f t="shared" si="62"/>
        <v/>
      </c>
      <c r="U971" s="6" t="str">
        <f t="shared" si="60"/>
        <v/>
      </c>
    </row>
    <row r="972" spans="1:21">
      <c r="A972" s="11"/>
      <c r="B972" s="11"/>
      <c r="C972" s="11"/>
      <c r="D972" s="11" t="str">
        <f>IF($A972="","",_xlfn.TEXTJOIN(", ",TRUE,IF($G972&gt;0,'Template Setup'!$C$4,""),IF($H972&gt;0,'Template Setup'!$C$5,""),IF($I972&gt;0,'Template Setup'!$C$6,""),IF($J972&gt;0,'Template Setup'!$C$7,""),IF($K972&gt;0,'Template Setup'!$C$8,"")))</f>
        <v/>
      </c>
      <c r="E972" s="6" t="str" cm="1">
        <f t="array" ref="E972">IF($A972="","",_xlfn.LET(_xlpm.sheets,CHOOSE({1,2,3,4,5},'Template Setup'!$C$4,'Template Setup'!$C$5,'Template Setup'!$C$6,'Template Setup'!$C$7,'Template Setup'!$C$8),_xlpm.nums,CHOOSE({1,2,3,4,5},$L972,$M972,$N972,$O972,$P972),_xlpm.qtys,CHOOSE({1,2,3,4,5},$G972,$H972,$I972,$J972,$K972),_xlpm.validNums,_xlfn._xlws.FILTER(_xlpm.nums,_xlpm.qtys&gt;0),_xlpm.validSheets,_xlfn._xlws.FILTER(_xlpm.sheets,_xlpm.qtys&gt;0),_xlpm.mx,IFERROR(MAX(_xlpm.validNums),0),IF(_xlpm.mx=0,"",INDEX(_xlpm.validSheets,MATCH(_xlpm.mx,_xlpm.validNums,0))&amp;" (+"&amp;$R972&amp;")")))</f>
        <v/>
      </c>
      <c r="F972" s="11" t="str">
        <f t="shared" si="63"/>
        <v/>
      </c>
      <c r="G972" s="12" t="str">
        <f ca="1">IF($A972="","",IFERROR(SUMIF(INDIRECT("'"&amp;'Template Setup'!$C$4&amp;"'!C:C"),$A972,INDIRECT("'"&amp;'Template Setup'!$C$4&amp;"'!A:A")),0))</f>
        <v/>
      </c>
      <c r="H972" s="12" t="str">
        <f ca="1">IF($A972="","",IFERROR(SUMIF(INDIRECT("'"&amp;'Template Setup'!$C$5&amp;"'!C:C"),$A972,INDIRECT("'"&amp;'Template Setup'!$C$5&amp;"'!A:A")),0))</f>
        <v/>
      </c>
      <c r="I972" s="12" t="str">
        <f ca="1">IF($A972="","",IFERROR(SUMIF(INDIRECT("'"&amp;'Template Setup'!$C$6&amp;"'!C:C"),$A972,INDIRECT("'"&amp;'Template Setup'!$C$6&amp;"'!A:A")),0))</f>
        <v/>
      </c>
      <c r="J972" s="12" t="str">
        <f ca="1">IF($A972="","",IFERROR(SUMIF(INDIRECT("'"&amp;'Template Setup'!$C$7&amp;"'!C:C"),$A972,INDIRECT("'"&amp;'Template Setup'!$C$7&amp;"'!A:A")),0))</f>
        <v/>
      </c>
      <c r="K972" s="12" t="str">
        <f ca="1">IF($A972="","",IFERROR(SUMIF(INDIRECT("'"&amp;'Template Setup'!$C$8&amp;"'!C:C"),$A972,INDIRECT("'"&amp;'Template Setup'!$C$8&amp;"'!A:A")),0))</f>
        <v/>
      </c>
      <c r="L972" s="11" t="str">
        <f>IF($A972="","",IFERROR(VALUE(MID(TRIM('Template Setup'!$C$4),FIND("-",TRIM('Template Setup'!$C$4))+1,10)),0))</f>
        <v/>
      </c>
      <c r="M972" s="11" t="str">
        <f>IF($A972="","",IFERROR(VALUE(MID(TRIM('Template Setup'!$C$5),FIND("-",TRIM('Template Setup'!$C$5))+1,10)),0))</f>
        <v/>
      </c>
      <c r="N972" s="11" t="str">
        <f>IF($A972="","",IFERROR(VALUE(MID(TRIM('Template Setup'!$C$6),FIND("-",TRIM('Template Setup'!$C$6))+1,10)),0))</f>
        <v/>
      </c>
      <c r="O972" s="11" t="str">
        <f>IF($A972="","",IFERROR(VALUE(MID(TRIM('Template Setup'!$C$7),FIND("-",TRIM('Template Setup'!$C$7))+1,10)),0))</f>
        <v/>
      </c>
      <c r="P972" s="11" t="str">
        <f>IF($A972="","",IFERROR(VALUE(MID(TRIM('Template Setup'!$C$8),FIND("-",TRIM('Template Setup'!$C$8))+1,10)),0))</f>
        <v/>
      </c>
      <c r="Q972" s="9" t="str">
        <f>IF($A972="","",$A972&amp;"-"&amp;'Template Setup'!$C$16)</f>
        <v/>
      </c>
      <c r="R972" s="24" t="str">
        <f t="shared" si="61"/>
        <v/>
      </c>
      <c r="S972" s="24"/>
      <c r="T972" s="24" t="str">
        <f t="shared" si="62"/>
        <v/>
      </c>
      <c r="U972" s="6" t="str">
        <f t="shared" si="60"/>
        <v/>
      </c>
    </row>
    <row r="973" spans="1:21">
      <c r="A973" s="11"/>
      <c r="B973" s="11"/>
      <c r="C973" s="11"/>
      <c r="D973" s="11" t="str">
        <f>IF($A973="","",_xlfn.TEXTJOIN(", ",TRUE,IF($G973&gt;0,'Template Setup'!$C$4,""),IF($H973&gt;0,'Template Setup'!$C$5,""),IF($I973&gt;0,'Template Setup'!$C$6,""),IF($J973&gt;0,'Template Setup'!$C$7,""),IF($K973&gt;0,'Template Setup'!$C$8,"")))</f>
        <v/>
      </c>
      <c r="E973" s="6" t="str" cm="1">
        <f t="array" ref="E973">IF($A973="","",_xlfn.LET(_xlpm.sheets,CHOOSE({1,2,3,4,5},'Template Setup'!$C$4,'Template Setup'!$C$5,'Template Setup'!$C$6,'Template Setup'!$C$7,'Template Setup'!$C$8),_xlpm.nums,CHOOSE({1,2,3,4,5},$L973,$M973,$N973,$O973,$P973),_xlpm.qtys,CHOOSE({1,2,3,4,5},$G973,$H973,$I973,$J973,$K973),_xlpm.validNums,_xlfn._xlws.FILTER(_xlpm.nums,_xlpm.qtys&gt;0),_xlpm.validSheets,_xlfn._xlws.FILTER(_xlpm.sheets,_xlpm.qtys&gt;0),_xlpm.mx,IFERROR(MAX(_xlpm.validNums),0),IF(_xlpm.mx=0,"",INDEX(_xlpm.validSheets,MATCH(_xlpm.mx,_xlpm.validNums,0))&amp;" (+"&amp;$R973&amp;")")))</f>
        <v/>
      </c>
      <c r="F973" s="11" t="str">
        <f t="shared" si="63"/>
        <v/>
      </c>
      <c r="G973" s="12" t="str">
        <f ca="1">IF($A973="","",IFERROR(SUMIF(INDIRECT("'"&amp;'Template Setup'!$C$4&amp;"'!C:C"),$A973,INDIRECT("'"&amp;'Template Setup'!$C$4&amp;"'!A:A")),0))</f>
        <v/>
      </c>
      <c r="H973" s="12" t="str">
        <f ca="1">IF($A973="","",IFERROR(SUMIF(INDIRECT("'"&amp;'Template Setup'!$C$5&amp;"'!C:C"),$A973,INDIRECT("'"&amp;'Template Setup'!$C$5&amp;"'!A:A")),0))</f>
        <v/>
      </c>
      <c r="I973" s="12" t="str">
        <f ca="1">IF($A973="","",IFERROR(SUMIF(INDIRECT("'"&amp;'Template Setup'!$C$6&amp;"'!C:C"),$A973,INDIRECT("'"&amp;'Template Setup'!$C$6&amp;"'!A:A")),0))</f>
        <v/>
      </c>
      <c r="J973" s="12" t="str">
        <f ca="1">IF($A973="","",IFERROR(SUMIF(INDIRECT("'"&amp;'Template Setup'!$C$7&amp;"'!C:C"),$A973,INDIRECT("'"&amp;'Template Setup'!$C$7&amp;"'!A:A")),0))</f>
        <v/>
      </c>
      <c r="K973" s="12" t="str">
        <f ca="1">IF($A973="","",IFERROR(SUMIF(INDIRECT("'"&amp;'Template Setup'!$C$8&amp;"'!C:C"),$A973,INDIRECT("'"&amp;'Template Setup'!$C$8&amp;"'!A:A")),0))</f>
        <v/>
      </c>
      <c r="L973" s="11" t="str">
        <f>IF($A973="","",IFERROR(VALUE(MID(TRIM('Template Setup'!$C$4),FIND("-",TRIM('Template Setup'!$C$4))+1,10)),0))</f>
        <v/>
      </c>
      <c r="M973" s="11" t="str">
        <f>IF($A973="","",IFERROR(VALUE(MID(TRIM('Template Setup'!$C$5),FIND("-",TRIM('Template Setup'!$C$5))+1,10)),0))</f>
        <v/>
      </c>
      <c r="N973" s="11" t="str">
        <f>IF($A973="","",IFERROR(VALUE(MID(TRIM('Template Setup'!$C$6),FIND("-",TRIM('Template Setup'!$C$6))+1,10)),0))</f>
        <v/>
      </c>
      <c r="O973" s="11" t="str">
        <f>IF($A973="","",IFERROR(VALUE(MID(TRIM('Template Setup'!$C$7),FIND("-",TRIM('Template Setup'!$C$7))+1,10)),0))</f>
        <v/>
      </c>
      <c r="P973" s="11" t="str">
        <f>IF($A973="","",IFERROR(VALUE(MID(TRIM('Template Setup'!$C$8),FIND("-",TRIM('Template Setup'!$C$8))+1,10)),0))</f>
        <v/>
      </c>
      <c r="Q973" s="9" t="str">
        <f>IF($A973="","",$A973&amp;"-"&amp;'Template Setup'!$C$16)</f>
        <v/>
      </c>
      <c r="R973" s="24" t="str">
        <f t="shared" si="61"/>
        <v/>
      </c>
      <c r="S973" s="24"/>
      <c r="T973" s="24" t="str">
        <f t="shared" si="62"/>
        <v/>
      </c>
      <c r="U973" s="6" t="str">
        <f t="shared" si="60"/>
        <v/>
      </c>
    </row>
    <row r="974" spans="1:21">
      <c r="A974" s="11"/>
      <c r="B974" s="11"/>
      <c r="C974" s="11"/>
      <c r="D974" s="11" t="str">
        <f>IF($A974="","",_xlfn.TEXTJOIN(", ",TRUE,IF($G974&gt;0,'Template Setup'!$C$4,""),IF($H974&gt;0,'Template Setup'!$C$5,""),IF($I974&gt;0,'Template Setup'!$C$6,""),IF($J974&gt;0,'Template Setup'!$C$7,""),IF($K974&gt;0,'Template Setup'!$C$8,"")))</f>
        <v/>
      </c>
      <c r="E974" s="6" t="str" cm="1">
        <f t="array" ref="E974">IF($A974="","",_xlfn.LET(_xlpm.sheets,CHOOSE({1,2,3,4,5},'Template Setup'!$C$4,'Template Setup'!$C$5,'Template Setup'!$C$6,'Template Setup'!$C$7,'Template Setup'!$C$8),_xlpm.nums,CHOOSE({1,2,3,4,5},$L974,$M974,$N974,$O974,$P974),_xlpm.qtys,CHOOSE({1,2,3,4,5},$G974,$H974,$I974,$J974,$K974),_xlpm.validNums,_xlfn._xlws.FILTER(_xlpm.nums,_xlpm.qtys&gt;0),_xlpm.validSheets,_xlfn._xlws.FILTER(_xlpm.sheets,_xlpm.qtys&gt;0),_xlpm.mx,IFERROR(MAX(_xlpm.validNums),0),IF(_xlpm.mx=0,"",INDEX(_xlpm.validSheets,MATCH(_xlpm.mx,_xlpm.validNums,0))&amp;" (+"&amp;$R974&amp;")")))</f>
        <v/>
      </c>
      <c r="F974" s="11" t="str">
        <f t="shared" si="63"/>
        <v/>
      </c>
      <c r="G974" s="12" t="str">
        <f ca="1">IF($A974="","",IFERROR(SUMIF(INDIRECT("'"&amp;'Template Setup'!$C$4&amp;"'!C:C"),$A974,INDIRECT("'"&amp;'Template Setup'!$C$4&amp;"'!A:A")),0))</f>
        <v/>
      </c>
      <c r="H974" s="12" t="str">
        <f ca="1">IF($A974="","",IFERROR(SUMIF(INDIRECT("'"&amp;'Template Setup'!$C$5&amp;"'!C:C"),$A974,INDIRECT("'"&amp;'Template Setup'!$C$5&amp;"'!A:A")),0))</f>
        <v/>
      </c>
      <c r="I974" s="12" t="str">
        <f ca="1">IF($A974="","",IFERROR(SUMIF(INDIRECT("'"&amp;'Template Setup'!$C$6&amp;"'!C:C"),$A974,INDIRECT("'"&amp;'Template Setup'!$C$6&amp;"'!A:A")),0))</f>
        <v/>
      </c>
      <c r="J974" s="12" t="str">
        <f ca="1">IF($A974="","",IFERROR(SUMIF(INDIRECT("'"&amp;'Template Setup'!$C$7&amp;"'!C:C"),$A974,INDIRECT("'"&amp;'Template Setup'!$C$7&amp;"'!A:A")),0))</f>
        <v/>
      </c>
      <c r="K974" s="12" t="str">
        <f ca="1">IF($A974="","",IFERROR(SUMIF(INDIRECT("'"&amp;'Template Setup'!$C$8&amp;"'!C:C"),$A974,INDIRECT("'"&amp;'Template Setup'!$C$8&amp;"'!A:A")),0))</f>
        <v/>
      </c>
      <c r="L974" s="11" t="str">
        <f>IF($A974="","",IFERROR(VALUE(MID(TRIM('Template Setup'!$C$4),FIND("-",TRIM('Template Setup'!$C$4))+1,10)),0))</f>
        <v/>
      </c>
      <c r="M974" s="11" t="str">
        <f>IF($A974="","",IFERROR(VALUE(MID(TRIM('Template Setup'!$C$5),FIND("-",TRIM('Template Setup'!$C$5))+1,10)),0))</f>
        <v/>
      </c>
      <c r="N974" s="11" t="str">
        <f>IF($A974="","",IFERROR(VALUE(MID(TRIM('Template Setup'!$C$6),FIND("-",TRIM('Template Setup'!$C$6))+1,10)),0))</f>
        <v/>
      </c>
      <c r="O974" s="11" t="str">
        <f>IF($A974="","",IFERROR(VALUE(MID(TRIM('Template Setup'!$C$7),FIND("-",TRIM('Template Setup'!$C$7))+1,10)),0))</f>
        <v/>
      </c>
      <c r="P974" s="11" t="str">
        <f>IF($A974="","",IFERROR(VALUE(MID(TRIM('Template Setup'!$C$8),FIND("-",TRIM('Template Setup'!$C$8))+1,10)),0))</f>
        <v/>
      </c>
      <c r="Q974" s="9" t="str">
        <f>IF($A974="","",$A974&amp;"-"&amp;'Template Setup'!$C$16)</f>
        <v/>
      </c>
      <c r="R974" s="24" t="str">
        <f t="shared" si="61"/>
        <v/>
      </c>
      <c r="S974" s="24"/>
      <c r="T974" s="24" t="str">
        <f t="shared" si="62"/>
        <v/>
      </c>
      <c r="U974" s="6" t="str">
        <f t="shared" si="60"/>
        <v/>
      </c>
    </row>
    <row r="975" spans="1:21">
      <c r="A975" s="11"/>
      <c r="B975" s="11"/>
      <c r="C975" s="11"/>
      <c r="D975" s="11" t="str">
        <f>IF($A975="","",_xlfn.TEXTJOIN(", ",TRUE,IF($G975&gt;0,'Template Setup'!$C$4,""),IF($H975&gt;0,'Template Setup'!$C$5,""),IF($I975&gt;0,'Template Setup'!$C$6,""),IF($J975&gt;0,'Template Setup'!$C$7,""),IF($K975&gt;0,'Template Setup'!$C$8,"")))</f>
        <v/>
      </c>
      <c r="E975" s="6" t="str" cm="1">
        <f t="array" ref="E975">IF($A975="","",_xlfn.LET(_xlpm.sheets,CHOOSE({1,2,3,4,5},'Template Setup'!$C$4,'Template Setup'!$C$5,'Template Setup'!$C$6,'Template Setup'!$C$7,'Template Setup'!$C$8),_xlpm.nums,CHOOSE({1,2,3,4,5},$L975,$M975,$N975,$O975,$P975),_xlpm.qtys,CHOOSE({1,2,3,4,5},$G975,$H975,$I975,$J975,$K975),_xlpm.validNums,_xlfn._xlws.FILTER(_xlpm.nums,_xlpm.qtys&gt;0),_xlpm.validSheets,_xlfn._xlws.FILTER(_xlpm.sheets,_xlpm.qtys&gt;0),_xlpm.mx,IFERROR(MAX(_xlpm.validNums),0),IF(_xlpm.mx=0,"",INDEX(_xlpm.validSheets,MATCH(_xlpm.mx,_xlpm.validNums,0))&amp;" (+"&amp;$R975&amp;")")))</f>
        <v/>
      </c>
      <c r="F975" s="11" t="str">
        <f t="shared" si="63"/>
        <v/>
      </c>
      <c r="G975" s="12" t="str">
        <f ca="1">IF($A975="","",IFERROR(SUMIF(INDIRECT("'"&amp;'Template Setup'!$C$4&amp;"'!C:C"),$A975,INDIRECT("'"&amp;'Template Setup'!$C$4&amp;"'!A:A")),0))</f>
        <v/>
      </c>
      <c r="H975" s="12" t="str">
        <f ca="1">IF($A975="","",IFERROR(SUMIF(INDIRECT("'"&amp;'Template Setup'!$C$5&amp;"'!C:C"),$A975,INDIRECT("'"&amp;'Template Setup'!$C$5&amp;"'!A:A")),0))</f>
        <v/>
      </c>
      <c r="I975" s="12" t="str">
        <f ca="1">IF($A975="","",IFERROR(SUMIF(INDIRECT("'"&amp;'Template Setup'!$C$6&amp;"'!C:C"),$A975,INDIRECT("'"&amp;'Template Setup'!$C$6&amp;"'!A:A")),0))</f>
        <v/>
      </c>
      <c r="J975" s="12" t="str">
        <f ca="1">IF($A975="","",IFERROR(SUMIF(INDIRECT("'"&amp;'Template Setup'!$C$7&amp;"'!C:C"),$A975,INDIRECT("'"&amp;'Template Setup'!$C$7&amp;"'!A:A")),0))</f>
        <v/>
      </c>
      <c r="K975" s="12" t="str">
        <f ca="1">IF($A975="","",IFERROR(SUMIF(INDIRECT("'"&amp;'Template Setup'!$C$8&amp;"'!C:C"),$A975,INDIRECT("'"&amp;'Template Setup'!$C$8&amp;"'!A:A")),0))</f>
        <v/>
      </c>
      <c r="L975" s="11" t="str">
        <f>IF($A975="","",IFERROR(VALUE(MID(TRIM('Template Setup'!$C$4),FIND("-",TRIM('Template Setup'!$C$4))+1,10)),0))</f>
        <v/>
      </c>
      <c r="M975" s="11" t="str">
        <f>IF($A975="","",IFERROR(VALUE(MID(TRIM('Template Setup'!$C$5),FIND("-",TRIM('Template Setup'!$C$5))+1,10)),0))</f>
        <v/>
      </c>
      <c r="N975" s="11" t="str">
        <f>IF($A975="","",IFERROR(VALUE(MID(TRIM('Template Setup'!$C$6),FIND("-",TRIM('Template Setup'!$C$6))+1,10)),0))</f>
        <v/>
      </c>
      <c r="O975" s="11" t="str">
        <f>IF($A975="","",IFERROR(VALUE(MID(TRIM('Template Setup'!$C$7),FIND("-",TRIM('Template Setup'!$C$7))+1,10)),0))</f>
        <v/>
      </c>
      <c r="P975" s="11" t="str">
        <f>IF($A975="","",IFERROR(VALUE(MID(TRIM('Template Setup'!$C$8),FIND("-",TRIM('Template Setup'!$C$8))+1,10)),0))</f>
        <v/>
      </c>
      <c r="Q975" s="9" t="str">
        <f>IF($A975="","",$A975&amp;"-"&amp;'Template Setup'!$C$16)</f>
        <v/>
      </c>
      <c r="R975" s="24" t="str">
        <f t="shared" si="61"/>
        <v/>
      </c>
      <c r="S975" s="24"/>
      <c r="T975" s="24" t="str">
        <f t="shared" si="62"/>
        <v/>
      </c>
      <c r="U975" s="6" t="str">
        <f t="shared" si="60"/>
        <v/>
      </c>
    </row>
    <row r="976" spans="1:21">
      <c r="A976" s="11"/>
      <c r="B976" s="11"/>
      <c r="C976" s="11"/>
      <c r="D976" s="11" t="str">
        <f>IF($A976="","",_xlfn.TEXTJOIN(", ",TRUE,IF($G976&gt;0,'Template Setup'!$C$4,""),IF($H976&gt;0,'Template Setup'!$C$5,""),IF($I976&gt;0,'Template Setup'!$C$6,""),IF($J976&gt;0,'Template Setup'!$C$7,""),IF($K976&gt;0,'Template Setup'!$C$8,"")))</f>
        <v/>
      </c>
      <c r="E976" s="6" t="str" cm="1">
        <f t="array" ref="E976">IF($A976="","",_xlfn.LET(_xlpm.sheets,CHOOSE({1,2,3,4,5},'Template Setup'!$C$4,'Template Setup'!$C$5,'Template Setup'!$C$6,'Template Setup'!$C$7,'Template Setup'!$C$8),_xlpm.nums,CHOOSE({1,2,3,4,5},$L976,$M976,$N976,$O976,$P976),_xlpm.qtys,CHOOSE({1,2,3,4,5},$G976,$H976,$I976,$J976,$K976),_xlpm.validNums,_xlfn._xlws.FILTER(_xlpm.nums,_xlpm.qtys&gt;0),_xlpm.validSheets,_xlfn._xlws.FILTER(_xlpm.sheets,_xlpm.qtys&gt;0),_xlpm.mx,IFERROR(MAX(_xlpm.validNums),0),IF(_xlpm.mx=0,"",INDEX(_xlpm.validSheets,MATCH(_xlpm.mx,_xlpm.validNums,0))&amp;" (+"&amp;$R976&amp;")")))</f>
        <v/>
      </c>
      <c r="F976" s="11" t="str">
        <f t="shared" si="63"/>
        <v/>
      </c>
      <c r="G976" s="12" t="str">
        <f ca="1">IF($A976="","",IFERROR(SUMIF(INDIRECT("'"&amp;'Template Setup'!$C$4&amp;"'!C:C"),$A976,INDIRECT("'"&amp;'Template Setup'!$C$4&amp;"'!A:A")),0))</f>
        <v/>
      </c>
      <c r="H976" s="12" t="str">
        <f ca="1">IF($A976="","",IFERROR(SUMIF(INDIRECT("'"&amp;'Template Setup'!$C$5&amp;"'!C:C"),$A976,INDIRECT("'"&amp;'Template Setup'!$C$5&amp;"'!A:A")),0))</f>
        <v/>
      </c>
      <c r="I976" s="12" t="str">
        <f ca="1">IF($A976="","",IFERROR(SUMIF(INDIRECT("'"&amp;'Template Setup'!$C$6&amp;"'!C:C"),$A976,INDIRECT("'"&amp;'Template Setup'!$C$6&amp;"'!A:A")),0))</f>
        <v/>
      </c>
      <c r="J976" s="12" t="str">
        <f ca="1">IF($A976="","",IFERROR(SUMIF(INDIRECT("'"&amp;'Template Setup'!$C$7&amp;"'!C:C"),$A976,INDIRECT("'"&amp;'Template Setup'!$C$7&amp;"'!A:A")),0))</f>
        <v/>
      </c>
      <c r="K976" s="12" t="str">
        <f ca="1">IF($A976="","",IFERROR(SUMIF(INDIRECT("'"&amp;'Template Setup'!$C$8&amp;"'!C:C"),$A976,INDIRECT("'"&amp;'Template Setup'!$C$8&amp;"'!A:A")),0))</f>
        <v/>
      </c>
      <c r="L976" s="11" t="str">
        <f>IF($A976="","",IFERROR(VALUE(MID(TRIM('Template Setup'!$C$4),FIND("-",TRIM('Template Setup'!$C$4))+1,10)),0))</f>
        <v/>
      </c>
      <c r="M976" s="11" t="str">
        <f>IF($A976="","",IFERROR(VALUE(MID(TRIM('Template Setup'!$C$5),FIND("-",TRIM('Template Setup'!$C$5))+1,10)),0))</f>
        <v/>
      </c>
      <c r="N976" s="11" t="str">
        <f>IF($A976="","",IFERROR(VALUE(MID(TRIM('Template Setup'!$C$6),FIND("-",TRIM('Template Setup'!$C$6))+1,10)),0))</f>
        <v/>
      </c>
      <c r="O976" s="11" t="str">
        <f>IF($A976="","",IFERROR(VALUE(MID(TRIM('Template Setup'!$C$7),FIND("-",TRIM('Template Setup'!$C$7))+1,10)),0))</f>
        <v/>
      </c>
      <c r="P976" s="11" t="str">
        <f>IF($A976="","",IFERROR(VALUE(MID(TRIM('Template Setup'!$C$8),FIND("-",TRIM('Template Setup'!$C$8))+1,10)),0))</f>
        <v/>
      </c>
      <c r="Q976" s="9" t="str">
        <f>IF($A976="","",$A976&amp;"-"&amp;'Template Setup'!$C$16)</f>
        <v/>
      </c>
      <c r="R976" s="24" t="str">
        <f t="shared" si="61"/>
        <v/>
      </c>
      <c r="S976" s="24"/>
      <c r="T976" s="24" t="str">
        <f t="shared" si="62"/>
        <v/>
      </c>
      <c r="U976" s="6" t="str">
        <f t="shared" si="60"/>
        <v/>
      </c>
    </row>
    <row r="977" spans="1:21">
      <c r="A977" s="11"/>
      <c r="B977" s="11"/>
      <c r="C977" s="11"/>
      <c r="D977" s="11" t="str">
        <f>IF($A977="","",_xlfn.TEXTJOIN(", ",TRUE,IF($G977&gt;0,'Template Setup'!$C$4,""),IF($H977&gt;0,'Template Setup'!$C$5,""),IF($I977&gt;0,'Template Setup'!$C$6,""),IF($J977&gt;0,'Template Setup'!$C$7,""),IF($K977&gt;0,'Template Setup'!$C$8,"")))</f>
        <v/>
      </c>
      <c r="E977" s="6" t="str" cm="1">
        <f t="array" ref="E977">IF($A977="","",_xlfn.LET(_xlpm.sheets,CHOOSE({1,2,3,4,5},'Template Setup'!$C$4,'Template Setup'!$C$5,'Template Setup'!$C$6,'Template Setup'!$C$7,'Template Setup'!$C$8),_xlpm.nums,CHOOSE({1,2,3,4,5},$L977,$M977,$N977,$O977,$P977),_xlpm.qtys,CHOOSE({1,2,3,4,5},$G977,$H977,$I977,$J977,$K977),_xlpm.validNums,_xlfn._xlws.FILTER(_xlpm.nums,_xlpm.qtys&gt;0),_xlpm.validSheets,_xlfn._xlws.FILTER(_xlpm.sheets,_xlpm.qtys&gt;0),_xlpm.mx,IFERROR(MAX(_xlpm.validNums),0),IF(_xlpm.mx=0,"",INDEX(_xlpm.validSheets,MATCH(_xlpm.mx,_xlpm.validNums,0))&amp;" (+"&amp;$R977&amp;")")))</f>
        <v/>
      </c>
      <c r="F977" s="11" t="str">
        <f t="shared" si="63"/>
        <v/>
      </c>
      <c r="G977" s="12" t="str">
        <f ca="1">IF($A977="","",IFERROR(SUMIF(INDIRECT("'"&amp;'Template Setup'!$C$4&amp;"'!C:C"),$A977,INDIRECT("'"&amp;'Template Setup'!$C$4&amp;"'!A:A")),0))</f>
        <v/>
      </c>
      <c r="H977" s="12" t="str">
        <f ca="1">IF($A977="","",IFERROR(SUMIF(INDIRECT("'"&amp;'Template Setup'!$C$5&amp;"'!C:C"),$A977,INDIRECT("'"&amp;'Template Setup'!$C$5&amp;"'!A:A")),0))</f>
        <v/>
      </c>
      <c r="I977" s="12" t="str">
        <f ca="1">IF($A977="","",IFERROR(SUMIF(INDIRECT("'"&amp;'Template Setup'!$C$6&amp;"'!C:C"),$A977,INDIRECT("'"&amp;'Template Setup'!$C$6&amp;"'!A:A")),0))</f>
        <v/>
      </c>
      <c r="J977" s="12" t="str">
        <f ca="1">IF($A977="","",IFERROR(SUMIF(INDIRECT("'"&amp;'Template Setup'!$C$7&amp;"'!C:C"),$A977,INDIRECT("'"&amp;'Template Setup'!$C$7&amp;"'!A:A")),0))</f>
        <v/>
      </c>
      <c r="K977" s="12" t="str">
        <f ca="1">IF($A977="","",IFERROR(SUMIF(INDIRECT("'"&amp;'Template Setup'!$C$8&amp;"'!C:C"),$A977,INDIRECT("'"&amp;'Template Setup'!$C$8&amp;"'!A:A")),0))</f>
        <v/>
      </c>
      <c r="L977" s="11" t="str">
        <f>IF($A977="","",IFERROR(VALUE(MID(TRIM('Template Setup'!$C$4),FIND("-",TRIM('Template Setup'!$C$4))+1,10)),0))</f>
        <v/>
      </c>
      <c r="M977" s="11" t="str">
        <f>IF($A977="","",IFERROR(VALUE(MID(TRIM('Template Setup'!$C$5),FIND("-",TRIM('Template Setup'!$C$5))+1,10)),0))</f>
        <v/>
      </c>
      <c r="N977" s="11" t="str">
        <f>IF($A977="","",IFERROR(VALUE(MID(TRIM('Template Setup'!$C$6),FIND("-",TRIM('Template Setup'!$C$6))+1,10)),0))</f>
        <v/>
      </c>
      <c r="O977" s="11" t="str">
        <f>IF($A977="","",IFERROR(VALUE(MID(TRIM('Template Setup'!$C$7),FIND("-",TRIM('Template Setup'!$C$7))+1,10)),0))</f>
        <v/>
      </c>
      <c r="P977" s="11" t="str">
        <f>IF($A977="","",IFERROR(VALUE(MID(TRIM('Template Setup'!$C$8),FIND("-",TRIM('Template Setup'!$C$8))+1,10)),0))</f>
        <v/>
      </c>
      <c r="Q977" s="9" t="str">
        <f>IF($A977="","",$A977&amp;"-"&amp;'Template Setup'!$C$16)</f>
        <v/>
      </c>
      <c r="R977" s="24" t="str">
        <f t="shared" si="61"/>
        <v/>
      </c>
      <c r="S977" s="24"/>
      <c r="T977" s="24" t="str">
        <f t="shared" si="62"/>
        <v/>
      </c>
      <c r="U977" s="6" t="str">
        <f t="shared" si="60"/>
        <v/>
      </c>
    </row>
    <row r="978" spans="1:21">
      <c r="A978" s="11"/>
      <c r="B978" s="11"/>
      <c r="C978" s="11"/>
      <c r="D978" s="11" t="str">
        <f>IF($A978="","",_xlfn.TEXTJOIN(", ",TRUE,IF($G978&gt;0,'Template Setup'!$C$4,""),IF($H978&gt;0,'Template Setup'!$C$5,""),IF($I978&gt;0,'Template Setup'!$C$6,""),IF($J978&gt;0,'Template Setup'!$C$7,""),IF($K978&gt;0,'Template Setup'!$C$8,"")))</f>
        <v/>
      </c>
      <c r="E978" s="6" t="str" cm="1">
        <f t="array" ref="E978">IF($A978="","",_xlfn.LET(_xlpm.sheets,CHOOSE({1,2,3,4,5},'Template Setup'!$C$4,'Template Setup'!$C$5,'Template Setup'!$C$6,'Template Setup'!$C$7,'Template Setup'!$C$8),_xlpm.nums,CHOOSE({1,2,3,4,5},$L978,$M978,$N978,$O978,$P978),_xlpm.qtys,CHOOSE({1,2,3,4,5},$G978,$H978,$I978,$J978,$K978),_xlpm.validNums,_xlfn._xlws.FILTER(_xlpm.nums,_xlpm.qtys&gt;0),_xlpm.validSheets,_xlfn._xlws.FILTER(_xlpm.sheets,_xlpm.qtys&gt;0),_xlpm.mx,IFERROR(MAX(_xlpm.validNums),0),IF(_xlpm.mx=0,"",INDEX(_xlpm.validSheets,MATCH(_xlpm.mx,_xlpm.validNums,0))&amp;" (+"&amp;$R978&amp;")")))</f>
        <v/>
      </c>
      <c r="F978" s="11" t="str">
        <f t="shared" si="63"/>
        <v/>
      </c>
      <c r="G978" s="12" t="str">
        <f ca="1">IF($A978="","",IFERROR(SUMIF(INDIRECT("'"&amp;'Template Setup'!$C$4&amp;"'!C:C"),$A978,INDIRECT("'"&amp;'Template Setup'!$C$4&amp;"'!A:A")),0))</f>
        <v/>
      </c>
      <c r="H978" s="12" t="str">
        <f ca="1">IF($A978="","",IFERROR(SUMIF(INDIRECT("'"&amp;'Template Setup'!$C$5&amp;"'!C:C"),$A978,INDIRECT("'"&amp;'Template Setup'!$C$5&amp;"'!A:A")),0))</f>
        <v/>
      </c>
      <c r="I978" s="12" t="str">
        <f ca="1">IF($A978="","",IFERROR(SUMIF(INDIRECT("'"&amp;'Template Setup'!$C$6&amp;"'!C:C"),$A978,INDIRECT("'"&amp;'Template Setup'!$C$6&amp;"'!A:A")),0))</f>
        <v/>
      </c>
      <c r="J978" s="12" t="str">
        <f ca="1">IF($A978="","",IFERROR(SUMIF(INDIRECT("'"&amp;'Template Setup'!$C$7&amp;"'!C:C"),$A978,INDIRECT("'"&amp;'Template Setup'!$C$7&amp;"'!A:A")),0))</f>
        <v/>
      </c>
      <c r="K978" s="12" t="str">
        <f ca="1">IF($A978="","",IFERROR(SUMIF(INDIRECT("'"&amp;'Template Setup'!$C$8&amp;"'!C:C"),$A978,INDIRECT("'"&amp;'Template Setup'!$C$8&amp;"'!A:A")),0))</f>
        <v/>
      </c>
      <c r="L978" s="11" t="str">
        <f>IF($A978="","",IFERROR(VALUE(MID(TRIM('Template Setup'!$C$4),FIND("-",TRIM('Template Setup'!$C$4))+1,10)),0))</f>
        <v/>
      </c>
      <c r="M978" s="11" t="str">
        <f>IF($A978="","",IFERROR(VALUE(MID(TRIM('Template Setup'!$C$5),FIND("-",TRIM('Template Setup'!$C$5))+1,10)),0))</f>
        <v/>
      </c>
      <c r="N978" s="11" t="str">
        <f>IF($A978="","",IFERROR(VALUE(MID(TRIM('Template Setup'!$C$6),FIND("-",TRIM('Template Setup'!$C$6))+1,10)),0))</f>
        <v/>
      </c>
      <c r="O978" s="11" t="str">
        <f>IF($A978="","",IFERROR(VALUE(MID(TRIM('Template Setup'!$C$7),FIND("-",TRIM('Template Setup'!$C$7))+1,10)),0))</f>
        <v/>
      </c>
      <c r="P978" s="11" t="str">
        <f>IF($A978="","",IFERROR(VALUE(MID(TRIM('Template Setup'!$C$8),FIND("-",TRIM('Template Setup'!$C$8))+1,10)),0))</f>
        <v/>
      </c>
      <c r="Q978" s="9" t="str">
        <f>IF($A978="","",$A978&amp;"-"&amp;'Template Setup'!$C$16)</f>
        <v/>
      </c>
      <c r="R978" s="24" t="str">
        <f t="shared" si="61"/>
        <v/>
      </c>
      <c r="S978" s="24"/>
      <c r="T978" s="24" t="str">
        <f t="shared" si="62"/>
        <v/>
      </c>
      <c r="U978" s="6" t="str">
        <f t="shared" ref="U978:U1000" si="64">IF($A978="","","☐")</f>
        <v/>
      </c>
    </row>
    <row r="979" spans="1:21">
      <c r="A979" s="11"/>
      <c r="B979" s="11"/>
      <c r="C979" s="11"/>
      <c r="D979" s="11" t="str">
        <f>IF($A979="","",_xlfn.TEXTJOIN(", ",TRUE,IF($G979&gt;0,'Template Setup'!$C$4,""),IF($H979&gt;0,'Template Setup'!$C$5,""),IF($I979&gt;0,'Template Setup'!$C$6,""),IF($J979&gt;0,'Template Setup'!$C$7,""),IF($K979&gt;0,'Template Setup'!$C$8,"")))</f>
        <v/>
      </c>
      <c r="E979" s="6" t="str" cm="1">
        <f t="array" ref="E979">IF($A979="","",_xlfn.LET(_xlpm.sheets,CHOOSE({1,2,3,4,5},'Template Setup'!$C$4,'Template Setup'!$C$5,'Template Setup'!$C$6,'Template Setup'!$C$7,'Template Setup'!$C$8),_xlpm.nums,CHOOSE({1,2,3,4,5},$L979,$M979,$N979,$O979,$P979),_xlpm.qtys,CHOOSE({1,2,3,4,5},$G979,$H979,$I979,$J979,$K979),_xlpm.validNums,_xlfn._xlws.FILTER(_xlpm.nums,_xlpm.qtys&gt;0),_xlpm.validSheets,_xlfn._xlws.FILTER(_xlpm.sheets,_xlpm.qtys&gt;0),_xlpm.mx,IFERROR(MAX(_xlpm.validNums),0),IF(_xlpm.mx=0,"",INDEX(_xlpm.validSheets,MATCH(_xlpm.mx,_xlpm.validNums,0))&amp;" (+"&amp;$R979&amp;")")))</f>
        <v/>
      </c>
      <c r="F979" s="11" t="str">
        <f t="shared" si="63"/>
        <v/>
      </c>
      <c r="G979" s="12" t="str">
        <f ca="1">IF($A979="","",IFERROR(SUMIF(INDIRECT("'"&amp;'Template Setup'!$C$4&amp;"'!C:C"),$A979,INDIRECT("'"&amp;'Template Setup'!$C$4&amp;"'!A:A")),0))</f>
        <v/>
      </c>
      <c r="H979" s="12" t="str">
        <f ca="1">IF($A979="","",IFERROR(SUMIF(INDIRECT("'"&amp;'Template Setup'!$C$5&amp;"'!C:C"),$A979,INDIRECT("'"&amp;'Template Setup'!$C$5&amp;"'!A:A")),0))</f>
        <v/>
      </c>
      <c r="I979" s="12" t="str">
        <f ca="1">IF($A979="","",IFERROR(SUMIF(INDIRECT("'"&amp;'Template Setup'!$C$6&amp;"'!C:C"),$A979,INDIRECT("'"&amp;'Template Setup'!$C$6&amp;"'!A:A")),0))</f>
        <v/>
      </c>
      <c r="J979" s="12" t="str">
        <f ca="1">IF($A979="","",IFERROR(SUMIF(INDIRECT("'"&amp;'Template Setup'!$C$7&amp;"'!C:C"),$A979,INDIRECT("'"&amp;'Template Setup'!$C$7&amp;"'!A:A")),0))</f>
        <v/>
      </c>
      <c r="K979" s="12" t="str">
        <f ca="1">IF($A979="","",IFERROR(SUMIF(INDIRECT("'"&amp;'Template Setup'!$C$8&amp;"'!C:C"),$A979,INDIRECT("'"&amp;'Template Setup'!$C$8&amp;"'!A:A")),0))</f>
        <v/>
      </c>
      <c r="L979" s="11" t="str">
        <f>IF($A979="","",IFERROR(VALUE(MID(TRIM('Template Setup'!$C$4),FIND("-",TRIM('Template Setup'!$C$4))+1,10)),0))</f>
        <v/>
      </c>
      <c r="M979" s="11" t="str">
        <f>IF($A979="","",IFERROR(VALUE(MID(TRIM('Template Setup'!$C$5),FIND("-",TRIM('Template Setup'!$C$5))+1,10)),0))</f>
        <v/>
      </c>
      <c r="N979" s="11" t="str">
        <f>IF($A979="","",IFERROR(VALUE(MID(TRIM('Template Setup'!$C$6),FIND("-",TRIM('Template Setup'!$C$6))+1,10)),0))</f>
        <v/>
      </c>
      <c r="O979" s="11" t="str">
        <f>IF($A979="","",IFERROR(VALUE(MID(TRIM('Template Setup'!$C$7),FIND("-",TRIM('Template Setup'!$C$7))+1,10)),0))</f>
        <v/>
      </c>
      <c r="P979" s="11" t="str">
        <f>IF($A979="","",IFERROR(VALUE(MID(TRIM('Template Setup'!$C$8),FIND("-",TRIM('Template Setup'!$C$8))+1,10)),0))</f>
        <v/>
      </c>
      <c r="Q979" s="9" t="str">
        <f>IF($A979="","",$A979&amp;"-"&amp;'Template Setup'!$C$16)</f>
        <v/>
      </c>
      <c r="R979" s="24" t="str">
        <f t="shared" si="61"/>
        <v/>
      </c>
      <c r="S979" s="24"/>
      <c r="T979" s="24" t="str">
        <f t="shared" si="62"/>
        <v/>
      </c>
      <c r="U979" s="6" t="str">
        <f t="shared" si="64"/>
        <v/>
      </c>
    </row>
    <row r="980" spans="1:21">
      <c r="A980" s="11"/>
      <c r="B980" s="11"/>
      <c r="C980" s="11"/>
      <c r="D980" s="11" t="str">
        <f>IF($A980="","",_xlfn.TEXTJOIN(", ",TRUE,IF($G980&gt;0,'Template Setup'!$C$4,""),IF($H980&gt;0,'Template Setup'!$C$5,""),IF($I980&gt;0,'Template Setup'!$C$6,""),IF($J980&gt;0,'Template Setup'!$C$7,""),IF($K980&gt;0,'Template Setup'!$C$8,"")))</f>
        <v/>
      </c>
      <c r="E980" s="6" t="str" cm="1">
        <f t="array" ref="E980">IF($A980="","",_xlfn.LET(_xlpm.sheets,CHOOSE({1,2,3,4,5},'Template Setup'!$C$4,'Template Setup'!$C$5,'Template Setup'!$C$6,'Template Setup'!$C$7,'Template Setup'!$C$8),_xlpm.nums,CHOOSE({1,2,3,4,5},$L980,$M980,$N980,$O980,$P980),_xlpm.qtys,CHOOSE({1,2,3,4,5},$G980,$H980,$I980,$J980,$K980),_xlpm.validNums,_xlfn._xlws.FILTER(_xlpm.nums,_xlpm.qtys&gt;0),_xlpm.validSheets,_xlfn._xlws.FILTER(_xlpm.sheets,_xlpm.qtys&gt;0),_xlpm.mx,IFERROR(MAX(_xlpm.validNums),0),IF(_xlpm.mx=0,"",INDEX(_xlpm.validSheets,MATCH(_xlpm.mx,_xlpm.validNums,0))&amp;" (+"&amp;$R980&amp;")")))</f>
        <v/>
      </c>
      <c r="F980" s="11" t="str">
        <f t="shared" si="63"/>
        <v/>
      </c>
      <c r="G980" s="12" t="str">
        <f ca="1">IF($A980="","",IFERROR(SUMIF(INDIRECT("'"&amp;'Template Setup'!$C$4&amp;"'!C:C"),$A980,INDIRECT("'"&amp;'Template Setup'!$C$4&amp;"'!A:A")),0))</f>
        <v/>
      </c>
      <c r="H980" s="12" t="str">
        <f ca="1">IF($A980="","",IFERROR(SUMIF(INDIRECT("'"&amp;'Template Setup'!$C$5&amp;"'!C:C"),$A980,INDIRECT("'"&amp;'Template Setup'!$C$5&amp;"'!A:A")),0))</f>
        <v/>
      </c>
      <c r="I980" s="12" t="str">
        <f ca="1">IF($A980="","",IFERROR(SUMIF(INDIRECT("'"&amp;'Template Setup'!$C$6&amp;"'!C:C"),$A980,INDIRECT("'"&amp;'Template Setup'!$C$6&amp;"'!A:A")),0))</f>
        <v/>
      </c>
      <c r="J980" s="12" t="str">
        <f ca="1">IF($A980="","",IFERROR(SUMIF(INDIRECT("'"&amp;'Template Setup'!$C$7&amp;"'!C:C"),$A980,INDIRECT("'"&amp;'Template Setup'!$C$7&amp;"'!A:A")),0))</f>
        <v/>
      </c>
      <c r="K980" s="12" t="str">
        <f ca="1">IF($A980="","",IFERROR(SUMIF(INDIRECT("'"&amp;'Template Setup'!$C$8&amp;"'!C:C"),$A980,INDIRECT("'"&amp;'Template Setup'!$C$8&amp;"'!A:A")),0))</f>
        <v/>
      </c>
      <c r="L980" s="11" t="str">
        <f>IF($A980="","",IFERROR(VALUE(MID(TRIM('Template Setup'!$C$4),FIND("-",TRIM('Template Setup'!$C$4))+1,10)),0))</f>
        <v/>
      </c>
      <c r="M980" s="11" t="str">
        <f>IF($A980="","",IFERROR(VALUE(MID(TRIM('Template Setup'!$C$5),FIND("-",TRIM('Template Setup'!$C$5))+1,10)),0))</f>
        <v/>
      </c>
      <c r="N980" s="11" t="str">
        <f>IF($A980="","",IFERROR(VALUE(MID(TRIM('Template Setup'!$C$6),FIND("-",TRIM('Template Setup'!$C$6))+1,10)),0))</f>
        <v/>
      </c>
      <c r="O980" s="11" t="str">
        <f>IF($A980="","",IFERROR(VALUE(MID(TRIM('Template Setup'!$C$7),FIND("-",TRIM('Template Setup'!$C$7))+1,10)),0))</f>
        <v/>
      </c>
      <c r="P980" s="11" t="str">
        <f>IF($A980="","",IFERROR(VALUE(MID(TRIM('Template Setup'!$C$8),FIND("-",TRIM('Template Setup'!$C$8))+1,10)),0))</f>
        <v/>
      </c>
      <c r="Q980" s="9" t="str">
        <f>IF($A980="","",$A980&amp;"-"&amp;'Template Setup'!$C$16)</f>
        <v/>
      </c>
      <c r="R980" s="24" t="str">
        <f t="shared" si="61"/>
        <v/>
      </c>
      <c r="S980" s="24"/>
      <c r="T980" s="24" t="str">
        <f t="shared" si="62"/>
        <v/>
      </c>
      <c r="U980" s="6" t="str">
        <f t="shared" si="64"/>
        <v/>
      </c>
    </row>
    <row r="981" spans="1:21">
      <c r="A981" s="11"/>
      <c r="B981" s="11"/>
      <c r="C981" s="11"/>
      <c r="D981" s="11" t="str">
        <f>IF($A981="","",_xlfn.TEXTJOIN(", ",TRUE,IF($G981&gt;0,'Template Setup'!$C$4,""),IF($H981&gt;0,'Template Setup'!$C$5,""),IF($I981&gt;0,'Template Setup'!$C$6,""),IF($J981&gt;0,'Template Setup'!$C$7,""),IF($K981&gt;0,'Template Setup'!$C$8,"")))</f>
        <v/>
      </c>
      <c r="E981" s="6" t="str" cm="1">
        <f t="array" ref="E981">IF($A981="","",_xlfn.LET(_xlpm.sheets,CHOOSE({1,2,3,4,5},'Template Setup'!$C$4,'Template Setup'!$C$5,'Template Setup'!$C$6,'Template Setup'!$C$7,'Template Setup'!$C$8),_xlpm.nums,CHOOSE({1,2,3,4,5},$L981,$M981,$N981,$O981,$P981),_xlpm.qtys,CHOOSE({1,2,3,4,5},$G981,$H981,$I981,$J981,$K981),_xlpm.validNums,_xlfn._xlws.FILTER(_xlpm.nums,_xlpm.qtys&gt;0),_xlpm.validSheets,_xlfn._xlws.FILTER(_xlpm.sheets,_xlpm.qtys&gt;0),_xlpm.mx,IFERROR(MAX(_xlpm.validNums),0),IF(_xlpm.mx=0,"",INDEX(_xlpm.validSheets,MATCH(_xlpm.mx,_xlpm.validNums,0))&amp;" (+"&amp;$R981&amp;")")))</f>
        <v/>
      </c>
      <c r="F981" s="11" t="str">
        <f t="shared" si="63"/>
        <v/>
      </c>
      <c r="G981" s="12" t="str">
        <f ca="1">IF($A981="","",IFERROR(SUMIF(INDIRECT("'"&amp;'Template Setup'!$C$4&amp;"'!C:C"),$A981,INDIRECT("'"&amp;'Template Setup'!$C$4&amp;"'!A:A")),0))</f>
        <v/>
      </c>
      <c r="H981" s="12" t="str">
        <f ca="1">IF($A981="","",IFERROR(SUMIF(INDIRECT("'"&amp;'Template Setup'!$C$5&amp;"'!C:C"),$A981,INDIRECT("'"&amp;'Template Setup'!$C$5&amp;"'!A:A")),0))</f>
        <v/>
      </c>
      <c r="I981" s="12" t="str">
        <f ca="1">IF($A981="","",IFERROR(SUMIF(INDIRECT("'"&amp;'Template Setup'!$C$6&amp;"'!C:C"),$A981,INDIRECT("'"&amp;'Template Setup'!$C$6&amp;"'!A:A")),0))</f>
        <v/>
      </c>
      <c r="J981" s="12" t="str">
        <f ca="1">IF($A981="","",IFERROR(SUMIF(INDIRECT("'"&amp;'Template Setup'!$C$7&amp;"'!C:C"),$A981,INDIRECT("'"&amp;'Template Setup'!$C$7&amp;"'!A:A")),0))</f>
        <v/>
      </c>
      <c r="K981" s="12" t="str">
        <f ca="1">IF($A981="","",IFERROR(SUMIF(INDIRECT("'"&amp;'Template Setup'!$C$8&amp;"'!C:C"),$A981,INDIRECT("'"&amp;'Template Setup'!$C$8&amp;"'!A:A")),0))</f>
        <v/>
      </c>
      <c r="L981" s="11" t="str">
        <f>IF($A981="","",IFERROR(VALUE(MID(TRIM('Template Setup'!$C$4),FIND("-",TRIM('Template Setup'!$C$4))+1,10)),0))</f>
        <v/>
      </c>
      <c r="M981" s="11" t="str">
        <f>IF($A981="","",IFERROR(VALUE(MID(TRIM('Template Setup'!$C$5),FIND("-",TRIM('Template Setup'!$C$5))+1,10)),0))</f>
        <v/>
      </c>
      <c r="N981" s="11" t="str">
        <f>IF($A981="","",IFERROR(VALUE(MID(TRIM('Template Setup'!$C$6),FIND("-",TRIM('Template Setup'!$C$6))+1,10)),0))</f>
        <v/>
      </c>
      <c r="O981" s="11" t="str">
        <f>IF($A981="","",IFERROR(VALUE(MID(TRIM('Template Setup'!$C$7),FIND("-",TRIM('Template Setup'!$C$7))+1,10)),0))</f>
        <v/>
      </c>
      <c r="P981" s="11" t="str">
        <f>IF($A981="","",IFERROR(VALUE(MID(TRIM('Template Setup'!$C$8),FIND("-",TRIM('Template Setup'!$C$8))+1,10)),0))</f>
        <v/>
      </c>
      <c r="Q981" s="9" t="str">
        <f>IF($A981="","",$A981&amp;"-"&amp;'Template Setup'!$C$16)</f>
        <v/>
      </c>
      <c r="R981" s="24" t="str">
        <f t="shared" si="61"/>
        <v/>
      </c>
      <c r="S981" s="24"/>
      <c r="T981" s="24" t="str">
        <f t="shared" si="62"/>
        <v/>
      </c>
      <c r="U981" s="6" t="str">
        <f t="shared" si="64"/>
        <v/>
      </c>
    </row>
    <row r="982" spans="1:21">
      <c r="A982" s="11"/>
      <c r="B982" s="11"/>
      <c r="C982" s="11"/>
      <c r="D982" s="11" t="str">
        <f>IF($A982="","",_xlfn.TEXTJOIN(", ",TRUE,IF($G982&gt;0,'Template Setup'!$C$4,""),IF($H982&gt;0,'Template Setup'!$C$5,""),IF($I982&gt;0,'Template Setup'!$C$6,""),IF($J982&gt;0,'Template Setup'!$C$7,""),IF($K982&gt;0,'Template Setup'!$C$8,"")))</f>
        <v/>
      </c>
      <c r="E982" s="6" t="str" cm="1">
        <f t="array" ref="E982">IF($A982="","",_xlfn.LET(_xlpm.sheets,CHOOSE({1,2,3,4,5},'Template Setup'!$C$4,'Template Setup'!$C$5,'Template Setup'!$C$6,'Template Setup'!$C$7,'Template Setup'!$C$8),_xlpm.nums,CHOOSE({1,2,3,4,5},$L982,$M982,$N982,$O982,$P982),_xlpm.qtys,CHOOSE({1,2,3,4,5},$G982,$H982,$I982,$J982,$K982),_xlpm.validNums,_xlfn._xlws.FILTER(_xlpm.nums,_xlpm.qtys&gt;0),_xlpm.validSheets,_xlfn._xlws.FILTER(_xlpm.sheets,_xlpm.qtys&gt;0),_xlpm.mx,IFERROR(MAX(_xlpm.validNums),0),IF(_xlpm.mx=0,"",INDEX(_xlpm.validSheets,MATCH(_xlpm.mx,_xlpm.validNums,0))&amp;" (+"&amp;$R982&amp;")")))</f>
        <v/>
      </c>
      <c r="F982" s="11" t="str">
        <f t="shared" si="63"/>
        <v/>
      </c>
      <c r="G982" s="12" t="str">
        <f ca="1">IF($A982="","",IFERROR(SUMIF(INDIRECT("'"&amp;'Template Setup'!$C$4&amp;"'!C:C"),$A982,INDIRECT("'"&amp;'Template Setup'!$C$4&amp;"'!A:A")),0))</f>
        <v/>
      </c>
      <c r="H982" s="12" t="str">
        <f ca="1">IF($A982="","",IFERROR(SUMIF(INDIRECT("'"&amp;'Template Setup'!$C$5&amp;"'!C:C"),$A982,INDIRECT("'"&amp;'Template Setup'!$C$5&amp;"'!A:A")),0))</f>
        <v/>
      </c>
      <c r="I982" s="12" t="str">
        <f ca="1">IF($A982="","",IFERROR(SUMIF(INDIRECT("'"&amp;'Template Setup'!$C$6&amp;"'!C:C"),$A982,INDIRECT("'"&amp;'Template Setup'!$C$6&amp;"'!A:A")),0))</f>
        <v/>
      </c>
      <c r="J982" s="12" t="str">
        <f ca="1">IF($A982="","",IFERROR(SUMIF(INDIRECT("'"&amp;'Template Setup'!$C$7&amp;"'!C:C"),$A982,INDIRECT("'"&amp;'Template Setup'!$C$7&amp;"'!A:A")),0))</f>
        <v/>
      </c>
      <c r="K982" s="12" t="str">
        <f ca="1">IF($A982="","",IFERROR(SUMIF(INDIRECT("'"&amp;'Template Setup'!$C$8&amp;"'!C:C"),$A982,INDIRECT("'"&amp;'Template Setup'!$C$8&amp;"'!A:A")),0))</f>
        <v/>
      </c>
      <c r="L982" s="11" t="str">
        <f>IF($A982="","",IFERROR(VALUE(MID(TRIM('Template Setup'!$C$4),FIND("-",TRIM('Template Setup'!$C$4))+1,10)),0))</f>
        <v/>
      </c>
      <c r="M982" s="11" t="str">
        <f>IF($A982="","",IFERROR(VALUE(MID(TRIM('Template Setup'!$C$5),FIND("-",TRIM('Template Setup'!$C$5))+1,10)),0))</f>
        <v/>
      </c>
      <c r="N982" s="11" t="str">
        <f>IF($A982="","",IFERROR(VALUE(MID(TRIM('Template Setup'!$C$6),FIND("-",TRIM('Template Setup'!$C$6))+1,10)),0))</f>
        <v/>
      </c>
      <c r="O982" s="11" t="str">
        <f>IF($A982="","",IFERROR(VALUE(MID(TRIM('Template Setup'!$C$7),FIND("-",TRIM('Template Setup'!$C$7))+1,10)),0))</f>
        <v/>
      </c>
      <c r="P982" s="11" t="str">
        <f>IF($A982="","",IFERROR(VALUE(MID(TRIM('Template Setup'!$C$8),FIND("-",TRIM('Template Setup'!$C$8))+1,10)),0))</f>
        <v/>
      </c>
      <c r="Q982" s="9" t="str">
        <f>IF($A982="","",$A982&amp;"-"&amp;'Template Setup'!$C$16)</f>
        <v/>
      </c>
      <c r="R982" s="24" t="str">
        <f t="shared" si="61"/>
        <v/>
      </c>
      <c r="S982" s="24"/>
      <c r="T982" s="24" t="str">
        <f t="shared" si="62"/>
        <v/>
      </c>
      <c r="U982" s="6" t="str">
        <f t="shared" si="64"/>
        <v/>
      </c>
    </row>
    <row r="983" spans="1:21">
      <c r="A983" s="11"/>
      <c r="B983" s="11"/>
      <c r="C983" s="11"/>
      <c r="D983" s="11" t="str">
        <f>IF($A983="","",_xlfn.TEXTJOIN(", ",TRUE,IF($G983&gt;0,'Template Setup'!$C$4,""),IF($H983&gt;0,'Template Setup'!$C$5,""),IF($I983&gt;0,'Template Setup'!$C$6,""),IF($J983&gt;0,'Template Setup'!$C$7,""),IF($K983&gt;0,'Template Setup'!$C$8,"")))</f>
        <v/>
      </c>
      <c r="E983" s="6" t="str" cm="1">
        <f t="array" ref="E983">IF($A983="","",_xlfn.LET(_xlpm.sheets,CHOOSE({1,2,3,4,5},'Template Setup'!$C$4,'Template Setup'!$C$5,'Template Setup'!$C$6,'Template Setup'!$C$7,'Template Setup'!$C$8),_xlpm.nums,CHOOSE({1,2,3,4,5},$L983,$M983,$N983,$O983,$P983),_xlpm.qtys,CHOOSE({1,2,3,4,5},$G983,$H983,$I983,$J983,$K983),_xlpm.validNums,_xlfn._xlws.FILTER(_xlpm.nums,_xlpm.qtys&gt;0),_xlpm.validSheets,_xlfn._xlws.FILTER(_xlpm.sheets,_xlpm.qtys&gt;0),_xlpm.mx,IFERROR(MAX(_xlpm.validNums),0),IF(_xlpm.mx=0,"",INDEX(_xlpm.validSheets,MATCH(_xlpm.mx,_xlpm.validNums,0))&amp;" (+"&amp;$R983&amp;")")))</f>
        <v/>
      </c>
      <c r="F983" s="11" t="str">
        <f t="shared" si="63"/>
        <v/>
      </c>
      <c r="G983" s="12" t="str">
        <f ca="1">IF($A983="","",IFERROR(SUMIF(INDIRECT("'"&amp;'Template Setup'!$C$4&amp;"'!C:C"),$A983,INDIRECT("'"&amp;'Template Setup'!$C$4&amp;"'!A:A")),0))</f>
        <v/>
      </c>
      <c r="H983" s="12" t="str">
        <f ca="1">IF($A983="","",IFERROR(SUMIF(INDIRECT("'"&amp;'Template Setup'!$C$5&amp;"'!C:C"),$A983,INDIRECT("'"&amp;'Template Setup'!$C$5&amp;"'!A:A")),0))</f>
        <v/>
      </c>
      <c r="I983" s="12" t="str">
        <f ca="1">IF($A983="","",IFERROR(SUMIF(INDIRECT("'"&amp;'Template Setup'!$C$6&amp;"'!C:C"),$A983,INDIRECT("'"&amp;'Template Setup'!$C$6&amp;"'!A:A")),0))</f>
        <v/>
      </c>
      <c r="J983" s="12" t="str">
        <f ca="1">IF($A983="","",IFERROR(SUMIF(INDIRECT("'"&amp;'Template Setup'!$C$7&amp;"'!C:C"),$A983,INDIRECT("'"&amp;'Template Setup'!$C$7&amp;"'!A:A")),0))</f>
        <v/>
      </c>
      <c r="K983" s="12" t="str">
        <f ca="1">IF($A983="","",IFERROR(SUMIF(INDIRECT("'"&amp;'Template Setup'!$C$8&amp;"'!C:C"),$A983,INDIRECT("'"&amp;'Template Setup'!$C$8&amp;"'!A:A")),0))</f>
        <v/>
      </c>
      <c r="L983" s="11" t="str">
        <f>IF($A983="","",IFERROR(VALUE(MID(TRIM('Template Setup'!$C$4),FIND("-",TRIM('Template Setup'!$C$4))+1,10)),0))</f>
        <v/>
      </c>
      <c r="M983" s="11" t="str">
        <f>IF($A983="","",IFERROR(VALUE(MID(TRIM('Template Setup'!$C$5),FIND("-",TRIM('Template Setup'!$C$5))+1,10)),0))</f>
        <v/>
      </c>
      <c r="N983" s="11" t="str">
        <f>IF($A983="","",IFERROR(VALUE(MID(TRIM('Template Setup'!$C$6),FIND("-",TRIM('Template Setup'!$C$6))+1,10)),0))</f>
        <v/>
      </c>
      <c r="O983" s="11" t="str">
        <f>IF($A983="","",IFERROR(VALUE(MID(TRIM('Template Setup'!$C$7),FIND("-",TRIM('Template Setup'!$C$7))+1,10)),0))</f>
        <v/>
      </c>
      <c r="P983" s="11" t="str">
        <f>IF($A983="","",IFERROR(VALUE(MID(TRIM('Template Setup'!$C$8),FIND("-",TRIM('Template Setup'!$C$8))+1,10)),0))</f>
        <v/>
      </c>
      <c r="Q983" s="9" t="str">
        <f>IF($A983="","",$A983&amp;"-"&amp;'Template Setup'!$C$16)</f>
        <v/>
      </c>
      <c r="R983" s="24" t="str">
        <f t="shared" si="61"/>
        <v/>
      </c>
      <c r="S983" s="24"/>
      <c r="T983" s="24" t="str">
        <f t="shared" si="62"/>
        <v/>
      </c>
      <c r="U983" s="6" t="str">
        <f t="shared" si="64"/>
        <v/>
      </c>
    </row>
    <row r="984" spans="1:21">
      <c r="A984" s="11"/>
      <c r="B984" s="11"/>
      <c r="C984" s="11"/>
      <c r="D984" s="11" t="str">
        <f>IF($A984="","",_xlfn.TEXTJOIN(", ",TRUE,IF($G984&gt;0,'Template Setup'!$C$4,""),IF($H984&gt;0,'Template Setup'!$C$5,""),IF($I984&gt;0,'Template Setup'!$C$6,""),IF($J984&gt;0,'Template Setup'!$C$7,""),IF($K984&gt;0,'Template Setup'!$C$8,"")))</f>
        <v/>
      </c>
      <c r="E984" s="6" t="str" cm="1">
        <f t="array" ref="E984">IF($A984="","",_xlfn.LET(_xlpm.sheets,CHOOSE({1,2,3,4,5},'Template Setup'!$C$4,'Template Setup'!$C$5,'Template Setup'!$C$6,'Template Setup'!$C$7,'Template Setup'!$C$8),_xlpm.nums,CHOOSE({1,2,3,4,5},$L984,$M984,$N984,$O984,$P984),_xlpm.qtys,CHOOSE({1,2,3,4,5},$G984,$H984,$I984,$J984,$K984),_xlpm.validNums,_xlfn._xlws.FILTER(_xlpm.nums,_xlpm.qtys&gt;0),_xlpm.validSheets,_xlfn._xlws.FILTER(_xlpm.sheets,_xlpm.qtys&gt;0),_xlpm.mx,IFERROR(MAX(_xlpm.validNums),0),IF(_xlpm.mx=0,"",INDEX(_xlpm.validSheets,MATCH(_xlpm.mx,_xlpm.validNums,0))&amp;" (+"&amp;$R984&amp;")")))</f>
        <v/>
      </c>
      <c r="F984" s="11" t="str">
        <f t="shared" si="63"/>
        <v/>
      </c>
      <c r="G984" s="12" t="str">
        <f ca="1">IF($A984="","",IFERROR(SUMIF(INDIRECT("'"&amp;'Template Setup'!$C$4&amp;"'!C:C"),$A984,INDIRECT("'"&amp;'Template Setup'!$C$4&amp;"'!A:A")),0))</f>
        <v/>
      </c>
      <c r="H984" s="12" t="str">
        <f ca="1">IF($A984="","",IFERROR(SUMIF(INDIRECT("'"&amp;'Template Setup'!$C$5&amp;"'!C:C"),$A984,INDIRECT("'"&amp;'Template Setup'!$C$5&amp;"'!A:A")),0))</f>
        <v/>
      </c>
      <c r="I984" s="12" t="str">
        <f ca="1">IF($A984="","",IFERROR(SUMIF(INDIRECT("'"&amp;'Template Setup'!$C$6&amp;"'!C:C"),$A984,INDIRECT("'"&amp;'Template Setup'!$C$6&amp;"'!A:A")),0))</f>
        <v/>
      </c>
      <c r="J984" s="12" t="str">
        <f ca="1">IF($A984="","",IFERROR(SUMIF(INDIRECT("'"&amp;'Template Setup'!$C$7&amp;"'!C:C"),$A984,INDIRECT("'"&amp;'Template Setup'!$C$7&amp;"'!A:A")),0))</f>
        <v/>
      </c>
      <c r="K984" s="12" t="str">
        <f ca="1">IF($A984="","",IFERROR(SUMIF(INDIRECT("'"&amp;'Template Setup'!$C$8&amp;"'!C:C"),$A984,INDIRECT("'"&amp;'Template Setup'!$C$8&amp;"'!A:A")),0))</f>
        <v/>
      </c>
      <c r="L984" s="11" t="str">
        <f>IF($A984="","",IFERROR(VALUE(MID(TRIM('Template Setup'!$C$4),FIND("-",TRIM('Template Setup'!$C$4))+1,10)),0))</f>
        <v/>
      </c>
      <c r="M984" s="11" t="str">
        <f>IF($A984="","",IFERROR(VALUE(MID(TRIM('Template Setup'!$C$5),FIND("-",TRIM('Template Setup'!$C$5))+1,10)),0))</f>
        <v/>
      </c>
      <c r="N984" s="11" t="str">
        <f>IF($A984="","",IFERROR(VALUE(MID(TRIM('Template Setup'!$C$6),FIND("-",TRIM('Template Setup'!$C$6))+1,10)),0))</f>
        <v/>
      </c>
      <c r="O984" s="11" t="str">
        <f>IF($A984="","",IFERROR(VALUE(MID(TRIM('Template Setup'!$C$7),FIND("-",TRIM('Template Setup'!$C$7))+1,10)),0))</f>
        <v/>
      </c>
      <c r="P984" s="11" t="str">
        <f>IF($A984="","",IFERROR(VALUE(MID(TRIM('Template Setup'!$C$8),FIND("-",TRIM('Template Setup'!$C$8))+1,10)),0))</f>
        <v/>
      </c>
      <c r="Q984" s="9" t="str">
        <f>IF($A984="","",$A984&amp;"-"&amp;'Template Setup'!$C$16)</f>
        <v/>
      </c>
      <c r="R984" s="24" t="str">
        <f t="shared" si="61"/>
        <v/>
      </c>
      <c r="S984" s="24"/>
      <c r="T984" s="24" t="str">
        <f t="shared" si="62"/>
        <v/>
      </c>
      <c r="U984" s="6" t="str">
        <f t="shared" si="64"/>
        <v/>
      </c>
    </row>
    <row r="985" spans="1:21">
      <c r="A985" s="11"/>
      <c r="B985" s="11"/>
      <c r="C985" s="11"/>
      <c r="D985" s="11" t="str">
        <f>IF($A985="","",_xlfn.TEXTJOIN(", ",TRUE,IF($G985&gt;0,'Template Setup'!$C$4,""),IF($H985&gt;0,'Template Setup'!$C$5,""),IF($I985&gt;0,'Template Setup'!$C$6,""),IF($J985&gt;0,'Template Setup'!$C$7,""),IF($K985&gt;0,'Template Setup'!$C$8,"")))</f>
        <v/>
      </c>
      <c r="E985" s="6" t="str" cm="1">
        <f t="array" ref="E985">IF($A985="","",_xlfn.LET(_xlpm.sheets,CHOOSE({1,2,3,4,5},'Template Setup'!$C$4,'Template Setup'!$C$5,'Template Setup'!$C$6,'Template Setup'!$C$7,'Template Setup'!$C$8),_xlpm.nums,CHOOSE({1,2,3,4,5},$L985,$M985,$N985,$O985,$P985),_xlpm.qtys,CHOOSE({1,2,3,4,5},$G985,$H985,$I985,$J985,$K985),_xlpm.validNums,_xlfn._xlws.FILTER(_xlpm.nums,_xlpm.qtys&gt;0),_xlpm.validSheets,_xlfn._xlws.FILTER(_xlpm.sheets,_xlpm.qtys&gt;0),_xlpm.mx,IFERROR(MAX(_xlpm.validNums),0),IF(_xlpm.mx=0,"",INDEX(_xlpm.validSheets,MATCH(_xlpm.mx,_xlpm.validNums,0))&amp;" (+"&amp;$R985&amp;")")))</f>
        <v/>
      </c>
      <c r="F985" s="11" t="str">
        <f t="shared" si="63"/>
        <v/>
      </c>
      <c r="G985" s="12" t="str">
        <f ca="1">IF($A985="","",IFERROR(SUMIF(INDIRECT("'"&amp;'Template Setup'!$C$4&amp;"'!C:C"),$A985,INDIRECT("'"&amp;'Template Setup'!$C$4&amp;"'!A:A")),0))</f>
        <v/>
      </c>
      <c r="H985" s="12" t="str">
        <f ca="1">IF($A985="","",IFERROR(SUMIF(INDIRECT("'"&amp;'Template Setup'!$C$5&amp;"'!C:C"),$A985,INDIRECT("'"&amp;'Template Setup'!$C$5&amp;"'!A:A")),0))</f>
        <v/>
      </c>
      <c r="I985" s="12" t="str">
        <f ca="1">IF($A985="","",IFERROR(SUMIF(INDIRECT("'"&amp;'Template Setup'!$C$6&amp;"'!C:C"),$A985,INDIRECT("'"&amp;'Template Setup'!$C$6&amp;"'!A:A")),0))</f>
        <v/>
      </c>
      <c r="J985" s="12" t="str">
        <f ca="1">IF($A985="","",IFERROR(SUMIF(INDIRECT("'"&amp;'Template Setup'!$C$7&amp;"'!C:C"),$A985,INDIRECT("'"&amp;'Template Setup'!$C$7&amp;"'!A:A")),0))</f>
        <v/>
      </c>
      <c r="K985" s="12" t="str">
        <f ca="1">IF($A985="","",IFERROR(SUMIF(INDIRECT("'"&amp;'Template Setup'!$C$8&amp;"'!C:C"),$A985,INDIRECT("'"&amp;'Template Setup'!$C$8&amp;"'!A:A")),0))</f>
        <v/>
      </c>
      <c r="L985" s="11" t="str">
        <f>IF($A985="","",IFERROR(VALUE(MID(TRIM('Template Setup'!$C$4),FIND("-",TRIM('Template Setup'!$C$4))+1,10)),0))</f>
        <v/>
      </c>
      <c r="M985" s="11" t="str">
        <f>IF($A985="","",IFERROR(VALUE(MID(TRIM('Template Setup'!$C$5),FIND("-",TRIM('Template Setup'!$C$5))+1,10)),0))</f>
        <v/>
      </c>
      <c r="N985" s="11" t="str">
        <f>IF($A985="","",IFERROR(VALUE(MID(TRIM('Template Setup'!$C$6),FIND("-",TRIM('Template Setup'!$C$6))+1,10)),0))</f>
        <v/>
      </c>
      <c r="O985" s="11" t="str">
        <f>IF($A985="","",IFERROR(VALUE(MID(TRIM('Template Setup'!$C$7),FIND("-",TRIM('Template Setup'!$C$7))+1,10)),0))</f>
        <v/>
      </c>
      <c r="P985" s="11" t="str">
        <f>IF($A985="","",IFERROR(VALUE(MID(TRIM('Template Setup'!$C$8),FIND("-",TRIM('Template Setup'!$C$8))+1,10)),0))</f>
        <v/>
      </c>
      <c r="Q985" s="9" t="str">
        <f>IF($A985="","",$A985&amp;"-"&amp;'Template Setup'!$C$16)</f>
        <v/>
      </c>
      <c r="R985" s="24" t="str">
        <f t="shared" si="61"/>
        <v/>
      </c>
      <c r="S985" s="24"/>
      <c r="T985" s="24" t="str">
        <f t="shared" si="62"/>
        <v/>
      </c>
      <c r="U985" s="6" t="str">
        <f t="shared" si="64"/>
        <v/>
      </c>
    </row>
    <row r="986" spans="1:21">
      <c r="A986" s="11"/>
      <c r="B986" s="11"/>
      <c r="C986" s="11"/>
      <c r="D986" s="11" t="str">
        <f>IF($A986="","",_xlfn.TEXTJOIN(", ",TRUE,IF($G986&gt;0,'Template Setup'!$C$4,""),IF($H986&gt;0,'Template Setup'!$C$5,""),IF($I986&gt;0,'Template Setup'!$C$6,""),IF($J986&gt;0,'Template Setup'!$C$7,""),IF($K986&gt;0,'Template Setup'!$C$8,"")))</f>
        <v/>
      </c>
      <c r="E986" s="6" t="str" cm="1">
        <f t="array" ref="E986">IF($A986="","",_xlfn.LET(_xlpm.sheets,CHOOSE({1,2,3,4,5},'Template Setup'!$C$4,'Template Setup'!$C$5,'Template Setup'!$C$6,'Template Setup'!$C$7,'Template Setup'!$C$8),_xlpm.nums,CHOOSE({1,2,3,4,5},$L986,$M986,$N986,$O986,$P986),_xlpm.qtys,CHOOSE({1,2,3,4,5},$G986,$H986,$I986,$J986,$K986),_xlpm.validNums,_xlfn._xlws.FILTER(_xlpm.nums,_xlpm.qtys&gt;0),_xlpm.validSheets,_xlfn._xlws.FILTER(_xlpm.sheets,_xlpm.qtys&gt;0),_xlpm.mx,IFERROR(MAX(_xlpm.validNums),0),IF(_xlpm.mx=0,"",INDEX(_xlpm.validSheets,MATCH(_xlpm.mx,_xlpm.validNums,0))&amp;" (+"&amp;$R986&amp;")")))</f>
        <v/>
      </c>
      <c r="F986" s="11" t="str">
        <f t="shared" si="63"/>
        <v/>
      </c>
      <c r="G986" s="12" t="str">
        <f ca="1">IF($A986="","",IFERROR(SUMIF(INDIRECT("'"&amp;'Template Setup'!$C$4&amp;"'!C:C"),$A986,INDIRECT("'"&amp;'Template Setup'!$C$4&amp;"'!A:A")),0))</f>
        <v/>
      </c>
      <c r="H986" s="12" t="str">
        <f ca="1">IF($A986="","",IFERROR(SUMIF(INDIRECT("'"&amp;'Template Setup'!$C$5&amp;"'!C:C"),$A986,INDIRECT("'"&amp;'Template Setup'!$C$5&amp;"'!A:A")),0))</f>
        <v/>
      </c>
      <c r="I986" s="12" t="str">
        <f ca="1">IF($A986="","",IFERROR(SUMIF(INDIRECT("'"&amp;'Template Setup'!$C$6&amp;"'!C:C"),$A986,INDIRECT("'"&amp;'Template Setup'!$C$6&amp;"'!A:A")),0))</f>
        <v/>
      </c>
      <c r="J986" s="12" t="str">
        <f ca="1">IF($A986="","",IFERROR(SUMIF(INDIRECT("'"&amp;'Template Setup'!$C$7&amp;"'!C:C"),$A986,INDIRECT("'"&amp;'Template Setup'!$C$7&amp;"'!A:A")),0))</f>
        <v/>
      </c>
      <c r="K986" s="12" t="str">
        <f ca="1">IF($A986="","",IFERROR(SUMIF(INDIRECT("'"&amp;'Template Setup'!$C$8&amp;"'!C:C"),$A986,INDIRECT("'"&amp;'Template Setup'!$C$8&amp;"'!A:A")),0))</f>
        <v/>
      </c>
      <c r="L986" s="11" t="str">
        <f>IF($A986="","",IFERROR(VALUE(MID(TRIM('Template Setup'!$C$4),FIND("-",TRIM('Template Setup'!$C$4))+1,10)),0))</f>
        <v/>
      </c>
      <c r="M986" s="11" t="str">
        <f>IF($A986="","",IFERROR(VALUE(MID(TRIM('Template Setup'!$C$5),FIND("-",TRIM('Template Setup'!$C$5))+1,10)),0))</f>
        <v/>
      </c>
      <c r="N986" s="11" t="str">
        <f>IF($A986="","",IFERROR(VALUE(MID(TRIM('Template Setup'!$C$6),FIND("-",TRIM('Template Setup'!$C$6))+1,10)),0))</f>
        <v/>
      </c>
      <c r="O986" s="11" t="str">
        <f>IF($A986="","",IFERROR(VALUE(MID(TRIM('Template Setup'!$C$7),FIND("-",TRIM('Template Setup'!$C$7))+1,10)),0))</f>
        <v/>
      </c>
      <c r="P986" s="11" t="str">
        <f>IF($A986="","",IFERROR(VALUE(MID(TRIM('Template Setup'!$C$8),FIND("-",TRIM('Template Setup'!$C$8))+1,10)),0))</f>
        <v/>
      </c>
      <c r="Q986" s="9" t="str">
        <f>IF($A986="","",$A986&amp;"-"&amp;'Template Setup'!$C$16)</f>
        <v/>
      </c>
      <c r="R986" s="24" t="str">
        <f t="shared" si="61"/>
        <v/>
      </c>
      <c r="S986" s="24"/>
      <c r="T986" s="24" t="str">
        <f t="shared" si="62"/>
        <v/>
      </c>
      <c r="U986" s="6" t="str">
        <f t="shared" si="64"/>
        <v/>
      </c>
    </row>
    <row r="987" spans="1:21">
      <c r="A987" s="11"/>
      <c r="B987" s="11"/>
      <c r="C987" s="11"/>
      <c r="D987" s="11" t="str">
        <f>IF($A987="","",_xlfn.TEXTJOIN(", ",TRUE,IF($G987&gt;0,'Template Setup'!$C$4,""),IF($H987&gt;0,'Template Setup'!$C$5,""),IF($I987&gt;0,'Template Setup'!$C$6,""),IF($J987&gt;0,'Template Setup'!$C$7,""),IF($K987&gt;0,'Template Setup'!$C$8,"")))</f>
        <v/>
      </c>
      <c r="E987" s="6" t="str" cm="1">
        <f t="array" ref="E987">IF($A987="","",_xlfn.LET(_xlpm.sheets,CHOOSE({1,2,3,4,5},'Template Setup'!$C$4,'Template Setup'!$C$5,'Template Setup'!$C$6,'Template Setup'!$C$7,'Template Setup'!$C$8),_xlpm.nums,CHOOSE({1,2,3,4,5},$L987,$M987,$N987,$O987,$P987),_xlpm.qtys,CHOOSE({1,2,3,4,5},$G987,$H987,$I987,$J987,$K987),_xlpm.validNums,_xlfn._xlws.FILTER(_xlpm.nums,_xlpm.qtys&gt;0),_xlpm.validSheets,_xlfn._xlws.FILTER(_xlpm.sheets,_xlpm.qtys&gt;0),_xlpm.mx,IFERROR(MAX(_xlpm.validNums),0),IF(_xlpm.mx=0,"",INDEX(_xlpm.validSheets,MATCH(_xlpm.mx,_xlpm.validNums,0))&amp;" (+"&amp;$R987&amp;")")))</f>
        <v/>
      </c>
      <c r="F987" s="11" t="str">
        <f t="shared" si="63"/>
        <v/>
      </c>
      <c r="G987" s="12" t="str">
        <f ca="1">IF($A987="","",IFERROR(SUMIF(INDIRECT("'"&amp;'Template Setup'!$C$4&amp;"'!C:C"),$A987,INDIRECT("'"&amp;'Template Setup'!$C$4&amp;"'!A:A")),0))</f>
        <v/>
      </c>
      <c r="H987" s="12" t="str">
        <f ca="1">IF($A987="","",IFERROR(SUMIF(INDIRECT("'"&amp;'Template Setup'!$C$5&amp;"'!C:C"),$A987,INDIRECT("'"&amp;'Template Setup'!$C$5&amp;"'!A:A")),0))</f>
        <v/>
      </c>
      <c r="I987" s="12" t="str">
        <f ca="1">IF($A987="","",IFERROR(SUMIF(INDIRECT("'"&amp;'Template Setup'!$C$6&amp;"'!C:C"),$A987,INDIRECT("'"&amp;'Template Setup'!$C$6&amp;"'!A:A")),0))</f>
        <v/>
      </c>
      <c r="J987" s="12" t="str">
        <f ca="1">IF($A987="","",IFERROR(SUMIF(INDIRECT("'"&amp;'Template Setup'!$C$7&amp;"'!C:C"),$A987,INDIRECT("'"&amp;'Template Setup'!$C$7&amp;"'!A:A")),0))</f>
        <v/>
      </c>
      <c r="K987" s="12" t="str">
        <f ca="1">IF($A987="","",IFERROR(SUMIF(INDIRECT("'"&amp;'Template Setup'!$C$8&amp;"'!C:C"),$A987,INDIRECT("'"&amp;'Template Setup'!$C$8&amp;"'!A:A")),0))</f>
        <v/>
      </c>
      <c r="L987" s="11" t="str">
        <f>IF($A987="","",IFERROR(VALUE(MID(TRIM('Template Setup'!$C$4),FIND("-",TRIM('Template Setup'!$C$4))+1,10)),0))</f>
        <v/>
      </c>
      <c r="M987" s="11" t="str">
        <f>IF($A987="","",IFERROR(VALUE(MID(TRIM('Template Setup'!$C$5),FIND("-",TRIM('Template Setup'!$C$5))+1,10)),0))</f>
        <v/>
      </c>
      <c r="N987" s="11" t="str">
        <f>IF($A987="","",IFERROR(VALUE(MID(TRIM('Template Setup'!$C$6),FIND("-",TRIM('Template Setup'!$C$6))+1,10)),0))</f>
        <v/>
      </c>
      <c r="O987" s="11" t="str">
        <f>IF($A987="","",IFERROR(VALUE(MID(TRIM('Template Setup'!$C$7),FIND("-",TRIM('Template Setup'!$C$7))+1,10)),0))</f>
        <v/>
      </c>
      <c r="P987" s="11" t="str">
        <f>IF($A987="","",IFERROR(VALUE(MID(TRIM('Template Setup'!$C$8),FIND("-",TRIM('Template Setup'!$C$8))+1,10)),0))</f>
        <v/>
      </c>
      <c r="Q987" s="9" t="str">
        <f>IF($A987="","",$A987&amp;"-"&amp;'Template Setup'!$C$16)</f>
        <v/>
      </c>
      <c r="R987" s="24" t="str">
        <f t="shared" si="61"/>
        <v/>
      </c>
      <c r="S987" s="24"/>
      <c r="T987" s="24" t="str">
        <f t="shared" si="62"/>
        <v/>
      </c>
      <c r="U987" s="6" t="str">
        <f t="shared" si="64"/>
        <v/>
      </c>
    </row>
    <row r="988" spans="1:21">
      <c r="A988" s="11"/>
      <c r="B988" s="11"/>
      <c r="C988" s="11"/>
      <c r="D988" s="11" t="str">
        <f>IF($A988="","",_xlfn.TEXTJOIN(", ",TRUE,IF($G988&gt;0,'Template Setup'!$C$4,""),IF($H988&gt;0,'Template Setup'!$C$5,""),IF($I988&gt;0,'Template Setup'!$C$6,""),IF($J988&gt;0,'Template Setup'!$C$7,""),IF($K988&gt;0,'Template Setup'!$C$8,"")))</f>
        <v/>
      </c>
      <c r="E988" s="6" t="str" cm="1">
        <f t="array" ref="E988">IF($A988="","",_xlfn.LET(_xlpm.sheets,CHOOSE({1,2,3,4,5},'Template Setup'!$C$4,'Template Setup'!$C$5,'Template Setup'!$C$6,'Template Setup'!$C$7,'Template Setup'!$C$8),_xlpm.nums,CHOOSE({1,2,3,4,5},$L988,$M988,$N988,$O988,$P988),_xlpm.qtys,CHOOSE({1,2,3,4,5},$G988,$H988,$I988,$J988,$K988),_xlpm.validNums,_xlfn._xlws.FILTER(_xlpm.nums,_xlpm.qtys&gt;0),_xlpm.validSheets,_xlfn._xlws.FILTER(_xlpm.sheets,_xlpm.qtys&gt;0),_xlpm.mx,IFERROR(MAX(_xlpm.validNums),0),IF(_xlpm.mx=0,"",INDEX(_xlpm.validSheets,MATCH(_xlpm.mx,_xlpm.validNums,0))&amp;" (+"&amp;$R988&amp;")")))</f>
        <v/>
      </c>
      <c r="F988" s="11" t="str">
        <f t="shared" si="63"/>
        <v/>
      </c>
      <c r="G988" s="12" t="str">
        <f ca="1">IF($A988="","",IFERROR(SUMIF(INDIRECT("'"&amp;'Template Setup'!$C$4&amp;"'!C:C"),$A988,INDIRECT("'"&amp;'Template Setup'!$C$4&amp;"'!A:A")),0))</f>
        <v/>
      </c>
      <c r="H988" s="12" t="str">
        <f ca="1">IF($A988="","",IFERROR(SUMIF(INDIRECT("'"&amp;'Template Setup'!$C$5&amp;"'!C:C"),$A988,INDIRECT("'"&amp;'Template Setup'!$C$5&amp;"'!A:A")),0))</f>
        <v/>
      </c>
      <c r="I988" s="12" t="str">
        <f ca="1">IF($A988="","",IFERROR(SUMIF(INDIRECT("'"&amp;'Template Setup'!$C$6&amp;"'!C:C"),$A988,INDIRECT("'"&amp;'Template Setup'!$C$6&amp;"'!A:A")),0))</f>
        <v/>
      </c>
      <c r="J988" s="12" t="str">
        <f ca="1">IF($A988="","",IFERROR(SUMIF(INDIRECT("'"&amp;'Template Setup'!$C$7&amp;"'!C:C"),$A988,INDIRECT("'"&amp;'Template Setup'!$C$7&amp;"'!A:A")),0))</f>
        <v/>
      </c>
      <c r="K988" s="12" t="str">
        <f ca="1">IF($A988="","",IFERROR(SUMIF(INDIRECT("'"&amp;'Template Setup'!$C$8&amp;"'!C:C"),$A988,INDIRECT("'"&amp;'Template Setup'!$C$8&amp;"'!A:A")),0))</f>
        <v/>
      </c>
      <c r="L988" s="11" t="str">
        <f>IF($A988="","",IFERROR(VALUE(MID(TRIM('Template Setup'!$C$4),FIND("-",TRIM('Template Setup'!$C$4))+1,10)),0))</f>
        <v/>
      </c>
      <c r="M988" s="11" t="str">
        <f>IF($A988="","",IFERROR(VALUE(MID(TRIM('Template Setup'!$C$5),FIND("-",TRIM('Template Setup'!$C$5))+1,10)),0))</f>
        <v/>
      </c>
      <c r="N988" s="11" t="str">
        <f>IF($A988="","",IFERROR(VALUE(MID(TRIM('Template Setup'!$C$6),FIND("-",TRIM('Template Setup'!$C$6))+1,10)),0))</f>
        <v/>
      </c>
      <c r="O988" s="11" t="str">
        <f>IF($A988="","",IFERROR(VALUE(MID(TRIM('Template Setup'!$C$7),FIND("-",TRIM('Template Setup'!$C$7))+1,10)),0))</f>
        <v/>
      </c>
      <c r="P988" s="11" t="str">
        <f>IF($A988="","",IFERROR(VALUE(MID(TRIM('Template Setup'!$C$8),FIND("-",TRIM('Template Setup'!$C$8))+1,10)),0))</f>
        <v/>
      </c>
      <c r="Q988" s="9" t="str">
        <f>IF($A988="","",$A988&amp;"-"&amp;'Template Setup'!$C$16)</f>
        <v/>
      </c>
      <c r="R988" s="24" t="str">
        <f t="shared" si="61"/>
        <v/>
      </c>
      <c r="S988" s="24"/>
      <c r="T988" s="24" t="str">
        <f t="shared" si="62"/>
        <v/>
      </c>
      <c r="U988" s="6" t="str">
        <f t="shared" si="64"/>
        <v/>
      </c>
    </row>
    <row r="989" spans="1:21">
      <c r="A989" s="11"/>
      <c r="B989" s="11"/>
      <c r="C989" s="11"/>
      <c r="D989" s="11" t="str">
        <f>IF($A989="","",_xlfn.TEXTJOIN(", ",TRUE,IF($G989&gt;0,'Template Setup'!$C$4,""),IF($H989&gt;0,'Template Setup'!$C$5,""),IF($I989&gt;0,'Template Setup'!$C$6,""),IF($J989&gt;0,'Template Setup'!$C$7,""),IF($K989&gt;0,'Template Setup'!$C$8,"")))</f>
        <v/>
      </c>
      <c r="E989" s="6" t="str" cm="1">
        <f t="array" ref="E989">IF($A989="","",_xlfn.LET(_xlpm.sheets,CHOOSE({1,2,3,4,5},'Template Setup'!$C$4,'Template Setup'!$C$5,'Template Setup'!$C$6,'Template Setup'!$C$7,'Template Setup'!$C$8),_xlpm.nums,CHOOSE({1,2,3,4,5},$L989,$M989,$N989,$O989,$P989),_xlpm.qtys,CHOOSE({1,2,3,4,5},$G989,$H989,$I989,$J989,$K989),_xlpm.validNums,_xlfn._xlws.FILTER(_xlpm.nums,_xlpm.qtys&gt;0),_xlpm.validSheets,_xlfn._xlws.FILTER(_xlpm.sheets,_xlpm.qtys&gt;0),_xlpm.mx,IFERROR(MAX(_xlpm.validNums),0),IF(_xlpm.mx=0,"",INDEX(_xlpm.validSheets,MATCH(_xlpm.mx,_xlpm.validNums,0))&amp;" (+"&amp;$R989&amp;")")))</f>
        <v/>
      </c>
      <c r="F989" s="11" t="str">
        <f t="shared" si="63"/>
        <v/>
      </c>
      <c r="G989" s="12" t="str">
        <f ca="1">IF($A989="","",IFERROR(SUMIF(INDIRECT("'"&amp;'Template Setup'!$C$4&amp;"'!C:C"),$A989,INDIRECT("'"&amp;'Template Setup'!$C$4&amp;"'!A:A")),0))</f>
        <v/>
      </c>
      <c r="H989" s="12" t="str">
        <f ca="1">IF($A989="","",IFERROR(SUMIF(INDIRECT("'"&amp;'Template Setup'!$C$5&amp;"'!C:C"),$A989,INDIRECT("'"&amp;'Template Setup'!$C$5&amp;"'!A:A")),0))</f>
        <v/>
      </c>
      <c r="I989" s="12" t="str">
        <f ca="1">IF($A989="","",IFERROR(SUMIF(INDIRECT("'"&amp;'Template Setup'!$C$6&amp;"'!C:C"),$A989,INDIRECT("'"&amp;'Template Setup'!$C$6&amp;"'!A:A")),0))</f>
        <v/>
      </c>
      <c r="J989" s="12" t="str">
        <f ca="1">IF($A989="","",IFERROR(SUMIF(INDIRECT("'"&amp;'Template Setup'!$C$7&amp;"'!C:C"),$A989,INDIRECT("'"&amp;'Template Setup'!$C$7&amp;"'!A:A")),0))</f>
        <v/>
      </c>
      <c r="K989" s="12" t="str">
        <f ca="1">IF($A989="","",IFERROR(SUMIF(INDIRECT("'"&amp;'Template Setup'!$C$8&amp;"'!C:C"),$A989,INDIRECT("'"&amp;'Template Setup'!$C$8&amp;"'!A:A")),0))</f>
        <v/>
      </c>
      <c r="L989" s="11" t="str">
        <f>IF($A989="","",IFERROR(VALUE(MID(TRIM('Template Setup'!$C$4),FIND("-",TRIM('Template Setup'!$C$4))+1,10)),0))</f>
        <v/>
      </c>
      <c r="M989" s="11" t="str">
        <f>IF($A989="","",IFERROR(VALUE(MID(TRIM('Template Setup'!$C$5),FIND("-",TRIM('Template Setup'!$C$5))+1,10)),0))</f>
        <v/>
      </c>
      <c r="N989" s="11" t="str">
        <f>IF($A989="","",IFERROR(VALUE(MID(TRIM('Template Setup'!$C$6),FIND("-",TRIM('Template Setup'!$C$6))+1,10)),0))</f>
        <v/>
      </c>
      <c r="O989" s="11" t="str">
        <f>IF($A989="","",IFERROR(VALUE(MID(TRIM('Template Setup'!$C$7),FIND("-",TRIM('Template Setup'!$C$7))+1,10)),0))</f>
        <v/>
      </c>
      <c r="P989" s="11" t="str">
        <f>IF($A989="","",IFERROR(VALUE(MID(TRIM('Template Setup'!$C$8),FIND("-",TRIM('Template Setup'!$C$8))+1,10)),0))</f>
        <v/>
      </c>
      <c r="Q989" s="9" t="str">
        <f>IF($A989="","",$A989&amp;"-"&amp;'Template Setup'!$C$16)</f>
        <v/>
      </c>
      <c r="R989" s="24" t="str">
        <f t="shared" si="61"/>
        <v/>
      </c>
      <c r="S989" s="24"/>
      <c r="T989" s="24" t="str">
        <f t="shared" si="62"/>
        <v/>
      </c>
      <c r="U989" s="6" t="str">
        <f t="shared" si="64"/>
        <v/>
      </c>
    </row>
    <row r="990" spans="1:21">
      <c r="A990" s="11"/>
      <c r="B990" s="11"/>
      <c r="C990" s="11"/>
      <c r="D990" s="11" t="str">
        <f>IF($A990="","",_xlfn.TEXTJOIN(", ",TRUE,IF($G990&gt;0,'Template Setup'!$C$4,""),IF($H990&gt;0,'Template Setup'!$C$5,""),IF($I990&gt;0,'Template Setup'!$C$6,""),IF($J990&gt;0,'Template Setup'!$C$7,""),IF($K990&gt;0,'Template Setup'!$C$8,"")))</f>
        <v/>
      </c>
      <c r="E990" s="6" t="str" cm="1">
        <f t="array" ref="E990">IF($A990="","",_xlfn.LET(_xlpm.sheets,CHOOSE({1,2,3,4,5},'Template Setup'!$C$4,'Template Setup'!$C$5,'Template Setup'!$C$6,'Template Setup'!$C$7,'Template Setup'!$C$8),_xlpm.nums,CHOOSE({1,2,3,4,5},$L990,$M990,$N990,$O990,$P990),_xlpm.qtys,CHOOSE({1,2,3,4,5},$G990,$H990,$I990,$J990,$K990),_xlpm.validNums,_xlfn._xlws.FILTER(_xlpm.nums,_xlpm.qtys&gt;0),_xlpm.validSheets,_xlfn._xlws.FILTER(_xlpm.sheets,_xlpm.qtys&gt;0),_xlpm.mx,IFERROR(MAX(_xlpm.validNums),0),IF(_xlpm.mx=0,"",INDEX(_xlpm.validSheets,MATCH(_xlpm.mx,_xlpm.validNums,0))&amp;" (+"&amp;$R990&amp;")")))</f>
        <v/>
      </c>
      <c r="F990" s="11" t="str">
        <f t="shared" si="63"/>
        <v/>
      </c>
      <c r="G990" s="12" t="str">
        <f ca="1">IF($A990="","",IFERROR(SUMIF(INDIRECT("'"&amp;'Template Setup'!$C$4&amp;"'!C:C"),$A990,INDIRECT("'"&amp;'Template Setup'!$C$4&amp;"'!A:A")),0))</f>
        <v/>
      </c>
      <c r="H990" s="12" t="str">
        <f ca="1">IF($A990="","",IFERROR(SUMIF(INDIRECT("'"&amp;'Template Setup'!$C$5&amp;"'!C:C"),$A990,INDIRECT("'"&amp;'Template Setup'!$C$5&amp;"'!A:A")),0))</f>
        <v/>
      </c>
      <c r="I990" s="12" t="str">
        <f ca="1">IF($A990="","",IFERROR(SUMIF(INDIRECT("'"&amp;'Template Setup'!$C$6&amp;"'!C:C"),$A990,INDIRECT("'"&amp;'Template Setup'!$C$6&amp;"'!A:A")),0))</f>
        <v/>
      </c>
      <c r="J990" s="12" t="str">
        <f ca="1">IF($A990="","",IFERROR(SUMIF(INDIRECT("'"&amp;'Template Setup'!$C$7&amp;"'!C:C"),$A990,INDIRECT("'"&amp;'Template Setup'!$C$7&amp;"'!A:A")),0))</f>
        <v/>
      </c>
      <c r="K990" s="12" t="str">
        <f ca="1">IF($A990="","",IFERROR(SUMIF(INDIRECT("'"&amp;'Template Setup'!$C$8&amp;"'!C:C"),$A990,INDIRECT("'"&amp;'Template Setup'!$C$8&amp;"'!A:A")),0))</f>
        <v/>
      </c>
      <c r="L990" s="11" t="str">
        <f>IF($A990="","",IFERROR(VALUE(MID(TRIM('Template Setup'!$C$4),FIND("-",TRIM('Template Setup'!$C$4))+1,10)),0))</f>
        <v/>
      </c>
      <c r="M990" s="11" t="str">
        <f>IF($A990="","",IFERROR(VALUE(MID(TRIM('Template Setup'!$C$5),FIND("-",TRIM('Template Setup'!$C$5))+1,10)),0))</f>
        <v/>
      </c>
      <c r="N990" s="11" t="str">
        <f>IF($A990="","",IFERROR(VALUE(MID(TRIM('Template Setup'!$C$6),FIND("-",TRIM('Template Setup'!$C$6))+1,10)),0))</f>
        <v/>
      </c>
      <c r="O990" s="11" t="str">
        <f>IF($A990="","",IFERROR(VALUE(MID(TRIM('Template Setup'!$C$7),FIND("-",TRIM('Template Setup'!$C$7))+1,10)),0))</f>
        <v/>
      </c>
      <c r="P990" s="11" t="str">
        <f>IF($A990="","",IFERROR(VALUE(MID(TRIM('Template Setup'!$C$8),FIND("-",TRIM('Template Setup'!$C$8))+1,10)),0))</f>
        <v/>
      </c>
      <c r="Q990" s="9" t="str">
        <f>IF($A990="","",$A990&amp;"-"&amp;'Template Setup'!$C$16)</f>
        <v/>
      </c>
      <c r="R990" s="24" t="str">
        <f t="shared" si="61"/>
        <v/>
      </c>
      <c r="S990" s="24"/>
      <c r="T990" s="24" t="str">
        <f t="shared" si="62"/>
        <v/>
      </c>
      <c r="U990" s="6" t="str">
        <f t="shared" si="64"/>
        <v/>
      </c>
    </row>
    <row r="991" spans="1:21">
      <c r="A991" s="11"/>
      <c r="B991" s="11"/>
      <c r="C991" s="11"/>
      <c r="D991" s="11" t="str">
        <f>IF($A991="","",_xlfn.TEXTJOIN(", ",TRUE,IF($G991&gt;0,'Template Setup'!$C$4,""),IF($H991&gt;0,'Template Setup'!$C$5,""),IF($I991&gt;0,'Template Setup'!$C$6,""),IF($J991&gt;0,'Template Setup'!$C$7,""),IF($K991&gt;0,'Template Setup'!$C$8,"")))</f>
        <v/>
      </c>
      <c r="E991" s="6" t="str" cm="1">
        <f t="array" ref="E991">IF($A991="","",_xlfn.LET(_xlpm.sheets,CHOOSE({1,2,3,4,5},'Template Setup'!$C$4,'Template Setup'!$C$5,'Template Setup'!$C$6,'Template Setup'!$C$7,'Template Setup'!$C$8),_xlpm.nums,CHOOSE({1,2,3,4,5},$L991,$M991,$N991,$O991,$P991),_xlpm.qtys,CHOOSE({1,2,3,4,5},$G991,$H991,$I991,$J991,$K991),_xlpm.validNums,_xlfn._xlws.FILTER(_xlpm.nums,_xlpm.qtys&gt;0),_xlpm.validSheets,_xlfn._xlws.FILTER(_xlpm.sheets,_xlpm.qtys&gt;0),_xlpm.mx,IFERROR(MAX(_xlpm.validNums),0),IF(_xlpm.mx=0,"",INDEX(_xlpm.validSheets,MATCH(_xlpm.mx,_xlpm.validNums,0))&amp;" (+"&amp;$R991&amp;")")))</f>
        <v/>
      </c>
      <c r="F991" s="11" t="str">
        <f t="shared" si="63"/>
        <v/>
      </c>
      <c r="G991" s="12" t="str">
        <f ca="1">IF($A991="","",IFERROR(SUMIF(INDIRECT("'"&amp;'Template Setup'!$C$4&amp;"'!C:C"),$A991,INDIRECT("'"&amp;'Template Setup'!$C$4&amp;"'!A:A")),0))</f>
        <v/>
      </c>
      <c r="H991" s="12" t="str">
        <f ca="1">IF($A991="","",IFERROR(SUMIF(INDIRECT("'"&amp;'Template Setup'!$C$5&amp;"'!C:C"),$A991,INDIRECT("'"&amp;'Template Setup'!$C$5&amp;"'!A:A")),0))</f>
        <v/>
      </c>
      <c r="I991" s="12" t="str">
        <f ca="1">IF($A991="","",IFERROR(SUMIF(INDIRECT("'"&amp;'Template Setup'!$C$6&amp;"'!C:C"),$A991,INDIRECT("'"&amp;'Template Setup'!$C$6&amp;"'!A:A")),0))</f>
        <v/>
      </c>
      <c r="J991" s="12" t="str">
        <f ca="1">IF($A991="","",IFERROR(SUMIF(INDIRECT("'"&amp;'Template Setup'!$C$7&amp;"'!C:C"),$A991,INDIRECT("'"&amp;'Template Setup'!$C$7&amp;"'!A:A")),0))</f>
        <v/>
      </c>
      <c r="K991" s="12" t="str">
        <f ca="1">IF($A991="","",IFERROR(SUMIF(INDIRECT("'"&amp;'Template Setup'!$C$8&amp;"'!C:C"),$A991,INDIRECT("'"&amp;'Template Setup'!$C$8&amp;"'!A:A")),0))</f>
        <v/>
      </c>
      <c r="L991" s="11" t="str">
        <f>IF($A991="","",IFERROR(VALUE(MID(TRIM('Template Setup'!$C$4),FIND("-",TRIM('Template Setup'!$C$4))+1,10)),0))</f>
        <v/>
      </c>
      <c r="M991" s="11" t="str">
        <f>IF($A991="","",IFERROR(VALUE(MID(TRIM('Template Setup'!$C$5),FIND("-",TRIM('Template Setup'!$C$5))+1,10)),0))</f>
        <v/>
      </c>
      <c r="N991" s="11" t="str">
        <f>IF($A991="","",IFERROR(VALUE(MID(TRIM('Template Setup'!$C$6),FIND("-",TRIM('Template Setup'!$C$6))+1,10)),0))</f>
        <v/>
      </c>
      <c r="O991" s="11" t="str">
        <f>IF($A991="","",IFERROR(VALUE(MID(TRIM('Template Setup'!$C$7),FIND("-",TRIM('Template Setup'!$C$7))+1,10)),0))</f>
        <v/>
      </c>
      <c r="P991" s="11" t="str">
        <f>IF($A991="","",IFERROR(VALUE(MID(TRIM('Template Setup'!$C$8),FIND("-",TRIM('Template Setup'!$C$8))+1,10)),0))</f>
        <v/>
      </c>
      <c r="Q991" s="9" t="str">
        <f>IF($A991="","",$A991&amp;"-"&amp;'Template Setup'!$C$16)</f>
        <v/>
      </c>
      <c r="R991" s="24" t="str">
        <f t="shared" si="61"/>
        <v/>
      </c>
      <c r="S991" s="24"/>
      <c r="T991" s="24" t="str">
        <f t="shared" si="62"/>
        <v/>
      </c>
      <c r="U991" s="6" t="str">
        <f t="shared" si="64"/>
        <v/>
      </c>
    </row>
    <row r="992" spans="1:21">
      <c r="A992" s="11"/>
      <c r="B992" s="11"/>
      <c r="C992" s="11"/>
      <c r="D992" s="11" t="str">
        <f>IF($A992="","",_xlfn.TEXTJOIN(", ",TRUE,IF($G992&gt;0,'Template Setup'!$C$4,""),IF($H992&gt;0,'Template Setup'!$C$5,""),IF($I992&gt;0,'Template Setup'!$C$6,""),IF($J992&gt;0,'Template Setup'!$C$7,""),IF($K992&gt;0,'Template Setup'!$C$8,"")))</f>
        <v/>
      </c>
      <c r="E992" s="6" t="str" cm="1">
        <f t="array" ref="E992">IF($A992="","",_xlfn.LET(_xlpm.sheets,CHOOSE({1,2,3,4,5},'Template Setup'!$C$4,'Template Setup'!$C$5,'Template Setup'!$C$6,'Template Setup'!$C$7,'Template Setup'!$C$8),_xlpm.nums,CHOOSE({1,2,3,4,5},$L992,$M992,$N992,$O992,$P992),_xlpm.qtys,CHOOSE({1,2,3,4,5},$G992,$H992,$I992,$J992,$K992),_xlpm.validNums,_xlfn._xlws.FILTER(_xlpm.nums,_xlpm.qtys&gt;0),_xlpm.validSheets,_xlfn._xlws.FILTER(_xlpm.sheets,_xlpm.qtys&gt;0),_xlpm.mx,IFERROR(MAX(_xlpm.validNums),0),IF(_xlpm.mx=0,"",INDEX(_xlpm.validSheets,MATCH(_xlpm.mx,_xlpm.validNums,0))&amp;" (+"&amp;$R992&amp;")")))</f>
        <v/>
      </c>
      <c r="F992" s="11" t="str">
        <f t="shared" si="63"/>
        <v/>
      </c>
      <c r="G992" s="12" t="str">
        <f ca="1">IF($A992="","",IFERROR(SUMIF(INDIRECT("'"&amp;'Template Setup'!$C$4&amp;"'!C:C"),$A992,INDIRECT("'"&amp;'Template Setup'!$C$4&amp;"'!A:A")),0))</f>
        <v/>
      </c>
      <c r="H992" s="12" t="str">
        <f ca="1">IF($A992="","",IFERROR(SUMIF(INDIRECT("'"&amp;'Template Setup'!$C$5&amp;"'!C:C"),$A992,INDIRECT("'"&amp;'Template Setup'!$C$5&amp;"'!A:A")),0))</f>
        <v/>
      </c>
      <c r="I992" s="12" t="str">
        <f ca="1">IF($A992="","",IFERROR(SUMIF(INDIRECT("'"&amp;'Template Setup'!$C$6&amp;"'!C:C"),$A992,INDIRECT("'"&amp;'Template Setup'!$C$6&amp;"'!A:A")),0))</f>
        <v/>
      </c>
      <c r="J992" s="12" t="str">
        <f ca="1">IF($A992="","",IFERROR(SUMIF(INDIRECT("'"&amp;'Template Setup'!$C$7&amp;"'!C:C"),$A992,INDIRECT("'"&amp;'Template Setup'!$C$7&amp;"'!A:A")),0))</f>
        <v/>
      </c>
      <c r="K992" s="12" t="str">
        <f ca="1">IF($A992="","",IFERROR(SUMIF(INDIRECT("'"&amp;'Template Setup'!$C$8&amp;"'!C:C"),$A992,INDIRECT("'"&amp;'Template Setup'!$C$8&amp;"'!A:A")),0))</f>
        <v/>
      </c>
      <c r="L992" s="11" t="str">
        <f>IF($A992="","",IFERROR(VALUE(MID(TRIM('Template Setup'!$C$4),FIND("-",TRIM('Template Setup'!$C$4))+1,10)),0))</f>
        <v/>
      </c>
      <c r="M992" s="11" t="str">
        <f>IF($A992="","",IFERROR(VALUE(MID(TRIM('Template Setup'!$C$5),FIND("-",TRIM('Template Setup'!$C$5))+1,10)),0))</f>
        <v/>
      </c>
      <c r="N992" s="11" t="str">
        <f>IF($A992="","",IFERROR(VALUE(MID(TRIM('Template Setup'!$C$6),FIND("-",TRIM('Template Setup'!$C$6))+1,10)),0))</f>
        <v/>
      </c>
      <c r="O992" s="11" t="str">
        <f>IF($A992="","",IFERROR(VALUE(MID(TRIM('Template Setup'!$C$7),FIND("-",TRIM('Template Setup'!$C$7))+1,10)),0))</f>
        <v/>
      </c>
      <c r="P992" s="11" t="str">
        <f>IF($A992="","",IFERROR(VALUE(MID(TRIM('Template Setup'!$C$8),FIND("-",TRIM('Template Setup'!$C$8))+1,10)),0))</f>
        <v/>
      </c>
      <c r="Q992" s="9" t="str">
        <f>IF($A992="","",$A992&amp;"-"&amp;'Template Setup'!$C$16)</f>
        <v/>
      </c>
      <c r="R992" s="24" t="str">
        <f t="shared" si="61"/>
        <v/>
      </c>
      <c r="S992" s="24"/>
      <c r="T992" s="24" t="str">
        <f t="shared" si="62"/>
        <v/>
      </c>
      <c r="U992" s="6" t="str">
        <f t="shared" si="64"/>
        <v/>
      </c>
    </row>
    <row r="993" spans="1:21">
      <c r="A993" s="11"/>
      <c r="B993" s="11"/>
      <c r="C993" s="11"/>
      <c r="D993" s="11" t="str">
        <f>IF($A993="","",_xlfn.TEXTJOIN(", ",TRUE,IF($G993&gt;0,'Template Setup'!$C$4,""),IF($H993&gt;0,'Template Setup'!$C$5,""),IF($I993&gt;0,'Template Setup'!$C$6,""),IF($J993&gt;0,'Template Setup'!$C$7,""),IF($K993&gt;0,'Template Setup'!$C$8,"")))</f>
        <v/>
      </c>
      <c r="E993" s="6" t="str" cm="1">
        <f t="array" ref="E993">IF($A993="","",_xlfn.LET(_xlpm.sheets,CHOOSE({1,2,3,4,5},'Template Setup'!$C$4,'Template Setup'!$C$5,'Template Setup'!$C$6,'Template Setup'!$C$7,'Template Setup'!$C$8),_xlpm.nums,CHOOSE({1,2,3,4,5},$L993,$M993,$N993,$O993,$P993),_xlpm.qtys,CHOOSE({1,2,3,4,5},$G993,$H993,$I993,$J993,$K993),_xlpm.validNums,_xlfn._xlws.FILTER(_xlpm.nums,_xlpm.qtys&gt;0),_xlpm.validSheets,_xlfn._xlws.FILTER(_xlpm.sheets,_xlpm.qtys&gt;0),_xlpm.mx,IFERROR(MAX(_xlpm.validNums),0),IF(_xlpm.mx=0,"",INDEX(_xlpm.validSheets,MATCH(_xlpm.mx,_xlpm.validNums,0))&amp;" (+"&amp;$R993&amp;")")))</f>
        <v/>
      </c>
      <c r="F993" s="11" t="str">
        <f t="shared" si="63"/>
        <v/>
      </c>
      <c r="G993" s="12" t="str">
        <f ca="1">IF($A993="","",IFERROR(SUMIF(INDIRECT("'"&amp;'Template Setup'!$C$4&amp;"'!C:C"),$A993,INDIRECT("'"&amp;'Template Setup'!$C$4&amp;"'!A:A")),0))</f>
        <v/>
      </c>
      <c r="H993" s="12" t="str">
        <f ca="1">IF($A993="","",IFERROR(SUMIF(INDIRECT("'"&amp;'Template Setup'!$C$5&amp;"'!C:C"),$A993,INDIRECT("'"&amp;'Template Setup'!$C$5&amp;"'!A:A")),0))</f>
        <v/>
      </c>
      <c r="I993" s="12" t="str">
        <f ca="1">IF($A993="","",IFERROR(SUMIF(INDIRECT("'"&amp;'Template Setup'!$C$6&amp;"'!C:C"),$A993,INDIRECT("'"&amp;'Template Setup'!$C$6&amp;"'!A:A")),0))</f>
        <v/>
      </c>
      <c r="J993" s="12" t="str">
        <f ca="1">IF($A993="","",IFERROR(SUMIF(INDIRECT("'"&amp;'Template Setup'!$C$7&amp;"'!C:C"),$A993,INDIRECT("'"&amp;'Template Setup'!$C$7&amp;"'!A:A")),0))</f>
        <v/>
      </c>
      <c r="K993" s="12" t="str">
        <f ca="1">IF($A993="","",IFERROR(SUMIF(INDIRECT("'"&amp;'Template Setup'!$C$8&amp;"'!C:C"),$A993,INDIRECT("'"&amp;'Template Setup'!$C$8&amp;"'!A:A")),0))</f>
        <v/>
      </c>
      <c r="L993" s="11" t="str">
        <f>IF($A993="","",IFERROR(VALUE(MID(TRIM('Template Setup'!$C$4),FIND("-",TRIM('Template Setup'!$C$4))+1,10)),0))</f>
        <v/>
      </c>
      <c r="M993" s="11" t="str">
        <f>IF($A993="","",IFERROR(VALUE(MID(TRIM('Template Setup'!$C$5),FIND("-",TRIM('Template Setup'!$C$5))+1,10)),0))</f>
        <v/>
      </c>
      <c r="N993" s="11" t="str">
        <f>IF($A993="","",IFERROR(VALUE(MID(TRIM('Template Setup'!$C$6),FIND("-",TRIM('Template Setup'!$C$6))+1,10)),0))</f>
        <v/>
      </c>
      <c r="O993" s="11" t="str">
        <f>IF($A993="","",IFERROR(VALUE(MID(TRIM('Template Setup'!$C$7),FIND("-",TRIM('Template Setup'!$C$7))+1,10)),0))</f>
        <v/>
      </c>
      <c r="P993" s="11" t="str">
        <f>IF($A993="","",IFERROR(VALUE(MID(TRIM('Template Setup'!$C$8),FIND("-",TRIM('Template Setup'!$C$8))+1,10)),0))</f>
        <v/>
      </c>
      <c r="Q993" s="9" t="str">
        <f>IF($A993="","",$A993&amp;"-"&amp;'Template Setup'!$C$16)</f>
        <v/>
      </c>
      <c r="R993" s="24" t="str">
        <f t="shared" si="61"/>
        <v/>
      </c>
      <c r="S993" s="24"/>
      <c r="T993" s="24" t="str">
        <f t="shared" si="62"/>
        <v/>
      </c>
      <c r="U993" s="6" t="str">
        <f t="shared" si="64"/>
        <v/>
      </c>
    </row>
    <row r="994" spans="1:21">
      <c r="A994" s="11"/>
      <c r="B994" s="11"/>
      <c r="C994" s="11"/>
      <c r="D994" s="11" t="str">
        <f>IF($A994="","",_xlfn.TEXTJOIN(", ",TRUE,IF($G994&gt;0,'Template Setup'!$C$4,""),IF($H994&gt;0,'Template Setup'!$C$5,""),IF($I994&gt;0,'Template Setup'!$C$6,""),IF($J994&gt;0,'Template Setup'!$C$7,""),IF($K994&gt;0,'Template Setup'!$C$8,"")))</f>
        <v/>
      </c>
      <c r="E994" s="6" t="str" cm="1">
        <f t="array" ref="E994">IF($A994="","",_xlfn.LET(_xlpm.sheets,CHOOSE({1,2,3,4,5},'Template Setup'!$C$4,'Template Setup'!$C$5,'Template Setup'!$C$6,'Template Setup'!$C$7,'Template Setup'!$C$8),_xlpm.nums,CHOOSE({1,2,3,4,5},$L994,$M994,$N994,$O994,$P994),_xlpm.qtys,CHOOSE({1,2,3,4,5},$G994,$H994,$I994,$J994,$K994),_xlpm.validNums,_xlfn._xlws.FILTER(_xlpm.nums,_xlpm.qtys&gt;0),_xlpm.validSheets,_xlfn._xlws.FILTER(_xlpm.sheets,_xlpm.qtys&gt;0),_xlpm.mx,IFERROR(MAX(_xlpm.validNums),0),IF(_xlpm.mx=0,"",INDEX(_xlpm.validSheets,MATCH(_xlpm.mx,_xlpm.validNums,0))&amp;" (+"&amp;$R994&amp;")")))</f>
        <v/>
      </c>
      <c r="F994" s="11" t="str">
        <f t="shared" si="63"/>
        <v/>
      </c>
      <c r="G994" s="12" t="str">
        <f ca="1">IF($A994="","",IFERROR(SUMIF(INDIRECT("'"&amp;'Template Setup'!$C$4&amp;"'!C:C"),$A994,INDIRECT("'"&amp;'Template Setup'!$C$4&amp;"'!A:A")),0))</f>
        <v/>
      </c>
      <c r="H994" s="12" t="str">
        <f ca="1">IF($A994="","",IFERROR(SUMIF(INDIRECT("'"&amp;'Template Setup'!$C$5&amp;"'!C:C"),$A994,INDIRECT("'"&amp;'Template Setup'!$C$5&amp;"'!A:A")),0))</f>
        <v/>
      </c>
      <c r="I994" s="12" t="str">
        <f ca="1">IF($A994="","",IFERROR(SUMIF(INDIRECT("'"&amp;'Template Setup'!$C$6&amp;"'!C:C"),$A994,INDIRECT("'"&amp;'Template Setup'!$C$6&amp;"'!A:A")),0))</f>
        <v/>
      </c>
      <c r="J994" s="12" t="str">
        <f ca="1">IF($A994="","",IFERROR(SUMIF(INDIRECT("'"&amp;'Template Setup'!$C$7&amp;"'!C:C"),$A994,INDIRECT("'"&amp;'Template Setup'!$C$7&amp;"'!A:A")),0))</f>
        <v/>
      </c>
      <c r="K994" s="12" t="str">
        <f ca="1">IF($A994="","",IFERROR(SUMIF(INDIRECT("'"&amp;'Template Setup'!$C$8&amp;"'!C:C"),$A994,INDIRECT("'"&amp;'Template Setup'!$C$8&amp;"'!A:A")),0))</f>
        <v/>
      </c>
      <c r="L994" s="11" t="str">
        <f>IF($A994="","",IFERROR(VALUE(MID(TRIM('Template Setup'!$C$4),FIND("-",TRIM('Template Setup'!$C$4))+1,10)),0))</f>
        <v/>
      </c>
      <c r="M994" s="11" t="str">
        <f>IF($A994="","",IFERROR(VALUE(MID(TRIM('Template Setup'!$C$5),FIND("-",TRIM('Template Setup'!$C$5))+1,10)),0))</f>
        <v/>
      </c>
      <c r="N994" s="11" t="str">
        <f>IF($A994="","",IFERROR(VALUE(MID(TRIM('Template Setup'!$C$6),FIND("-",TRIM('Template Setup'!$C$6))+1,10)),0))</f>
        <v/>
      </c>
      <c r="O994" s="11" t="str">
        <f>IF($A994="","",IFERROR(VALUE(MID(TRIM('Template Setup'!$C$7),FIND("-",TRIM('Template Setup'!$C$7))+1,10)),0))</f>
        <v/>
      </c>
      <c r="P994" s="11" t="str">
        <f>IF($A994="","",IFERROR(VALUE(MID(TRIM('Template Setup'!$C$8),FIND("-",TRIM('Template Setup'!$C$8))+1,10)),0))</f>
        <v/>
      </c>
      <c r="Q994" s="9" t="str">
        <f>IF($A994="","",$A994&amp;"-"&amp;'Template Setup'!$C$16)</f>
        <v/>
      </c>
      <c r="R994" s="24" t="str">
        <f t="shared" si="61"/>
        <v/>
      </c>
      <c r="S994" s="24"/>
      <c r="T994" s="24" t="str">
        <f t="shared" si="62"/>
        <v/>
      </c>
      <c r="U994" s="6" t="str">
        <f t="shared" si="64"/>
        <v/>
      </c>
    </row>
    <row r="995" spans="1:21">
      <c r="A995" s="11"/>
      <c r="B995" s="11"/>
      <c r="C995" s="11"/>
      <c r="D995" s="11" t="str">
        <f>IF($A995="","",_xlfn.TEXTJOIN(", ",TRUE,IF($G995&gt;0,'Template Setup'!$C$4,""),IF($H995&gt;0,'Template Setup'!$C$5,""),IF($I995&gt;0,'Template Setup'!$C$6,""),IF($J995&gt;0,'Template Setup'!$C$7,""),IF($K995&gt;0,'Template Setup'!$C$8,"")))</f>
        <v/>
      </c>
      <c r="E995" s="6" t="str" cm="1">
        <f t="array" ref="E995">IF($A995="","",_xlfn.LET(_xlpm.sheets,CHOOSE({1,2,3,4,5},'Template Setup'!$C$4,'Template Setup'!$C$5,'Template Setup'!$C$6,'Template Setup'!$C$7,'Template Setup'!$C$8),_xlpm.nums,CHOOSE({1,2,3,4,5},$L995,$M995,$N995,$O995,$P995),_xlpm.qtys,CHOOSE({1,2,3,4,5},$G995,$H995,$I995,$J995,$K995),_xlpm.validNums,_xlfn._xlws.FILTER(_xlpm.nums,_xlpm.qtys&gt;0),_xlpm.validSheets,_xlfn._xlws.FILTER(_xlpm.sheets,_xlpm.qtys&gt;0),_xlpm.mx,IFERROR(MAX(_xlpm.validNums),0),IF(_xlpm.mx=0,"",INDEX(_xlpm.validSheets,MATCH(_xlpm.mx,_xlpm.validNums,0))&amp;" (+"&amp;$R995&amp;")")))</f>
        <v/>
      </c>
      <c r="F995" s="11" t="str">
        <f t="shared" si="63"/>
        <v/>
      </c>
      <c r="G995" s="12" t="str">
        <f ca="1">IF($A995="","",IFERROR(SUMIF(INDIRECT("'"&amp;'Template Setup'!$C$4&amp;"'!C:C"),$A995,INDIRECT("'"&amp;'Template Setup'!$C$4&amp;"'!A:A")),0))</f>
        <v/>
      </c>
      <c r="H995" s="12" t="str">
        <f ca="1">IF($A995="","",IFERROR(SUMIF(INDIRECT("'"&amp;'Template Setup'!$C$5&amp;"'!C:C"),$A995,INDIRECT("'"&amp;'Template Setup'!$C$5&amp;"'!A:A")),0))</f>
        <v/>
      </c>
      <c r="I995" s="12" t="str">
        <f ca="1">IF($A995="","",IFERROR(SUMIF(INDIRECT("'"&amp;'Template Setup'!$C$6&amp;"'!C:C"),$A995,INDIRECT("'"&amp;'Template Setup'!$C$6&amp;"'!A:A")),0))</f>
        <v/>
      </c>
      <c r="J995" s="12" t="str">
        <f ca="1">IF($A995="","",IFERROR(SUMIF(INDIRECT("'"&amp;'Template Setup'!$C$7&amp;"'!C:C"),$A995,INDIRECT("'"&amp;'Template Setup'!$C$7&amp;"'!A:A")),0))</f>
        <v/>
      </c>
      <c r="K995" s="12" t="str">
        <f ca="1">IF($A995="","",IFERROR(SUMIF(INDIRECT("'"&amp;'Template Setup'!$C$8&amp;"'!C:C"),$A995,INDIRECT("'"&amp;'Template Setup'!$C$8&amp;"'!A:A")),0))</f>
        <v/>
      </c>
      <c r="L995" s="11" t="str">
        <f>IF($A995="","",IFERROR(VALUE(MID(TRIM('Template Setup'!$C$4),FIND("-",TRIM('Template Setup'!$C$4))+1,10)),0))</f>
        <v/>
      </c>
      <c r="M995" s="11" t="str">
        <f>IF($A995="","",IFERROR(VALUE(MID(TRIM('Template Setup'!$C$5),FIND("-",TRIM('Template Setup'!$C$5))+1,10)),0))</f>
        <v/>
      </c>
      <c r="N995" s="11" t="str">
        <f>IF($A995="","",IFERROR(VALUE(MID(TRIM('Template Setup'!$C$6),FIND("-",TRIM('Template Setup'!$C$6))+1,10)),0))</f>
        <v/>
      </c>
      <c r="O995" s="11" t="str">
        <f>IF($A995="","",IFERROR(VALUE(MID(TRIM('Template Setup'!$C$7),FIND("-",TRIM('Template Setup'!$C$7))+1,10)),0))</f>
        <v/>
      </c>
      <c r="P995" s="11" t="str">
        <f>IF($A995="","",IFERROR(VALUE(MID(TRIM('Template Setup'!$C$8),FIND("-",TRIM('Template Setup'!$C$8))+1,10)),0))</f>
        <v/>
      </c>
      <c r="Q995" s="9" t="str">
        <f>IF($A995="","",$A995&amp;"-"&amp;'Template Setup'!$C$16)</f>
        <v/>
      </c>
      <c r="R995" s="24" t="str">
        <f t="shared" si="61"/>
        <v/>
      </c>
      <c r="S995" s="24"/>
      <c r="T995" s="24" t="str">
        <f t="shared" si="62"/>
        <v/>
      </c>
      <c r="U995" s="6" t="str">
        <f t="shared" si="64"/>
        <v/>
      </c>
    </row>
    <row r="996" spans="1:21">
      <c r="A996" s="11"/>
      <c r="B996" s="11"/>
      <c r="C996" s="11"/>
      <c r="D996" s="11" t="str">
        <f>IF($A996="","",_xlfn.TEXTJOIN(", ",TRUE,IF($G996&gt;0,'Template Setup'!$C$4,""),IF($H996&gt;0,'Template Setup'!$C$5,""),IF($I996&gt;0,'Template Setup'!$C$6,""),IF($J996&gt;0,'Template Setup'!$C$7,""),IF($K996&gt;0,'Template Setup'!$C$8,"")))</f>
        <v/>
      </c>
      <c r="E996" s="6" t="str" cm="1">
        <f t="array" ref="E996">IF($A996="","",_xlfn.LET(_xlpm.sheets,CHOOSE({1,2,3,4,5},'Template Setup'!$C$4,'Template Setup'!$C$5,'Template Setup'!$C$6,'Template Setup'!$C$7,'Template Setup'!$C$8),_xlpm.nums,CHOOSE({1,2,3,4,5},$L996,$M996,$N996,$O996,$P996),_xlpm.qtys,CHOOSE({1,2,3,4,5},$G996,$H996,$I996,$J996,$K996),_xlpm.validNums,_xlfn._xlws.FILTER(_xlpm.nums,_xlpm.qtys&gt;0),_xlpm.validSheets,_xlfn._xlws.FILTER(_xlpm.sheets,_xlpm.qtys&gt;0),_xlpm.mx,IFERROR(MAX(_xlpm.validNums),0),IF(_xlpm.mx=0,"",INDEX(_xlpm.validSheets,MATCH(_xlpm.mx,_xlpm.validNums,0))&amp;" (+"&amp;$R996&amp;")")))</f>
        <v/>
      </c>
      <c r="F996" s="11" t="str">
        <f t="shared" si="63"/>
        <v/>
      </c>
      <c r="G996" s="12" t="str">
        <f ca="1">IF($A996="","",IFERROR(SUMIF(INDIRECT("'"&amp;'Template Setup'!$C$4&amp;"'!C:C"),$A996,INDIRECT("'"&amp;'Template Setup'!$C$4&amp;"'!A:A")),0))</f>
        <v/>
      </c>
      <c r="H996" s="12" t="str">
        <f ca="1">IF($A996="","",IFERROR(SUMIF(INDIRECT("'"&amp;'Template Setup'!$C$5&amp;"'!C:C"),$A996,INDIRECT("'"&amp;'Template Setup'!$C$5&amp;"'!A:A")),0))</f>
        <v/>
      </c>
      <c r="I996" s="12" t="str">
        <f ca="1">IF($A996="","",IFERROR(SUMIF(INDIRECT("'"&amp;'Template Setup'!$C$6&amp;"'!C:C"),$A996,INDIRECT("'"&amp;'Template Setup'!$C$6&amp;"'!A:A")),0))</f>
        <v/>
      </c>
      <c r="J996" s="12" t="str">
        <f ca="1">IF($A996="","",IFERROR(SUMIF(INDIRECT("'"&amp;'Template Setup'!$C$7&amp;"'!C:C"),$A996,INDIRECT("'"&amp;'Template Setup'!$C$7&amp;"'!A:A")),0))</f>
        <v/>
      </c>
      <c r="K996" s="12" t="str">
        <f ca="1">IF($A996="","",IFERROR(SUMIF(INDIRECT("'"&amp;'Template Setup'!$C$8&amp;"'!C:C"),$A996,INDIRECT("'"&amp;'Template Setup'!$C$8&amp;"'!A:A")),0))</f>
        <v/>
      </c>
      <c r="L996" s="11" t="str">
        <f>IF($A996="","",IFERROR(VALUE(MID(TRIM('Template Setup'!$C$4),FIND("-",TRIM('Template Setup'!$C$4))+1,10)),0))</f>
        <v/>
      </c>
      <c r="M996" s="11" t="str">
        <f>IF($A996="","",IFERROR(VALUE(MID(TRIM('Template Setup'!$C$5),FIND("-",TRIM('Template Setup'!$C$5))+1,10)),0))</f>
        <v/>
      </c>
      <c r="N996" s="11" t="str">
        <f>IF($A996="","",IFERROR(VALUE(MID(TRIM('Template Setup'!$C$6),FIND("-",TRIM('Template Setup'!$C$6))+1,10)),0))</f>
        <v/>
      </c>
      <c r="O996" s="11" t="str">
        <f>IF($A996="","",IFERROR(VALUE(MID(TRIM('Template Setup'!$C$7),FIND("-",TRIM('Template Setup'!$C$7))+1,10)),0))</f>
        <v/>
      </c>
      <c r="P996" s="11" t="str">
        <f>IF($A996="","",IFERROR(VALUE(MID(TRIM('Template Setup'!$C$8),FIND("-",TRIM('Template Setup'!$C$8))+1,10)),0))</f>
        <v/>
      </c>
      <c r="Q996" s="9" t="str">
        <f>IF($A996="","",$A996&amp;"-"&amp;'Template Setup'!$C$16)</f>
        <v/>
      </c>
      <c r="R996" s="24" t="str">
        <f t="shared" si="61"/>
        <v/>
      </c>
      <c r="S996" s="24"/>
      <c r="T996" s="24" t="str">
        <f t="shared" si="62"/>
        <v/>
      </c>
      <c r="U996" s="6" t="str">
        <f t="shared" si="64"/>
        <v/>
      </c>
    </row>
    <row r="997" spans="1:21">
      <c r="A997" s="11"/>
      <c r="B997" s="11"/>
      <c r="C997" s="11"/>
      <c r="D997" s="11" t="str">
        <f>IF($A997="","",_xlfn.TEXTJOIN(", ",TRUE,IF($G997&gt;0,'Template Setup'!$C$4,""),IF($H997&gt;0,'Template Setup'!$C$5,""),IF($I997&gt;0,'Template Setup'!$C$6,""),IF($J997&gt;0,'Template Setup'!$C$7,""),IF($K997&gt;0,'Template Setup'!$C$8,"")))</f>
        <v/>
      </c>
      <c r="E997" s="6" t="str" cm="1">
        <f t="array" ref="E997">IF($A997="","",_xlfn.LET(_xlpm.sheets,CHOOSE({1,2,3,4,5},'Template Setup'!$C$4,'Template Setup'!$C$5,'Template Setup'!$C$6,'Template Setup'!$C$7,'Template Setup'!$C$8),_xlpm.nums,CHOOSE({1,2,3,4,5},$L997,$M997,$N997,$O997,$P997),_xlpm.qtys,CHOOSE({1,2,3,4,5},$G997,$H997,$I997,$J997,$K997),_xlpm.validNums,_xlfn._xlws.FILTER(_xlpm.nums,_xlpm.qtys&gt;0),_xlpm.validSheets,_xlfn._xlws.FILTER(_xlpm.sheets,_xlpm.qtys&gt;0),_xlpm.mx,IFERROR(MAX(_xlpm.validNums),0),IF(_xlpm.mx=0,"",INDEX(_xlpm.validSheets,MATCH(_xlpm.mx,_xlpm.validNums,0))&amp;" (+"&amp;$R997&amp;")")))</f>
        <v/>
      </c>
      <c r="F997" s="11" t="str">
        <f t="shared" si="63"/>
        <v/>
      </c>
      <c r="G997" s="12" t="str">
        <f ca="1">IF($A997="","",IFERROR(SUMIF(INDIRECT("'"&amp;'Template Setup'!$C$4&amp;"'!C:C"),$A997,INDIRECT("'"&amp;'Template Setup'!$C$4&amp;"'!A:A")),0))</f>
        <v/>
      </c>
      <c r="H997" s="12" t="str">
        <f ca="1">IF($A997="","",IFERROR(SUMIF(INDIRECT("'"&amp;'Template Setup'!$C$5&amp;"'!C:C"),$A997,INDIRECT("'"&amp;'Template Setup'!$C$5&amp;"'!A:A")),0))</f>
        <v/>
      </c>
      <c r="I997" s="12" t="str">
        <f ca="1">IF($A997="","",IFERROR(SUMIF(INDIRECT("'"&amp;'Template Setup'!$C$6&amp;"'!C:C"),$A997,INDIRECT("'"&amp;'Template Setup'!$C$6&amp;"'!A:A")),0))</f>
        <v/>
      </c>
      <c r="J997" s="12" t="str">
        <f ca="1">IF($A997="","",IFERROR(SUMIF(INDIRECT("'"&amp;'Template Setup'!$C$7&amp;"'!C:C"),$A997,INDIRECT("'"&amp;'Template Setup'!$C$7&amp;"'!A:A")),0))</f>
        <v/>
      </c>
      <c r="K997" s="12" t="str">
        <f ca="1">IF($A997="","",IFERROR(SUMIF(INDIRECT("'"&amp;'Template Setup'!$C$8&amp;"'!C:C"),$A997,INDIRECT("'"&amp;'Template Setup'!$C$8&amp;"'!A:A")),0))</f>
        <v/>
      </c>
      <c r="L997" s="11" t="str">
        <f>IF($A997="","",IFERROR(VALUE(MID(TRIM('Template Setup'!$C$4),FIND("-",TRIM('Template Setup'!$C$4))+1,10)),0))</f>
        <v/>
      </c>
      <c r="M997" s="11" t="str">
        <f>IF($A997="","",IFERROR(VALUE(MID(TRIM('Template Setup'!$C$5),FIND("-",TRIM('Template Setup'!$C$5))+1,10)),0))</f>
        <v/>
      </c>
      <c r="N997" s="11" t="str">
        <f>IF($A997="","",IFERROR(VALUE(MID(TRIM('Template Setup'!$C$6),FIND("-",TRIM('Template Setup'!$C$6))+1,10)),0))</f>
        <v/>
      </c>
      <c r="O997" s="11" t="str">
        <f>IF($A997="","",IFERROR(VALUE(MID(TRIM('Template Setup'!$C$7),FIND("-",TRIM('Template Setup'!$C$7))+1,10)),0))</f>
        <v/>
      </c>
      <c r="P997" s="11" t="str">
        <f>IF($A997="","",IFERROR(VALUE(MID(TRIM('Template Setup'!$C$8),FIND("-",TRIM('Template Setup'!$C$8))+1,10)),0))</f>
        <v/>
      </c>
      <c r="Q997" s="9" t="str">
        <f>IF($A997="","",$A997&amp;"-"&amp;'Template Setup'!$C$16)</f>
        <v/>
      </c>
      <c r="R997" s="24" t="str">
        <f t="shared" si="61"/>
        <v/>
      </c>
      <c r="S997" s="24"/>
      <c r="T997" s="24" t="str">
        <f t="shared" si="62"/>
        <v/>
      </c>
      <c r="U997" s="6" t="str">
        <f t="shared" si="64"/>
        <v/>
      </c>
    </row>
    <row r="998" spans="1:21">
      <c r="A998" s="11"/>
      <c r="B998" s="11"/>
      <c r="C998" s="11"/>
      <c r="D998" s="11" t="str">
        <f>IF($A998="","",_xlfn.TEXTJOIN(", ",TRUE,IF($G998&gt;0,'Template Setup'!$C$4,""),IF($H998&gt;0,'Template Setup'!$C$5,""),IF($I998&gt;0,'Template Setup'!$C$6,""),IF($J998&gt;0,'Template Setup'!$C$7,""),IF($K998&gt;0,'Template Setup'!$C$8,"")))</f>
        <v/>
      </c>
      <c r="E998" s="6" t="str" cm="1">
        <f t="array" ref="E998">IF($A998="","",_xlfn.LET(_xlpm.sheets,CHOOSE({1,2,3,4,5},'Template Setup'!$C$4,'Template Setup'!$C$5,'Template Setup'!$C$6,'Template Setup'!$C$7,'Template Setup'!$C$8),_xlpm.nums,CHOOSE({1,2,3,4,5},$L998,$M998,$N998,$O998,$P998),_xlpm.qtys,CHOOSE({1,2,3,4,5},$G998,$H998,$I998,$J998,$K998),_xlpm.validNums,_xlfn._xlws.FILTER(_xlpm.nums,_xlpm.qtys&gt;0),_xlpm.validSheets,_xlfn._xlws.FILTER(_xlpm.sheets,_xlpm.qtys&gt;0),_xlpm.mx,IFERROR(MAX(_xlpm.validNums),0),IF(_xlpm.mx=0,"",INDEX(_xlpm.validSheets,MATCH(_xlpm.mx,_xlpm.validNums,0))&amp;" (+"&amp;$R998&amp;")")))</f>
        <v/>
      </c>
      <c r="F998" s="11" t="str">
        <f t="shared" si="63"/>
        <v/>
      </c>
      <c r="G998" s="12" t="str">
        <f ca="1">IF($A998="","",IFERROR(SUMIF(INDIRECT("'"&amp;'Template Setup'!$C$4&amp;"'!C:C"),$A998,INDIRECT("'"&amp;'Template Setup'!$C$4&amp;"'!A:A")),0))</f>
        <v/>
      </c>
      <c r="H998" s="12" t="str">
        <f ca="1">IF($A998="","",IFERROR(SUMIF(INDIRECT("'"&amp;'Template Setup'!$C$5&amp;"'!C:C"),$A998,INDIRECT("'"&amp;'Template Setup'!$C$5&amp;"'!A:A")),0))</f>
        <v/>
      </c>
      <c r="I998" s="12" t="str">
        <f ca="1">IF($A998="","",IFERROR(SUMIF(INDIRECT("'"&amp;'Template Setup'!$C$6&amp;"'!C:C"),$A998,INDIRECT("'"&amp;'Template Setup'!$C$6&amp;"'!A:A")),0))</f>
        <v/>
      </c>
      <c r="J998" s="12" t="str">
        <f ca="1">IF($A998="","",IFERROR(SUMIF(INDIRECT("'"&amp;'Template Setup'!$C$7&amp;"'!C:C"),$A998,INDIRECT("'"&amp;'Template Setup'!$C$7&amp;"'!A:A")),0))</f>
        <v/>
      </c>
      <c r="K998" s="12" t="str">
        <f ca="1">IF($A998="","",IFERROR(SUMIF(INDIRECT("'"&amp;'Template Setup'!$C$8&amp;"'!C:C"),$A998,INDIRECT("'"&amp;'Template Setup'!$C$8&amp;"'!A:A")),0))</f>
        <v/>
      </c>
      <c r="L998" s="11" t="str">
        <f>IF($A998="","",IFERROR(VALUE(MID(TRIM('Template Setup'!$C$4),FIND("-",TRIM('Template Setup'!$C$4))+1,10)),0))</f>
        <v/>
      </c>
      <c r="M998" s="11" t="str">
        <f>IF($A998="","",IFERROR(VALUE(MID(TRIM('Template Setup'!$C$5),FIND("-",TRIM('Template Setup'!$C$5))+1,10)),0))</f>
        <v/>
      </c>
      <c r="N998" s="11" t="str">
        <f>IF($A998="","",IFERROR(VALUE(MID(TRIM('Template Setup'!$C$6),FIND("-",TRIM('Template Setup'!$C$6))+1,10)),0))</f>
        <v/>
      </c>
      <c r="O998" s="11" t="str">
        <f>IF($A998="","",IFERROR(VALUE(MID(TRIM('Template Setup'!$C$7),FIND("-",TRIM('Template Setup'!$C$7))+1,10)),0))</f>
        <v/>
      </c>
      <c r="P998" s="11" t="str">
        <f>IF($A998="","",IFERROR(VALUE(MID(TRIM('Template Setup'!$C$8),FIND("-",TRIM('Template Setup'!$C$8))+1,10)),0))</f>
        <v/>
      </c>
      <c r="Q998" s="9" t="str">
        <f>IF($A998="","",$A998&amp;"-"&amp;'Template Setup'!$C$16)</f>
        <v/>
      </c>
      <c r="R998" s="24" t="str">
        <f t="shared" si="61"/>
        <v/>
      </c>
      <c r="S998" s="24"/>
      <c r="T998" s="24" t="str">
        <f t="shared" si="62"/>
        <v/>
      </c>
      <c r="U998" s="6" t="str">
        <f t="shared" si="64"/>
        <v/>
      </c>
    </row>
    <row r="999" spans="1:21">
      <c r="A999" s="11"/>
      <c r="B999" s="11"/>
      <c r="C999" s="11"/>
      <c r="D999" s="11" t="str">
        <f>IF($A999="","",_xlfn.TEXTJOIN(", ",TRUE,IF($G999&gt;0,'Template Setup'!$C$4,""),IF($H999&gt;0,'Template Setup'!$C$5,""),IF($I999&gt;0,'Template Setup'!$C$6,""),IF($J999&gt;0,'Template Setup'!$C$7,""),IF($K999&gt;0,'Template Setup'!$C$8,"")))</f>
        <v/>
      </c>
      <c r="E999" s="6" t="str" cm="1">
        <f t="array" ref="E999">IF($A999="","",_xlfn.LET(_xlpm.sheets,CHOOSE({1,2,3,4,5},'Template Setup'!$C$4,'Template Setup'!$C$5,'Template Setup'!$C$6,'Template Setup'!$C$7,'Template Setup'!$C$8),_xlpm.nums,CHOOSE({1,2,3,4,5},$L999,$M999,$N999,$O999,$P999),_xlpm.qtys,CHOOSE({1,2,3,4,5},$G999,$H999,$I999,$J999,$K999),_xlpm.validNums,_xlfn._xlws.FILTER(_xlpm.nums,_xlpm.qtys&gt;0),_xlpm.validSheets,_xlfn._xlws.FILTER(_xlpm.sheets,_xlpm.qtys&gt;0),_xlpm.mx,IFERROR(MAX(_xlpm.validNums),0),IF(_xlpm.mx=0,"",INDEX(_xlpm.validSheets,MATCH(_xlpm.mx,_xlpm.validNums,0))&amp;" (+"&amp;$R999&amp;")")))</f>
        <v/>
      </c>
      <c r="F999" s="11" t="str">
        <f t="shared" si="63"/>
        <v/>
      </c>
      <c r="G999" s="12" t="str">
        <f ca="1">IF($A999="","",IFERROR(SUMIF(INDIRECT("'"&amp;'Template Setup'!$C$4&amp;"'!C:C"),$A999,INDIRECT("'"&amp;'Template Setup'!$C$4&amp;"'!A:A")),0))</f>
        <v/>
      </c>
      <c r="H999" s="12" t="str">
        <f ca="1">IF($A999="","",IFERROR(SUMIF(INDIRECT("'"&amp;'Template Setup'!$C$5&amp;"'!C:C"),$A999,INDIRECT("'"&amp;'Template Setup'!$C$5&amp;"'!A:A")),0))</f>
        <v/>
      </c>
      <c r="I999" s="12" t="str">
        <f ca="1">IF($A999="","",IFERROR(SUMIF(INDIRECT("'"&amp;'Template Setup'!$C$6&amp;"'!C:C"),$A999,INDIRECT("'"&amp;'Template Setup'!$C$6&amp;"'!A:A")),0))</f>
        <v/>
      </c>
      <c r="J999" s="12" t="str">
        <f ca="1">IF($A999="","",IFERROR(SUMIF(INDIRECT("'"&amp;'Template Setup'!$C$7&amp;"'!C:C"),$A999,INDIRECT("'"&amp;'Template Setup'!$C$7&amp;"'!A:A")),0))</f>
        <v/>
      </c>
      <c r="K999" s="12" t="str">
        <f ca="1">IF($A999="","",IFERROR(SUMIF(INDIRECT("'"&amp;'Template Setup'!$C$8&amp;"'!C:C"),$A999,INDIRECT("'"&amp;'Template Setup'!$C$8&amp;"'!A:A")),0))</f>
        <v/>
      </c>
      <c r="L999" s="11" t="str">
        <f>IF($A999="","",IFERROR(VALUE(MID(TRIM('Template Setup'!$C$4),FIND("-",TRIM('Template Setup'!$C$4))+1,10)),0))</f>
        <v/>
      </c>
      <c r="M999" s="11" t="str">
        <f>IF($A999="","",IFERROR(VALUE(MID(TRIM('Template Setup'!$C$5),FIND("-",TRIM('Template Setup'!$C$5))+1,10)),0))</f>
        <v/>
      </c>
      <c r="N999" s="11" t="str">
        <f>IF($A999="","",IFERROR(VALUE(MID(TRIM('Template Setup'!$C$6),FIND("-",TRIM('Template Setup'!$C$6))+1,10)),0))</f>
        <v/>
      </c>
      <c r="O999" s="11" t="str">
        <f>IF($A999="","",IFERROR(VALUE(MID(TRIM('Template Setup'!$C$7),FIND("-",TRIM('Template Setup'!$C$7))+1,10)),0))</f>
        <v/>
      </c>
      <c r="P999" s="11" t="str">
        <f>IF($A999="","",IFERROR(VALUE(MID(TRIM('Template Setup'!$C$8),FIND("-",TRIM('Template Setup'!$C$8))+1,10)),0))</f>
        <v/>
      </c>
      <c r="Q999" s="9" t="str">
        <f>IF($A999="","",$A999&amp;"-"&amp;'Template Setup'!$C$16)</f>
        <v/>
      </c>
      <c r="R999" s="24" t="str">
        <f t="shared" si="61"/>
        <v/>
      </c>
      <c r="S999" s="24"/>
      <c r="T999" s="24" t="str">
        <f t="shared" si="62"/>
        <v/>
      </c>
      <c r="U999" s="6" t="str">
        <f t="shared" si="64"/>
        <v/>
      </c>
    </row>
    <row r="1000" spans="1:21">
      <c r="A1000" s="11"/>
      <c r="B1000" s="11"/>
      <c r="C1000" s="11"/>
      <c r="D1000" s="11" t="str">
        <f>IF($A1000="","",_xlfn.TEXTJOIN(", ",TRUE,IF($G1000&gt;0,'Template Setup'!$C$4,""),IF($H1000&gt;0,'Template Setup'!$C$5,""),IF($I1000&gt;0,'Template Setup'!$C$6,""),IF($J1000&gt;0,'Template Setup'!$C$7,""),IF($K1000&gt;0,'Template Setup'!$C$8,"")))</f>
        <v/>
      </c>
      <c r="E1000" s="6" t="str" cm="1">
        <f t="array" ref="E1000">IF($A1000="","",_xlfn.LET(_xlpm.sheets,CHOOSE({1,2,3,4,5},'Template Setup'!$C$4,'Template Setup'!$C$5,'Template Setup'!$C$6,'Template Setup'!$C$7,'Template Setup'!$C$8),_xlpm.nums,CHOOSE({1,2,3,4,5},$L1000,$M1000,$N1000,$O1000,$P1000),_xlpm.qtys,CHOOSE({1,2,3,4,5},$G1000,$H1000,$I1000,$J1000,$K1000),_xlpm.validNums,_xlfn._xlws.FILTER(_xlpm.nums,_xlpm.qtys&gt;0),_xlpm.validSheets,_xlfn._xlws.FILTER(_xlpm.sheets,_xlpm.qtys&gt;0),_xlpm.mx,IFERROR(MAX(_xlpm.validNums),0),IF(_xlpm.mx=0,"",INDEX(_xlpm.validSheets,MATCH(_xlpm.mx,_xlpm.validNums,0))&amp;" (+"&amp;$R1000&amp;")")))</f>
        <v/>
      </c>
      <c r="F1000" s="11" t="str">
        <f t="shared" si="63"/>
        <v/>
      </c>
      <c r="G1000" s="12" t="str">
        <f ca="1">IF($A1000="","",IFERROR(SUMIF(INDIRECT("'"&amp;'Template Setup'!$C$4&amp;"'!C:C"),$A1000,INDIRECT("'"&amp;'Template Setup'!$C$4&amp;"'!A:A")),0))</f>
        <v/>
      </c>
      <c r="H1000" s="12" t="str">
        <f ca="1">IF($A1000="","",IFERROR(SUMIF(INDIRECT("'"&amp;'Template Setup'!$C$5&amp;"'!C:C"),$A1000,INDIRECT("'"&amp;'Template Setup'!$C$5&amp;"'!A:A")),0))</f>
        <v/>
      </c>
      <c r="I1000" s="12" t="str">
        <f ca="1">IF($A1000="","",IFERROR(SUMIF(INDIRECT("'"&amp;'Template Setup'!$C$6&amp;"'!C:C"),$A1000,INDIRECT("'"&amp;'Template Setup'!$C$6&amp;"'!A:A")),0))</f>
        <v/>
      </c>
      <c r="J1000" s="12" t="str">
        <f ca="1">IF($A1000="","",IFERROR(SUMIF(INDIRECT("'"&amp;'Template Setup'!$C$7&amp;"'!C:C"),$A1000,INDIRECT("'"&amp;'Template Setup'!$C$7&amp;"'!A:A")),0))</f>
        <v/>
      </c>
      <c r="K1000" s="12" t="str">
        <f ca="1">IF($A1000="","",IFERROR(SUMIF(INDIRECT("'"&amp;'Template Setup'!$C$8&amp;"'!C:C"),$A1000,INDIRECT("'"&amp;'Template Setup'!$C$8&amp;"'!A:A")),0))</f>
        <v/>
      </c>
      <c r="L1000" s="11" t="str">
        <f>IF($A1000="","",IFERROR(VALUE(MID(TRIM('Template Setup'!$C$4),FIND("-",TRIM('Template Setup'!$C$4))+1,10)),0))</f>
        <v/>
      </c>
      <c r="M1000" s="11" t="str">
        <f>IF($A1000="","",IFERROR(VALUE(MID(TRIM('Template Setup'!$C$5),FIND("-",TRIM('Template Setup'!$C$5))+1,10)),0))</f>
        <v/>
      </c>
      <c r="N1000" s="11" t="str">
        <f>IF($A1000="","",IFERROR(VALUE(MID(TRIM('Template Setup'!$C$6),FIND("-",TRIM('Template Setup'!$C$6))+1,10)),0))</f>
        <v/>
      </c>
      <c r="O1000" s="11" t="str">
        <f>IF($A1000="","",IFERROR(VALUE(MID(TRIM('Template Setup'!$C$7),FIND("-",TRIM('Template Setup'!$C$7))+1,10)),0))</f>
        <v/>
      </c>
      <c r="P1000" s="11" t="str">
        <f>IF($A1000="","",IFERROR(VALUE(MID(TRIM('Template Setup'!$C$8),FIND("-",TRIM('Template Setup'!$C$8))+1,10)),0))</f>
        <v/>
      </c>
      <c r="Q1000" s="9" t="str">
        <f>IF($A1000="","",$A1000&amp;"-"&amp;'Template Setup'!$C$16)</f>
        <v/>
      </c>
      <c r="R1000" s="24" t="str">
        <f t="shared" si="61"/>
        <v/>
      </c>
      <c r="S1000" s="24"/>
      <c r="T1000" s="24" t="str">
        <f t="shared" si="62"/>
        <v/>
      </c>
      <c r="U1000" s="6" t="str">
        <f t="shared" si="64"/>
        <v/>
      </c>
    </row>
  </sheetData>
  <conditionalFormatting sqref="A2:D1000">
    <cfRule type="expression" dxfId="4" priority="3">
      <formula>$A2&lt;&gt;""</formula>
    </cfRule>
  </conditionalFormatting>
  <conditionalFormatting sqref="Q2:Q1000 U2:U1000">
    <cfRule type="expression" dxfId="3" priority="14">
      <formula>$U2="☑"</formula>
    </cfRule>
  </conditionalFormatting>
  <conditionalFormatting sqref="T2:T1000">
    <cfRule type="expression" dxfId="2" priority="15">
      <formula>AND($A2&lt;&gt;"",$S2&lt;&gt;"")</formula>
    </cfRule>
  </conditionalFormatting>
  <conditionalFormatting sqref="V1 Q2:Q1000 U2:U1000">
    <cfRule type="expression" dxfId="1" priority="1">
      <formula>AND($A1&lt;&gt;"",ISEVEN(ROW()))</formula>
    </cfRule>
    <cfRule type="expression" dxfId="0" priority="2">
      <formula>AND($A1&lt;&gt;"",ISODD(ROW()))</formula>
    </cfRule>
  </conditionalFormatting>
  <dataValidations count="1">
    <dataValidation type="list" allowBlank="1" showInputMessage="1" showErrorMessage="1" promptTitle="Status" prompt="Choose ☐ (unchecked) or ☑ (checked)." sqref="U2:U1000" xr:uid="{24CD2A3D-84FD-45CF-ABCE-15191C848F82}">
      <formula1>"☐,☑"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D15"/>
  <sheetViews>
    <sheetView workbookViewId="0">
      <selection activeCell="L20" sqref="L20"/>
    </sheetView>
  </sheetViews>
  <sheetFormatPr defaultRowHeight="15"/>
  <cols>
    <col min="1" max="1" width="17.5703125" customWidth="1"/>
    <col min="4" max="4" width="46.7109375" customWidth="1"/>
  </cols>
  <sheetData>
    <row r="1" spans="1:4">
      <c r="A1" s="7" t="s">
        <v>66</v>
      </c>
      <c r="B1" s="8" t="s">
        <v>46</v>
      </c>
      <c r="C1" s="8" t="s">
        <v>44</v>
      </c>
      <c r="D1" s="8" t="s">
        <v>45</v>
      </c>
    </row>
    <row r="2" spans="1:4">
      <c r="A2" s="1">
        <v>2</v>
      </c>
      <c r="B2" s="1" t="s">
        <v>67</v>
      </c>
      <c r="C2" s="1">
        <v>6279806</v>
      </c>
      <c r="D2" s="1" t="s">
        <v>68</v>
      </c>
    </row>
    <row r="3" spans="1:4">
      <c r="A3" s="1">
        <v>4</v>
      </c>
      <c r="B3" s="1" t="s">
        <v>67</v>
      </c>
      <c r="C3" s="1">
        <v>6269302</v>
      </c>
      <c r="D3" s="1" t="s">
        <v>69</v>
      </c>
    </row>
    <row r="4" spans="1:4">
      <c r="A4" s="1">
        <v>1</v>
      </c>
      <c r="B4" s="1" t="s">
        <v>67</v>
      </c>
      <c r="C4" s="1">
        <v>6107247</v>
      </c>
      <c r="D4" s="1" t="s">
        <v>70</v>
      </c>
    </row>
    <row r="5" spans="1:4">
      <c r="A5" s="1">
        <v>4</v>
      </c>
      <c r="B5" s="1" t="s">
        <v>67</v>
      </c>
      <c r="C5" s="1">
        <v>6214308</v>
      </c>
      <c r="D5" s="1" t="s">
        <v>71</v>
      </c>
    </row>
    <row r="6" spans="1:4">
      <c r="A6" s="1">
        <v>1</v>
      </c>
      <c r="B6" s="1" t="s">
        <v>67</v>
      </c>
      <c r="C6" s="1">
        <v>6126601</v>
      </c>
      <c r="D6" s="1" t="s">
        <v>72</v>
      </c>
    </row>
    <row r="7" spans="1:4">
      <c r="A7" s="1">
        <v>1</v>
      </c>
      <c r="B7" s="1" t="s">
        <v>67</v>
      </c>
      <c r="C7" s="1">
        <v>6128607</v>
      </c>
      <c r="D7" s="1" t="s">
        <v>73</v>
      </c>
    </row>
    <row r="8" spans="1:4">
      <c r="A8" s="1">
        <v>1</v>
      </c>
      <c r="B8" s="1" t="s">
        <v>67</v>
      </c>
      <c r="C8" s="1">
        <v>7992553</v>
      </c>
      <c r="D8" s="1" t="s">
        <v>74</v>
      </c>
    </row>
    <row r="9" spans="1:4">
      <c r="A9" s="1">
        <v>1</v>
      </c>
      <c r="B9" s="1" t="s">
        <v>67</v>
      </c>
      <c r="C9" s="1">
        <v>6129704</v>
      </c>
      <c r="D9" s="1" t="s">
        <v>75</v>
      </c>
    </row>
    <row r="10" spans="1:4">
      <c r="A10" s="1">
        <v>1</v>
      </c>
      <c r="B10" s="1" t="s">
        <v>67</v>
      </c>
      <c r="C10" s="1">
        <v>6146666</v>
      </c>
      <c r="D10" s="1" t="s">
        <v>76</v>
      </c>
    </row>
    <row r="11" spans="1:4">
      <c r="A11" s="1">
        <v>1</v>
      </c>
      <c r="B11" s="1" t="s">
        <v>67</v>
      </c>
      <c r="C11" s="1">
        <v>6460505</v>
      </c>
      <c r="D11" s="1" t="s">
        <v>77</v>
      </c>
    </row>
    <row r="12" spans="1:4">
      <c r="A12" s="1">
        <v>1</v>
      </c>
      <c r="B12" s="1" t="s">
        <v>67</v>
      </c>
      <c r="C12" s="1">
        <v>8006866</v>
      </c>
      <c r="D12" s="1" t="s">
        <v>78</v>
      </c>
    </row>
    <row r="13" spans="1:4">
      <c r="A13" s="1">
        <v>2</v>
      </c>
      <c r="B13" s="1" t="s">
        <v>67</v>
      </c>
      <c r="C13" s="1">
        <v>6274005</v>
      </c>
      <c r="D13" s="1" t="s">
        <v>79</v>
      </c>
    </row>
    <row r="14" spans="1:4">
      <c r="A14" s="1">
        <v>63</v>
      </c>
      <c r="B14" s="1" t="s">
        <v>80</v>
      </c>
      <c r="C14" s="1">
        <v>6155402</v>
      </c>
      <c r="D14" s="1" t="s">
        <v>81</v>
      </c>
    </row>
    <row r="15" spans="1:4">
      <c r="A15" s="1"/>
      <c r="B15" s="1"/>
      <c r="C15" s="1"/>
      <c r="D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D26F-B516-4FA4-8AD6-F7EFC0CD50C5}">
  <sheetPr>
    <tabColor theme="8" tint="0.79998168889431442"/>
  </sheetPr>
  <dimension ref="A1:D36"/>
  <sheetViews>
    <sheetView workbookViewId="0">
      <selection activeCell="D24" sqref="D24"/>
    </sheetView>
  </sheetViews>
  <sheetFormatPr defaultRowHeight="15"/>
  <cols>
    <col min="1" max="1" width="14.5703125" customWidth="1"/>
    <col min="4" max="4" width="44.140625" customWidth="1"/>
  </cols>
  <sheetData>
    <row r="1" spans="1:4">
      <c r="A1" s="7" t="s">
        <v>66</v>
      </c>
      <c r="B1" s="8" t="s">
        <v>46</v>
      </c>
      <c r="C1" s="8" t="s">
        <v>44</v>
      </c>
      <c r="D1" s="8" t="s">
        <v>45</v>
      </c>
    </row>
    <row r="2" spans="1:4">
      <c r="A2" s="1">
        <v>1</v>
      </c>
      <c r="B2" s="1" t="s">
        <v>67</v>
      </c>
      <c r="C2" s="1">
        <v>6107247</v>
      </c>
      <c r="D2" s="1" t="s">
        <v>70</v>
      </c>
    </row>
    <row r="3" spans="1:4">
      <c r="A3" s="1">
        <v>1</v>
      </c>
      <c r="B3" s="1" t="s">
        <v>67</v>
      </c>
      <c r="C3" s="1">
        <v>6146666</v>
      </c>
      <c r="D3" s="1" t="s">
        <v>76</v>
      </c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C38F-F9FD-45F6-B4BC-30B4D02BE8CD}">
  <sheetPr>
    <tabColor theme="8" tint="0.79998168889431442"/>
  </sheetPr>
  <dimension ref="A1:D36"/>
  <sheetViews>
    <sheetView workbookViewId="0">
      <selection activeCell="G17" sqref="G17"/>
    </sheetView>
  </sheetViews>
  <sheetFormatPr defaultRowHeight="15"/>
  <cols>
    <col min="1" max="1" width="14.5703125" customWidth="1"/>
    <col min="4" max="4" width="44.140625" customWidth="1"/>
  </cols>
  <sheetData>
    <row r="1" spans="1:4">
      <c r="A1" s="7" t="s">
        <v>66</v>
      </c>
      <c r="B1" s="8" t="s">
        <v>46</v>
      </c>
      <c r="C1" s="8" t="s">
        <v>44</v>
      </c>
      <c r="D1" s="8" t="s">
        <v>45</v>
      </c>
    </row>
    <row r="2" spans="1:4">
      <c r="A2" s="1">
        <v>8</v>
      </c>
      <c r="B2" s="1" t="s">
        <v>67</v>
      </c>
      <c r="C2" s="1">
        <v>4626503</v>
      </c>
      <c r="D2" s="1" t="s">
        <v>82</v>
      </c>
    </row>
    <row r="3" spans="1:4">
      <c r="A3" s="1">
        <v>2</v>
      </c>
      <c r="B3" s="1" t="s">
        <v>67</v>
      </c>
      <c r="C3" s="1">
        <v>6279806</v>
      </c>
      <c r="D3" s="1" t="s">
        <v>68</v>
      </c>
    </row>
    <row r="4" spans="1:4">
      <c r="A4" s="1">
        <v>4</v>
      </c>
      <c r="B4" s="1" t="s">
        <v>67</v>
      </c>
      <c r="C4" s="1">
        <v>6279707</v>
      </c>
      <c r="D4" s="1" t="s">
        <v>83</v>
      </c>
    </row>
    <row r="5" spans="1:4">
      <c r="A5" s="1">
        <v>1</v>
      </c>
      <c r="B5" s="1" t="s">
        <v>67</v>
      </c>
      <c r="C5" s="1">
        <v>6223705</v>
      </c>
      <c r="D5" s="1" t="s">
        <v>84</v>
      </c>
    </row>
    <row r="6" spans="1:4">
      <c r="A6" s="1">
        <v>8</v>
      </c>
      <c r="B6" s="1" t="s">
        <v>67</v>
      </c>
      <c r="C6" s="1">
        <v>4662508</v>
      </c>
      <c r="D6" s="1" t="s">
        <v>85</v>
      </c>
    </row>
    <row r="7" spans="1:4">
      <c r="A7" s="1">
        <v>6</v>
      </c>
      <c r="B7" s="1" t="s">
        <v>67</v>
      </c>
      <c r="C7" s="1">
        <v>8006443</v>
      </c>
      <c r="D7" s="1" t="s">
        <v>86</v>
      </c>
    </row>
    <row r="8" spans="1:4">
      <c r="A8" s="1">
        <v>16</v>
      </c>
      <c r="B8" s="1" t="s">
        <v>80</v>
      </c>
      <c r="C8" s="1">
        <v>7991284</v>
      </c>
      <c r="D8" s="1" t="s">
        <v>87</v>
      </c>
    </row>
    <row r="9" spans="1:4">
      <c r="A9" s="1">
        <v>6</v>
      </c>
      <c r="B9" s="1" t="s">
        <v>67</v>
      </c>
      <c r="C9" s="1">
        <v>8006194</v>
      </c>
      <c r="D9" s="1" t="s">
        <v>88</v>
      </c>
    </row>
    <row r="10" spans="1:4">
      <c r="A10" s="1">
        <v>4</v>
      </c>
      <c r="B10" s="1" t="s">
        <v>67</v>
      </c>
      <c r="C10" s="1">
        <v>7999666</v>
      </c>
      <c r="D10" s="1" t="s">
        <v>89</v>
      </c>
    </row>
    <row r="11" spans="1:4">
      <c r="A11" s="1">
        <v>10</v>
      </c>
      <c r="B11" s="1" t="s">
        <v>67</v>
      </c>
      <c r="C11" s="1">
        <v>5840285</v>
      </c>
      <c r="D11" s="1" t="s">
        <v>90</v>
      </c>
    </row>
    <row r="12" spans="1:4">
      <c r="A12" s="1">
        <v>2</v>
      </c>
      <c r="B12" s="1" t="s">
        <v>67</v>
      </c>
      <c r="C12" s="1">
        <v>6434401</v>
      </c>
      <c r="D12" s="1" t="s">
        <v>91</v>
      </c>
    </row>
    <row r="13" spans="1:4">
      <c r="A13" s="1">
        <v>4</v>
      </c>
      <c r="B13" s="1" t="s">
        <v>67</v>
      </c>
      <c r="C13" s="1">
        <v>6449235</v>
      </c>
      <c r="D13" s="1" t="s">
        <v>92</v>
      </c>
    </row>
    <row r="14" spans="1:4">
      <c r="A14" s="1">
        <v>4</v>
      </c>
      <c r="B14" s="1" t="s">
        <v>67</v>
      </c>
      <c r="C14" s="1">
        <v>6281000</v>
      </c>
      <c r="D14" s="1" t="s">
        <v>93</v>
      </c>
    </row>
    <row r="15" spans="1:4">
      <c r="A15" s="1">
        <v>1</v>
      </c>
      <c r="B15" s="1" t="s">
        <v>67</v>
      </c>
      <c r="C15" s="1">
        <v>7999724</v>
      </c>
      <c r="D15" s="1" t="s">
        <v>94</v>
      </c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7DAF-951F-4403-815D-6F2A07090051}">
  <sheetPr>
    <tabColor theme="8" tint="0.79998168889431442"/>
  </sheetPr>
  <dimension ref="A1:D36"/>
  <sheetViews>
    <sheetView workbookViewId="0">
      <selection activeCell="F23" sqref="F23"/>
    </sheetView>
  </sheetViews>
  <sheetFormatPr defaultRowHeight="15"/>
  <cols>
    <col min="1" max="1" width="14.5703125" customWidth="1"/>
    <col min="4" max="4" width="44.140625" customWidth="1"/>
  </cols>
  <sheetData>
    <row r="1" spans="1:4">
      <c r="A1" s="7" t="s">
        <v>66</v>
      </c>
      <c r="B1" s="8" t="s">
        <v>46</v>
      </c>
      <c r="C1" s="8" t="s">
        <v>44</v>
      </c>
      <c r="D1" s="8" t="s">
        <v>45</v>
      </c>
    </row>
    <row r="2" spans="1:4">
      <c r="A2" s="1">
        <v>3</v>
      </c>
      <c r="B2" s="1" t="s">
        <v>67</v>
      </c>
      <c r="C2" s="1">
        <v>6279707</v>
      </c>
      <c r="D2" s="1" t="s">
        <v>83</v>
      </c>
    </row>
    <row r="3" spans="1:4">
      <c r="A3" s="1">
        <v>1</v>
      </c>
      <c r="B3" s="1" t="s">
        <v>67</v>
      </c>
      <c r="C3" s="1">
        <v>6253140</v>
      </c>
      <c r="D3" s="1" t="s">
        <v>95</v>
      </c>
    </row>
    <row r="4" spans="1:4">
      <c r="A4" s="1">
        <v>2</v>
      </c>
      <c r="B4" s="1" t="s">
        <v>67</v>
      </c>
      <c r="C4" s="1">
        <v>6211205</v>
      </c>
      <c r="D4" s="1" t="s">
        <v>96</v>
      </c>
    </row>
    <row r="5" spans="1:4">
      <c r="A5" s="1">
        <v>1</v>
      </c>
      <c r="B5" s="1" t="s">
        <v>67</v>
      </c>
      <c r="C5" s="1">
        <v>7999666</v>
      </c>
      <c r="D5" s="1" t="s">
        <v>89</v>
      </c>
    </row>
    <row r="6" spans="1:4">
      <c r="A6" s="1">
        <v>1</v>
      </c>
      <c r="B6" s="1" t="s">
        <v>67</v>
      </c>
      <c r="C6" s="1">
        <v>5825807</v>
      </c>
      <c r="D6" s="1" t="s">
        <v>97</v>
      </c>
    </row>
    <row r="7" spans="1:4">
      <c r="A7" s="1">
        <v>1</v>
      </c>
      <c r="B7" s="1" t="s">
        <v>67</v>
      </c>
      <c r="C7" s="1">
        <v>6448104</v>
      </c>
      <c r="D7" s="1" t="s">
        <v>98</v>
      </c>
    </row>
    <row r="8" spans="1:4">
      <c r="A8" s="1">
        <v>1</v>
      </c>
      <c r="B8" s="1" t="s">
        <v>67</v>
      </c>
      <c r="C8" s="1">
        <v>1005078</v>
      </c>
      <c r="D8" s="1" t="s">
        <v>99</v>
      </c>
    </row>
    <row r="9" spans="1:4">
      <c r="A9" s="1">
        <v>4</v>
      </c>
      <c r="B9" s="1" t="s">
        <v>67</v>
      </c>
      <c r="C9" s="1">
        <v>6269203</v>
      </c>
      <c r="D9" s="1" t="s">
        <v>100</v>
      </c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9E74-D1A6-46C9-8BB2-ADB51BC692B3}">
  <sheetPr>
    <tabColor theme="8" tint="0.79998168889431442"/>
  </sheetPr>
  <dimension ref="A1:D36"/>
  <sheetViews>
    <sheetView workbookViewId="0">
      <selection activeCell="F29" sqref="F29"/>
    </sheetView>
  </sheetViews>
  <sheetFormatPr defaultRowHeight="15"/>
  <cols>
    <col min="1" max="1" width="14.5703125" customWidth="1"/>
    <col min="4" max="4" width="44.140625" customWidth="1"/>
  </cols>
  <sheetData>
    <row r="1" spans="1:4">
      <c r="A1" s="7" t="s">
        <v>66</v>
      </c>
      <c r="B1" s="8" t="s">
        <v>46</v>
      </c>
      <c r="C1" s="8" t="s">
        <v>44</v>
      </c>
      <c r="D1" s="8" t="s">
        <v>45</v>
      </c>
    </row>
    <row r="2" spans="1:4">
      <c r="A2" s="1">
        <v>2</v>
      </c>
      <c r="B2" s="1" t="s">
        <v>67</v>
      </c>
      <c r="C2" s="1">
        <v>6113807</v>
      </c>
      <c r="D2" s="1" t="s">
        <v>101</v>
      </c>
    </row>
    <row r="3" spans="1:4">
      <c r="A3" s="1">
        <v>26</v>
      </c>
      <c r="B3" s="1" t="s">
        <v>80</v>
      </c>
      <c r="C3" s="1">
        <v>4518205</v>
      </c>
      <c r="D3" s="1" t="s">
        <v>102</v>
      </c>
    </row>
    <row r="4" spans="1:4">
      <c r="A4" s="1">
        <v>4</v>
      </c>
      <c r="B4" s="1" t="s">
        <v>67</v>
      </c>
      <c r="C4" s="1">
        <v>6117709</v>
      </c>
      <c r="D4" s="1" t="s">
        <v>103</v>
      </c>
    </row>
    <row r="5" spans="1:4">
      <c r="A5" s="1">
        <v>8</v>
      </c>
      <c r="B5" s="1" t="s">
        <v>67</v>
      </c>
      <c r="C5" s="1">
        <v>4626503</v>
      </c>
      <c r="D5" s="1" t="s">
        <v>104</v>
      </c>
    </row>
    <row r="6" spans="1:4">
      <c r="A6" s="1">
        <v>20</v>
      </c>
      <c r="B6" s="1" t="s">
        <v>67</v>
      </c>
      <c r="C6" s="1">
        <v>6279806</v>
      </c>
      <c r="D6" s="1" t="s">
        <v>105</v>
      </c>
    </row>
    <row r="7" spans="1:4">
      <c r="A7" s="1">
        <v>6</v>
      </c>
      <c r="B7" s="1" t="s">
        <v>67</v>
      </c>
      <c r="C7" s="1">
        <v>6279707</v>
      </c>
      <c r="D7" s="1" t="s">
        <v>106</v>
      </c>
    </row>
    <row r="8" spans="1:4">
      <c r="A8" s="1">
        <v>20</v>
      </c>
      <c r="B8" s="1" t="s">
        <v>67</v>
      </c>
      <c r="C8" s="1">
        <v>6269302</v>
      </c>
      <c r="D8" s="1" t="s">
        <v>69</v>
      </c>
    </row>
    <row r="9" spans="1:4">
      <c r="A9" s="1">
        <v>10</v>
      </c>
      <c r="B9" s="1" t="s">
        <v>67</v>
      </c>
      <c r="C9" s="1">
        <v>6268445</v>
      </c>
      <c r="D9" s="1" t="s">
        <v>107</v>
      </c>
    </row>
    <row r="10" spans="1:4">
      <c r="A10" s="1">
        <v>5</v>
      </c>
      <c r="B10" s="1" t="s">
        <v>67</v>
      </c>
      <c r="C10" s="1">
        <v>6101992</v>
      </c>
      <c r="D10" s="1" t="s">
        <v>108</v>
      </c>
    </row>
    <row r="11" spans="1:4">
      <c r="A11" s="1">
        <v>30</v>
      </c>
      <c r="B11" s="1" t="s">
        <v>67</v>
      </c>
      <c r="C11" s="1">
        <v>6214308</v>
      </c>
      <c r="D11" s="1" t="s">
        <v>109</v>
      </c>
    </row>
    <row r="12" spans="1:4">
      <c r="A12" s="1">
        <v>8</v>
      </c>
      <c r="B12" s="1" t="s">
        <v>67</v>
      </c>
      <c r="C12" s="1">
        <v>4662508</v>
      </c>
      <c r="D12" s="1" t="s">
        <v>110</v>
      </c>
    </row>
    <row r="13" spans="1:4">
      <c r="A13" s="1">
        <v>2</v>
      </c>
      <c r="B13" s="1" t="s">
        <v>67</v>
      </c>
      <c r="C13" s="1">
        <v>4601902</v>
      </c>
      <c r="D13" s="1" t="s">
        <v>111</v>
      </c>
    </row>
    <row r="14" spans="1:4">
      <c r="A14" s="1">
        <v>30</v>
      </c>
      <c r="B14" s="1" t="s">
        <v>80</v>
      </c>
      <c r="C14" s="1">
        <v>8000812</v>
      </c>
      <c r="D14" s="1" t="s">
        <v>112</v>
      </c>
    </row>
    <row r="15" spans="1:4">
      <c r="A15" s="1">
        <v>4</v>
      </c>
      <c r="B15" s="1" t="s">
        <v>67</v>
      </c>
      <c r="C15" s="1">
        <v>4626404</v>
      </c>
      <c r="D15" s="1" t="s">
        <v>113</v>
      </c>
    </row>
    <row r="16" spans="1:4">
      <c r="A16" s="1">
        <v>2</v>
      </c>
      <c r="B16" s="1" t="s">
        <v>67</v>
      </c>
      <c r="C16" s="1">
        <v>1300812</v>
      </c>
      <c r="D16" s="1" t="s">
        <v>114</v>
      </c>
    </row>
    <row r="17" spans="1:4">
      <c r="A17" s="1">
        <v>4</v>
      </c>
      <c r="B17" s="1" t="s">
        <v>67</v>
      </c>
      <c r="C17" s="1">
        <v>8006443</v>
      </c>
      <c r="D17" s="1" t="s">
        <v>115</v>
      </c>
    </row>
    <row r="18" spans="1:4">
      <c r="A18" s="1">
        <v>10</v>
      </c>
      <c r="B18" s="1" t="s">
        <v>67</v>
      </c>
      <c r="C18" s="1">
        <v>6126601</v>
      </c>
      <c r="D18" s="1" t="s">
        <v>116</v>
      </c>
    </row>
    <row r="19" spans="1:4">
      <c r="A19" s="1">
        <v>4</v>
      </c>
      <c r="B19" s="1" t="s">
        <v>67</v>
      </c>
      <c r="C19" s="1">
        <v>8006194</v>
      </c>
      <c r="D19" s="1" t="s">
        <v>117</v>
      </c>
    </row>
    <row r="20" spans="1:4">
      <c r="A20" s="1">
        <v>5</v>
      </c>
      <c r="B20" s="1" t="s">
        <v>67</v>
      </c>
      <c r="C20" s="1">
        <v>6128706</v>
      </c>
      <c r="D20" s="1" t="s">
        <v>118</v>
      </c>
    </row>
    <row r="21" spans="1:4">
      <c r="A21" s="1">
        <v>5</v>
      </c>
      <c r="B21" s="1" t="s">
        <v>67</v>
      </c>
      <c r="C21" s="1">
        <v>6128607</v>
      </c>
      <c r="D21" s="1" t="s">
        <v>119</v>
      </c>
    </row>
    <row r="22" spans="1:4">
      <c r="A22" s="1">
        <v>3</v>
      </c>
      <c r="B22" s="1" t="s">
        <v>67</v>
      </c>
      <c r="C22" s="1">
        <v>7992553</v>
      </c>
      <c r="D22" s="1" t="s">
        <v>120</v>
      </c>
    </row>
    <row r="23" spans="1:4">
      <c r="A23" s="1">
        <v>16</v>
      </c>
      <c r="B23" s="1" t="s">
        <v>67</v>
      </c>
      <c r="C23" s="1">
        <v>8003820</v>
      </c>
      <c r="D23" s="1" t="s">
        <v>121</v>
      </c>
    </row>
    <row r="24" spans="1:4">
      <c r="A24" s="1">
        <v>6</v>
      </c>
      <c r="B24" s="1" t="s">
        <v>67</v>
      </c>
      <c r="C24" s="1">
        <v>7999666</v>
      </c>
      <c r="D24" s="1" t="s">
        <v>122</v>
      </c>
    </row>
    <row r="25" spans="1:4">
      <c r="A25" s="1">
        <v>6</v>
      </c>
      <c r="B25" s="1" t="s">
        <v>67</v>
      </c>
      <c r="C25" s="1">
        <v>5840285</v>
      </c>
      <c r="D25" s="1" t="s">
        <v>123</v>
      </c>
    </row>
    <row r="26" spans="1:4">
      <c r="A26" s="1">
        <v>10</v>
      </c>
      <c r="B26" s="1" t="s">
        <v>67</v>
      </c>
      <c r="C26" s="1">
        <v>6129704</v>
      </c>
      <c r="D26" s="1" t="s">
        <v>124</v>
      </c>
    </row>
    <row r="27" spans="1:4">
      <c r="A27" s="1">
        <v>6</v>
      </c>
      <c r="B27" s="1" t="s">
        <v>67</v>
      </c>
      <c r="C27" s="1">
        <v>6449235</v>
      </c>
      <c r="D27" s="1" t="s">
        <v>125</v>
      </c>
    </row>
    <row r="28" spans="1:4">
      <c r="A28" s="1">
        <v>1</v>
      </c>
      <c r="B28" s="1" t="s">
        <v>67</v>
      </c>
      <c r="C28" s="1">
        <v>8006413</v>
      </c>
      <c r="D28" s="1" t="s">
        <v>126</v>
      </c>
    </row>
    <row r="29" spans="1:4">
      <c r="A29" s="1">
        <v>2</v>
      </c>
      <c r="B29" s="1" t="s">
        <v>67</v>
      </c>
      <c r="C29" s="1">
        <v>1008009</v>
      </c>
      <c r="D29" s="1" t="s">
        <v>127</v>
      </c>
    </row>
    <row r="30" spans="1:4">
      <c r="A30" s="1">
        <v>5</v>
      </c>
      <c r="B30" s="1" t="s">
        <v>67</v>
      </c>
      <c r="C30" s="1">
        <v>6144523</v>
      </c>
      <c r="D30" s="1" t="s">
        <v>128</v>
      </c>
    </row>
    <row r="31" spans="1:4">
      <c r="A31" s="1">
        <v>2</v>
      </c>
      <c r="B31" s="1" t="s">
        <v>67</v>
      </c>
      <c r="C31" s="1">
        <v>6146906</v>
      </c>
      <c r="D31" s="1" t="s">
        <v>129</v>
      </c>
    </row>
    <row r="32" spans="1:4">
      <c r="A32" s="1">
        <v>10</v>
      </c>
      <c r="B32" s="1" t="s">
        <v>67</v>
      </c>
      <c r="C32" s="1">
        <v>6460505</v>
      </c>
      <c r="D32" s="1" t="s">
        <v>130</v>
      </c>
    </row>
    <row r="33" spans="1:4">
      <c r="A33" s="1">
        <v>10</v>
      </c>
      <c r="B33" s="1" t="s">
        <v>67</v>
      </c>
      <c r="C33" s="1">
        <v>8006866</v>
      </c>
      <c r="D33" s="1" t="s">
        <v>131</v>
      </c>
    </row>
    <row r="34" spans="1:4">
      <c r="A34" s="1">
        <v>10</v>
      </c>
      <c r="B34" s="1" t="s">
        <v>67</v>
      </c>
      <c r="C34" s="1">
        <v>6274005</v>
      </c>
      <c r="D34" s="1" t="s">
        <v>132</v>
      </c>
    </row>
    <row r="35" spans="1:4">
      <c r="A35" s="1">
        <v>315</v>
      </c>
      <c r="B35" s="1" t="s">
        <v>80</v>
      </c>
      <c r="C35" s="1">
        <v>6155402</v>
      </c>
      <c r="D35" s="1" t="s">
        <v>133</v>
      </c>
    </row>
    <row r="36" spans="1:4">
      <c r="A36" s="1">
        <v>5</v>
      </c>
      <c r="B36" s="1" t="s">
        <v>67</v>
      </c>
      <c r="C36" s="1">
        <v>7999723</v>
      </c>
      <c r="D36" s="1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70CA-2EF2-4950-947D-EB90B8D59234}">
  <sheetPr>
    <tabColor theme="8" tint="0.79998168889431442"/>
  </sheetPr>
  <dimension ref="A1:D36"/>
  <sheetViews>
    <sheetView workbookViewId="0">
      <selection activeCell="A2" sqref="A2"/>
    </sheetView>
  </sheetViews>
  <sheetFormatPr defaultRowHeight="15"/>
  <cols>
    <col min="1" max="1" width="14.5703125" customWidth="1"/>
    <col min="4" max="4" width="44.140625" customWidth="1"/>
  </cols>
  <sheetData>
    <row r="1" spans="1:4">
      <c r="A1" s="7" t="s">
        <v>66</v>
      </c>
      <c r="B1" s="8" t="s">
        <v>46</v>
      </c>
      <c r="C1" s="8" t="s">
        <v>44</v>
      </c>
      <c r="D1" s="8" t="s">
        <v>45</v>
      </c>
    </row>
    <row r="2" spans="1:4">
      <c r="A2" s="1">
        <v>1</v>
      </c>
      <c r="B2" s="1" t="s">
        <v>67</v>
      </c>
      <c r="C2" s="1">
        <v>4634903</v>
      </c>
      <c r="D2" s="1" t="s">
        <v>135</v>
      </c>
    </row>
    <row r="3" spans="1:4">
      <c r="A3" s="1">
        <v>1</v>
      </c>
      <c r="B3" s="1" t="s">
        <v>67</v>
      </c>
      <c r="C3" s="1">
        <v>6117709</v>
      </c>
      <c r="D3" s="1" t="s">
        <v>136</v>
      </c>
    </row>
    <row r="4" spans="1:4">
      <c r="A4" s="1">
        <v>2</v>
      </c>
      <c r="B4" s="1" t="s">
        <v>67</v>
      </c>
      <c r="C4" s="1">
        <v>4626107</v>
      </c>
      <c r="D4" s="1" t="s">
        <v>137</v>
      </c>
    </row>
    <row r="5" spans="1:4">
      <c r="A5" s="1">
        <v>4</v>
      </c>
      <c r="B5" s="1" t="s">
        <v>67</v>
      </c>
      <c r="C5" s="1">
        <v>6279707</v>
      </c>
      <c r="D5" s="1" t="s">
        <v>83</v>
      </c>
    </row>
    <row r="6" spans="1:4">
      <c r="A6" s="1">
        <v>1</v>
      </c>
      <c r="B6" s="1" t="s">
        <v>67</v>
      </c>
      <c r="C6" s="1">
        <v>8005123</v>
      </c>
      <c r="D6" s="1" t="s">
        <v>138</v>
      </c>
    </row>
    <row r="7" spans="1:4">
      <c r="A7" s="1">
        <v>4</v>
      </c>
      <c r="B7" s="1" t="s">
        <v>67</v>
      </c>
      <c r="C7" s="1">
        <v>6211106</v>
      </c>
      <c r="D7" s="1" t="s">
        <v>139</v>
      </c>
    </row>
    <row r="8" spans="1:4">
      <c r="A8" s="1">
        <v>1</v>
      </c>
      <c r="B8" s="1" t="s">
        <v>67</v>
      </c>
      <c r="C8" s="1">
        <v>7991222</v>
      </c>
      <c r="D8" s="1" t="s">
        <v>140</v>
      </c>
    </row>
    <row r="9" spans="1:4">
      <c r="A9" s="1">
        <v>21</v>
      </c>
      <c r="B9" s="1" t="s">
        <v>80</v>
      </c>
      <c r="C9" s="1">
        <v>1100065</v>
      </c>
      <c r="D9" s="1" t="s">
        <v>141</v>
      </c>
    </row>
    <row r="10" spans="1:4">
      <c r="A10" s="1">
        <v>1</v>
      </c>
      <c r="B10" s="1" t="s">
        <v>67</v>
      </c>
      <c r="C10" s="1">
        <v>4601902</v>
      </c>
      <c r="D10" s="1" t="s">
        <v>142</v>
      </c>
    </row>
    <row r="11" spans="1:4">
      <c r="A11" s="1">
        <v>1</v>
      </c>
      <c r="B11" s="1" t="s">
        <v>67</v>
      </c>
      <c r="C11" s="1">
        <v>1300812</v>
      </c>
      <c r="D11" s="1" t="s">
        <v>143</v>
      </c>
    </row>
    <row r="12" spans="1:4">
      <c r="A12" s="1">
        <v>1</v>
      </c>
      <c r="B12" s="1" t="s">
        <v>67</v>
      </c>
      <c r="C12" s="1">
        <v>8006321</v>
      </c>
      <c r="D12" s="1" t="s">
        <v>144</v>
      </c>
    </row>
    <row r="13" spans="1:4">
      <c r="A13" s="1">
        <v>1</v>
      </c>
      <c r="B13" s="1" t="s">
        <v>67</v>
      </c>
      <c r="C13" s="1">
        <v>8006513</v>
      </c>
      <c r="D13" s="1" t="s">
        <v>145</v>
      </c>
    </row>
    <row r="14" spans="1:4">
      <c r="A14" s="1">
        <v>1</v>
      </c>
      <c r="B14" s="1" t="s">
        <v>67</v>
      </c>
      <c r="C14" s="1">
        <v>7999719</v>
      </c>
      <c r="D14" s="1" t="s">
        <v>146</v>
      </c>
    </row>
    <row r="15" spans="1:4">
      <c r="A15" s="1">
        <v>1</v>
      </c>
      <c r="B15" s="1" t="s">
        <v>67</v>
      </c>
      <c r="C15" s="1">
        <v>8004492</v>
      </c>
      <c r="D15" s="1" t="s">
        <v>147</v>
      </c>
    </row>
    <row r="16" spans="1:4">
      <c r="A16" s="1">
        <v>1</v>
      </c>
      <c r="B16" s="1" t="s">
        <v>67</v>
      </c>
      <c r="C16" s="1">
        <v>7999796</v>
      </c>
      <c r="D16" s="1" t="s">
        <v>148</v>
      </c>
    </row>
    <row r="17" spans="1:4">
      <c r="A17" s="1">
        <v>4</v>
      </c>
      <c r="B17" s="1" t="s">
        <v>67</v>
      </c>
      <c r="C17" s="1">
        <v>6269203</v>
      </c>
      <c r="D17" s="1" t="s">
        <v>100</v>
      </c>
    </row>
    <row r="18" spans="1:4">
      <c r="A18" s="1">
        <v>24</v>
      </c>
      <c r="B18" s="1" t="s">
        <v>80</v>
      </c>
      <c r="C18" s="1">
        <v>7999036</v>
      </c>
      <c r="D18" s="1" t="s">
        <v>149</v>
      </c>
    </row>
    <row r="19" spans="1:4">
      <c r="A19" s="1">
        <v>1</v>
      </c>
      <c r="B19" s="1" t="s">
        <v>67</v>
      </c>
      <c r="C19" s="1">
        <v>4500354</v>
      </c>
      <c r="D19" s="1" t="s">
        <v>150</v>
      </c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A80B-5E8E-4352-A5F1-77C57CCEC1D7}">
  <sheetPr>
    <tabColor theme="2" tint="-0.249977111117893"/>
  </sheetPr>
  <dimension ref="A1:C19"/>
  <sheetViews>
    <sheetView workbookViewId="0">
      <selection activeCell="B28" sqref="B28"/>
    </sheetView>
  </sheetViews>
  <sheetFormatPr defaultRowHeight="15"/>
  <cols>
    <col min="1" max="1" width="15.28515625" customWidth="1"/>
    <col min="2" max="2" width="57.140625" customWidth="1"/>
    <col min="3" max="3" width="9.5703125" customWidth="1"/>
  </cols>
  <sheetData>
    <row r="1" spans="1:3">
      <c r="A1" s="4" t="s">
        <v>44</v>
      </c>
      <c r="B1" s="4" t="s">
        <v>45</v>
      </c>
      <c r="C1" s="4" t="s">
        <v>46</v>
      </c>
    </row>
    <row r="2" spans="1:3">
      <c r="A2" cm="1">
        <f t="array" aca="1" ref="A2:C19" ca="1">_xlfn.LET(
  _xlpm.sheets, _xlfn._xlws.FILTER('Template Setup'!$C$4:$C$13, 'Template Setup'!$C$4:$C$13&lt;&gt;""),
  _xlpm.stacked, _xlfn.REDUCE({"SI#","Description","UOM"}, _xlpm.sheets,
    _xlfn.LAMBDA(_xlpm.acc,_xlpm.sh,
      _xlfn.LET(
        _xlpm.rng, IFERROR(INDIRECT("'"&amp;_xlpm.sh&amp;"'!$A$1:$D$2000"), NA()),
        _xlpm.missing, ISNA(INDEX(_xlpm.rng,1,1)),
        IF(_xlpm.missing,
          _xlpm.acc,
          _xlfn.LET(
            _xlpm.data, _xlfn.CHOOSECOLS(_xlpm.rng, 3, 4, 2),
            _xlpm.body, _xlfn.DROP(_xlpm.data, 1),
            _xlpm.body2, _xlfn._xlws.FILTER(_xlpm.body, (INDEX(_xlpm.body,,1)&lt;&gt;"")*(INDEX(_xlpm.body,,1)&lt;&gt;0)),
            _xlfn.VSTACK(_xlpm.acc, _xlpm.body2)
          )
        )
      )
    )
  ),
  _xlpm.cleaned, _xlfn.DROP(_xlpm.stacked,1),
  _xlpm.uniq, _xlfn.UNIQUE(_xlpm.cleaned),
  _xlfn._xlws.SORT(_xlpm.uniq,1,1)
)</f>
        <v>1100065</v>
      </c>
      <c r="B2" t="str">
        <f ca="1"/>
        <v>CABLE,UG,600V,#2,CU,SINGLE</v>
      </c>
      <c r="C2" t="str">
        <f ca="1"/>
        <v>FT</v>
      </c>
    </row>
    <row r="3" spans="1:3">
      <c r="A3">
        <f ca="1"/>
        <v>1300812</v>
      </c>
      <c r="B3" t="str">
        <f ca="1"/>
        <v>CONN,STIRRUP,BLTD,4-250AL/ACSR,1/0SOL</v>
      </c>
      <c r="C3" t="str">
        <f ca="1"/>
        <v>EA</v>
      </c>
    </row>
    <row r="4" spans="1:3">
      <c r="A4">
        <f ca="1"/>
        <v>4500354</v>
      </c>
      <c r="B4" t="str">
        <f ca="1"/>
        <v>XFMR,POLE,25,7.2,120/240,DT,ARR</v>
      </c>
      <c r="C4" t="str">
        <f ca="1"/>
        <v>EA</v>
      </c>
    </row>
    <row r="5" spans="1:3">
      <c r="A5">
        <f ca="1"/>
        <v>4601902</v>
      </c>
      <c r="B5" t="str">
        <f ca="1"/>
        <v>CLAMP,HOTLINE,#8SOL-2/0STR,#8-2/0 CU</v>
      </c>
      <c r="C5" t="str">
        <f ca="1"/>
        <v>EA</v>
      </c>
    </row>
    <row r="6" spans="1:3">
      <c r="A6">
        <f ca="1"/>
        <v>4626107</v>
      </c>
      <c r="B6" t="str">
        <f ca="1"/>
        <v>CONN,H-TAP (#2),0.268-0.398,0.162-0.3</v>
      </c>
      <c r="C6" t="str">
        <f ca="1"/>
        <v>EA</v>
      </c>
    </row>
    <row r="7" spans="1:3">
      <c r="A7">
        <f ca="1"/>
        <v>4634903</v>
      </c>
      <c r="B7" t="str">
        <f ca="1"/>
        <v>CONN,C-TAP,CU,#6SOL-#4STR,#6SOL/STR,COMP</v>
      </c>
      <c r="C7" t="str">
        <f ca="1"/>
        <v>EA</v>
      </c>
    </row>
    <row r="8" spans="1:3">
      <c r="A8">
        <f ca="1"/>
        <v>6117709</v>
      </c>
      <c r="B8" t="str">
        <f ca="1"/>
        <v>CONN,GRD,BRZ,XFMR,#8 SOL-#2 STR^</v>
      </c>
      <c r="C8" t="str">
        <f ca="1"/>
        <v>EA</v>
      </c>
    </row>
    <row r="9" spans="1:3">
      <c r="A9">
        <f ca="1"/>
        <v>6211106</v>
      </c>
      <c r="B9" t="str">
        <f ca="1"/>
        <v>BOLT,MACH,5/8" X 12",XARM,GALV</v>
      </c>
      <c r="C9" t="str">
        <f ca="1"/>
        <v>EA</v>
      </c>
    </row>
    <row r="10" spans="1:3">
      <c r="A10">
        <f ca="1"/>
        <v>6269203</v>
      </c>
      <c r="B10" t="str">
        <f ca="1"/>
        <v>WASHER,SQ,CURVED,3"X3", FOR 5/8 BOLTS</v>
      </c>
      <c r="C10" t="str">
        <f ca="1"/>
        <v>EA</v>
      </c>
    </row>
    <row r="11" spans="1:3">
      <c r="A11">
        <f ca="1"/>
        <v>6279707</v>
      </c>
      <c r="B11" t="str">
        <f ca="1"/>
        <v>WASHER,SPRING,5/8",DOUBLE HELIX</v>
      </c>
      <c r="C11" t="str">
        <f ca="1"/>
        <v>EA</v>
      </c>
    </row>
    <row r="12" spans="1:3">
      <c r="A12">
        <f ca="1"/>
        <v>7991222</v>
      </c>
      <c r="B12" t="str">
        <f ca="1"/>
        <v>BRACKET,FIBERGLASS,18",CUTOUT &amp; ARRESTER</v>
      </c>
      <c r="C12" t="str">
        <f ca="1"/>
        <v>EA</v>
      </c>
    </row>
    <row r="13" spans="1:3">
      <c r="A13">
        <f ca="1"/>
        <v>7999036</v>
      </c>
      <c r="B13" t="str">
        <f ca="1"/>
        <v>WIRE,JUMPER,#6-7 CU,SOFT-D,80 MILS COVER</v>
      </c>
      <c r="C13" t="str">
        <f ca="1"/>
        <v>FT</v>
      </c>
    </row>
    <row r="14" spans="1:3">
      <c r="A14">
        <f ca="1"/>
        <v>7999719</v>
      </c>
      <c r="B14" t="str">
        <f ca="1"/>
        <v>CUTOUT,POLYMER,27KV,100A,12KA,UNIVERSAL^</v>
      </c>
      <c r="C14" t="str">
        <f ca="1"/>
        <v>EA</v>
      </c>
    </row>
    <row r="15" spans="1:3">
      <c r="A15">
        <f ca="1"/>
        <v>7999796</v>
      </c>
      <c r="B15" t="str">
        <f ca="1"/>
        <v>GUARD,SPRING LOADED,EQUIP BUSHING COVER^</v>
      </c>
      <c r="C15" t="str">
        <f ca="1"/>
        <v>EA</v>
      </c>
    </row>
    <row r="16" spans="1:3">
      <c r="A16">
        <f ca="1"/>
        <v>8004492</v>
      </c>
      <c r="B16" t="str">
        <f ca="1"/>
        <v>FUSE,ELF,6A,8.3KV,27KV CUTOUT,SGL BARREL</v>
      </c>
      <c r="C16" t="str">
        <f ca="1"/>
        <v>EA</v>
      </c>
    </row>
    <row r="17" spans="1:3">
      <c r="A17">
        <f ca="1"/>
        <v>8005123</v>
      </c>
      <c r="B17" t="str">
        <f ca="1"/>
        <v>ARRESTER,SRG,NONEXPULSION,10KV,MOV</v>
      </c>
      <c r="C17" t="str">
        <f ca="1"/>
        <v>EA</v>
      </c>
    </row>
    <row r="18" spans="1:3">
      <c r="A18">
        <f ca="1"/>
        <v>8006321</v>
      </c>
      <c r="B18" t="str">
        <f ca="1"/>
        <v>COVER,CUTOUT,FR RATED,POLYMER,27KV150BIL</v>
      </c>
      <c r="C18" t="str">
        <f ca="1"/>
        <v>EA</v>
      </c>
    </row>
    <row r="19" spans="1:3">
      <c r="A19">
        <f ca="1"/>
        <v>8006513</v>
      </c>
      <c r="B19" t="str">
        <f ca="1"/>
        <v>COVER,STIRRUP,COVERED CONDUCTOR,GRAY^</v>
      </c>
      <c r="C19" t="str">
        <f ca="1"/>
        <v>EA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D6E425D188314D9AAFA67515881874" ma:contentTypeVersion="16" ma:contentTypeDescription="Create a new document." ma:contentTypeScope="" ma:versionID="c34110fc270b47d14e5c9aa28856fc70">
  <xsd:schema xmlns:xsd="http://www.w3.org/2001/XMLSchema" xmlns:xs="http://www.w3.org/2001/XMLSchema" xmlns:p="http://schemas.microsoft.com/office/2006/metadata/properties" xmlns:ns2="7787c9ef-0b7e-4f4b-8a8d-5fe581d1577c" xmlns:ns3="fb262a50-8c88-41ac-b029-9ac8ec61b317" targetNamespace="http://schemas.microsoft.com/office/2006/metadata/properties" ma:root="true" ma:fieldsID="8bf0622f600b89e20f619bef608abba6" ns2:_="" ns3:_="">
    <xsd:import namespace="7787c9ef-0b7e-4f4b-8a8d-5fe581d1577c"/>
    <xsd:import namespace="fb262a50-8c88-41ac-b029-9ac8ec61b31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ocument_x0020_Typ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7c9ef-0b7e-4f4b-8a8d-5fe581d1577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060831fd-4e62-4755-b002-c1a46fd432b5}" ma:internalName="TaxCatchAll" ma:showField="CatchAllData" ma:web="7787c9ef-0b7e-4f4b-8a8d-5fe581d15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62a50-8c88-41ac-b029-9ac8ec61b317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11" nillable="true" ma:displayName="Document Type" ma:format="Dropdown" ma:internalName="Document_x0020_Type" ma:readOnly="false">
      <xsd:simpleType>
        <xsd:restriction base="dms:Choice">
          <xsd:enumeration value="01 Safety"/>
          <xsd:enumeration value="02 Quality"/>
          <xsd:enumeration value="03 Cost"/>
          <xsd:enumeration value="04 Schedule"/>
          <xsd:enumeration value="05 Work Planning"/>
          <xsd:enumeration value="06 Quantity Updates &amp; Takeoffs"/>
          <xsd:enumeration value="07 Meeting Agenda"/>
          <xsd:enumeration value="08 Matrix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bf42542-1403-48d9-9d03-9f633887b3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787c9ef-0b7e-4f4b-8a8d-5fe581d1577c">20044721-666199636-69721</_dlc_DocId>
    <_dlc_DocIdUrl xmlns="7787c9ef-0b7e-4f4b-8a8d-5fe581d1577c">
      <Url>https://portal.kiewit.com/teams/bw20044721/constopr/_layouts/15/DocIdRedir.aspx?ID=20044721-666199636-69721</Url>
      <Description>20044721-666199636-69721</Description>
    </_dlc_DocIdUrl>
    <TaxCatchAll xmlns="7787c9ef-0b7e-4f4b-8a8d-5fe581d1577c" xsi:nil="true"/>
    <Document_x0020_Type xmlns="fb262a50-8c88-41ac-b029-9ac8ec61b317" xsi:nil="true"/>
    <lcf76f155ced4ddcb4097134ff3c332f xmlns="fb262a50-8c88-41ac-b029-9ac8ec61b31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09D2BC7-6CCE-425B-BFB1-8D952D3CC8E7}"/>
</file>

<file path=customXml/itemProps2.xml><?xml version="1.0" encoding="utf-8"?>
<ds:datastoreItem xmlns:ds="http://schemas.openxmlformats.org/officeDocument/2006/customXml" ds:itemID="{15FF88B8-D1B7-4389-AA3E-503087C05E8F}"/>
</file>

<file path=customXml/itemProps3.xml><?xml version="1.0" encoding="utf-8"?>
<ds:datastoreItem xmlns:ds="http://schemas.openxmlformats.org/officeDocument/2006/customXml" ds:itemID="{30C00E04-C4A3-46B9-A8C9-03C6C2B2E158}"/>
</file>

<file path=customXml/itemProps4.xml><?xml version="1.0" encoding="utf-8"?>
<ds:datastoreItem xmlns:ds="http://schemas.openxmlformats.org/officeDocument/2006/customXml" ds:itemID="{A64F9BE8-49C4-4C32-B62E-09C09ED3D733}"/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2026-03-10T22:54:53Z</dcterms:created>
  <dcterms:modified xsi:type="dcterms:W3CDTF">2026-04-06T19:40:05Z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0x010100FBD6E425D188314D9AAFA67515881874</vt:lpwstr>
  </property>
  <property fmtid="{D5CDD505-2E9C-101B-9397-08002B2CF9AE}" pid="3" name="_dlc_DocIdItemGuid">
    <vt:lpwstr>ec9d3b89-b028-4079-9918-4dd93a2df747</vt:lpwstr>
  </property>
  <property fmtid="{D5CDD505-2E9C-101B-9397-08002B2CF9AE}" pid="4" name="MediaServiceImageTags">
    <vt:lpwstr/>
  </property>
</Properties>
</file>